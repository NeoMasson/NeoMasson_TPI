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Documentation\"/>
    </mc:Choice>
  </mc:AlternateContent>
  <xr:revisionPtr revIDLastSave="0" documentId="13_ncr:1_{FC8B0F18-5ECD-4AA3-BBF3-98081A61E5D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Journal!$B$1:$G$121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D20" i="12"/>
  <c r="C36" i="12"/>
  <c r="D35" i="12"/>
  <c r="D34" i="12"/>
  <c r="D33" i="12"/>
  <c r="D32" i="12"/>
  <c r="D31" i="12"/>
  <c r="D30" i="12"/>
  <c r="C48" i="12"/>
  <c r="D47" i="12"/>
  <c r="D46" i="12"/>
  <c r="D45" i="12"/>
  <c r="D44" i="12"/>
  <c r="D43" i="12"/>
  <c r="C60" i="12"/>
  <c r="D59" i="12"/>
  <c r="D58" i="12"/>
  <c r="D57" i="12"/>
  <c r="D56" i="12"/>
  <c r="D55" i="12"/>
  <c r="D54" i="12"/>
  <c r="C72" i="12"/>
  <c r="D71" i="12"/>
  <c r="D70" i="12"/>
  <c r="C84" i="12"/>
  <c r="D83" i="12"/>
  <c r="D82" i="12"/>
  <c r="D81" i="12"/>
  <c r="D80" i="12"/>
  <c r="D79" i="12"/>
  <c r="C96" i="12"/>
  <c r="D95" i="12"/>
  <c r="D94" i="12"/>
  <c r="D93" i="12"/>
  <c r="C108" i="12"/>
  <c r="D107" i="12"/>
  <c r="D106" i="12"/>
  <c r="D105" i="12"/>
  <c r="D104" i="12"/>
  <c r="D103" i="12"/>
  <c r="D102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C120" i="12"/>
  <c r="D119" i="12"/>
  <c r="D118" i="12"/>
  <c r="D117" i="12"/>
  <c r="D116" i="12"/>
  <c r="D115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3" i="10"/>
  <c r="D101" i="10"/>
  <c r="D148" i="10"/>
  <c r="D209" i="10"/>
  <c r="D243" i="10"/>
  <c r="D96" i="10"/>
  <c r="D293" i="10"/>
  <c r="D195" i="10"/>
  <c r="D191" i="10"/>
  <c r="D52" i="10"/>
  <c r="D100" i="10"/>
  <c r="D136" i="10"/>
  <c r="D208" i="10"/>
  <c r="D255" i="10"/>
  <c r="D11" i="15"/>
  <c r="D36" i="10"/>
  <c r="D183" i="10"/>
  <c r="D48" i="10"/>
  <c r="D245" i="10"/>
  <c r="D203" i="10"/>
  <c r="D5" i="10"/>
  <c r="D65" i="10"/>
  <c r="D113" i="10"/>
  <c r="D144" i="10"/>
  <c r="D207" i="10"/>
  <c r="D268" i="10"/>
  <c r="D299" i="10"/>
  <c r="D4" i="10"/>
  <c r="D64" i="10"/>
  <c r="D112" i="10"/>
  <c r="D156" i="10"/>
  <c r="D215" i="10"/>
  <c r="D267" i="10"/>
  <c r="D323" i="10"/>
  <c r="D88" i="10"/>
  <c r="D132" i="10"/>
  <c r="D196" i="10"/>
  <c r="D291" i="10"/>
  <c r="D162" i="10"/>
  <c r="D103" i="10"/>
  <c r="D137" i="10"/>
  <c r="D244" i="10"/>
  <c r="D16" i="10"/>
  <c r="D60" i="10"/>
  <c r="D108" i="10"/>
  <c r="D172" i="10"/>
  <c r="D221" i="10"/>
  <c r="D251" i="10"/>
  <c r="D11" i="16"/>
  <c r="D316" i="10"/>
  <c r="D303" i="10"/>
  <c r="D17" i="10"/>
  <c r="D72" i="10"/>
  <c r="D120" i="10"/>
  <c r="D161" i="10"/>
  <c r="D220" i="10"/>
  <c r="D263" i="10"/>
  <c r="D29" i="10"/>
  <c r="D78" i="10"/>
  <c r="D126" i="10"/>
  <c r="D160" i="10"/>
  <c r="D219" i="10"/>
  <c r="D275" i="10"/>
  <c r="D304" i="10"/>
  <c r="D42" i="10"/>
  <c r="D77" i="10"/>
  <c r="D125" i="10"/>
  <c r="D167" i="10"/>
  <c r="D227" i="10"/>
  <c r="D279" i="10"/>
  <c r="D138" i="10"/>
  <c r="D315" i="10"/>
  <c r="D149" i="10"/>
  <c r="D41" i="10"/>
  <c r="D89" i="10"/>
  <c r="D124" i="10"/>
  <c r="D179" i="10"/>
  <c r="D232" i="10"/>
  <c r="D287" i="10"/>
  <c r="D171" i="10"/>
  <c r="D40" i="10"/>
  <c r="D102" i="10"/>
  <c r="D311" i="10"/>
  <c r="D12" i="10"/>
  <c r="D231" i="10"/>
  <c r="D114" i="10"/>
  <c r="D24" i="10"/>
  <c r="D76" i="10"/>
  <c r="D150" i="10"/>
  <c r="D185" i="10"/>
  <c r="D239" i="10"/>
  <c r="D292" i="10"/>
  <c r="D28" i="10"/>
  <c r="D84" i="10"/>
  <c r="D184" i="10"/>
  <c r="D280" i="10"/>
  <c r="D269" i="10"/>
  <c r="D54" i="10"/>
  <c r="D48" i="1"/>
  <c r="D75" i="1"/>
  <c r="D42" i="1"/>
  <c r="D89" i="1"/>
  <c r="D15" i="1"/>
  <c r="D25" i="1"/>
  <c r="D83" i="1"/>
  <c r="D39" i="1"/>
  <c r="D18" i="1"/>
  <c r="D67" i="1"/>
  <c r="D76" i="1"/>
  <c r="D54" i="1"/>
  <c r="D66" i="1"/>
  <c r="D47" i="1"/>
  <c r="D50" i="1"/>
  <c r="D61" i="1"/>
  <c r="D21" i="1"/>
  <c r="D28" i="1"/>
  <c r="D55" i="1"/>
  <c r="D26" i="1"/>
  <c r="D62" i="1"/>
  <c r="D37" i="1"/>
  <c r="D16" i="1"/>
  <c r="D41" i="1"/>
  <c r="D31" i="1"/>
  <c r="D34" i="1"/>
  <c r="D38" i="1"/>
  <c r="D40" i="1"/>
  <c r="D92" i="1"/>
  <c r="D73" i="1"/>
  <c r="D35" i="1"/>
  <c r="D78" i="1"/>
  <c r="D19" i="1"/>
  <c r="D24" i="1"/>
  <c r="D90" i="1"/>
  <c r="D77" i="1"/>
  <c r="D63" i="1"/>
  <c r="D29" i="1"/>
  <c r="D49" i="1"/>
  <c r="D23" i="1"/>
  <c r="D44" i="1"/>
  <c r="D43" i="1"/>
  <c r="D17" i="1"/>
  <c r="D85" i="1"/>
  <c r="D60" i="1"/>
  <c r="D82" i="1"/>
  <c r="D71" i="1"/>
  <c r="D58" i="1"/>
  <c r="D74" i="1"/>
  <c r="D68" i="1"/>
  <c r="D30" i="1"/>
  <c r="D84" i="1"/>
  <c r="D94" i="1"/>
  <c r="D88" i="1"/>
  <c r="D57" i="1"/>
  <c r="D33" i="1"/>
  <c r="D91" i="1"/>
  <c r="D52" i="1"/>
  <c r="D56" i="1"/>
  <c r="D93" i="1"/>
  <c r="D72" i="1"/>
  <c r="D59" i="1"/>
  <c r="D64" i="1"/>
  <c r="D51" i="1"/>
  <c r="D87" i="1"/>
  <c r="D69" i="1"/>
  <c r="D46" i="1"/>
  <c r="D36" i="1"/>
  <c r="D22" i="1"/>
  <c r="D81" i="1"/>
  <c r="D79" i="1"/>
  <c r="D80" i="1"/>
  <c r="D45" i="1"/>
  <c r="D70" i="1"/>
  <c r="D20" i="1"/>
  <c r="D53" i="1"/>
  <c r="D27" i="1"/>
  <c r="D86" i="1"/>
  <c r="D32" i="1"/>
  <c r="D65" i="1"/>
  <c r="D5" i="12"/>
  <c r="D6" i="12"/>
  <c r="D4" i="12"/>
  <c r="D12" i="12"/>
  <c r="D101" i="12"/>
  <c r="D69" i="12"/>
  <c r="D29" i="12"/>
  <c r="D120" i="12"/>
  <c r="D89" i="12"/>
  <c r="D36" i="12"/>
  <c r="D60" i="12"/>
  <c r="D84" i="12"/>
  <c r="D96" i="12"/>
  <c r="D77" i="12"/>
  <c r="D88" i="12"/>
  <c r="D90" i="12"/>
  <c r="D108" i="12"/>
  <c r="D91" i="12"/>
  <c r="D100" i="12"/>
  <c r="D72" i="12"/>
  <c r="D92" i="12"/>
  <c r="D68" i="12"/>
  <c r="D16" i="12"/>
  <c r="D24" i="12"/>
  <c r="D53" i="12"/>
  <c r="D64" i="12"/>
  <c r="D114" i="12"/>
  <c r="D65" i="12"/>
  <c r="D66" i="12"/>
  <c r="D19" i="12"/>
  <c r="D78" i="12"/>
  <c r="D17" i="12"/>
  <c r="D40" i="12"/>
  <c r="D42" i="12"/>
  <c r="D67" i="12"/>
  <c r="D48" i="12"/>
  <c r="D112" i="12"/>
  <c r="D18" i="12"/>
  <c r="D76" i="12"/>
  <c r="D52" i="12"/>
  <c r="D28" i="12"/>
  <c r="D41" i="12"/>
  <c r="D11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<sst xmlns="http://schemas.openxmlformats.org/spreadsheetml/2006/main" count="977" uniqueCount="163">
  <si>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</si>
  <si>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</si>
  <si>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</si>
  <si>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</si>
  <si>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</si>
  <si>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</si>
  <si>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</si>
  <si>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</si>
  <si>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</si>
  <si>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</si>
  <si>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</si>
  <si>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</si>
  <si>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</si>
  <si>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</si>
  <si>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</si>
  <si>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</si>
  <si>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</si>
  <si>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</si>
  <si>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</si>
  <si>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</si>
  <si>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</si>
  <si>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</si>
  <si>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</si>
  <si>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</si>
  <si>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</si>
  <si>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</si>
  <si>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</si>
  <si>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</si>
  <si>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</si>
  <si>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</si>
  <si>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</si>
  <si>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</si>
  <si>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</si>
  <si>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</si>
  <si>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</si>
  <si>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</si>
  <si>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</si>
  <si>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</si>
  <si>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</si>
  <si>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</si>
  <si>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</si>
  <si>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</si>
  <si>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</si>
  <si>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</si>
  <si>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</si>
  <si>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</si>
  <si>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</si>
  <si>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</si>
  <si>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</si>
  <si>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</si>
  <si>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</si>
  <si>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</si>
  <si>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</si>
  <si>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</si>
  <si>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</si>
  <si>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</si>
  <si>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</si>
  <si>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</si>
  <si>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</si>
  <si>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</si>
  <si>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</si>
  <si>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</si>
  <si>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</si>
  <si>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</si>
  <si>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</si>
  <si>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</si>
  <si>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</si>
  <si>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</si>
  <si>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</si>
  <si>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</si>
  <si>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</si>
  <si>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</si>
  <si>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</si>
  <si>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</si>
  <si>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</si>
  <si>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</si>
  <si>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</si>
  <si>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</si>
  <si>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</si>
  <si>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</si>
  <si>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</si>
  <si>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</si>
  <si>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</si>
  <si>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</si>
  <si>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</si>
  <si>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</si>
  <si>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</si>
  <si>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</si>
  <si>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</si>
  <si>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</si>
  <si>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</si>
  <si>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</si>
  <si>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</si>
  <si>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</si>
  <si>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</si>
  <si>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</si>
  <si>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</si>
  <si>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</si>
  <si>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</si>
  <si>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</si>
  <si>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</si>
  <si>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</si>
  <si>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</si>
  <si>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</si>
  <si>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</si>
  <si>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</si>
  <si>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</si>
  <si>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</si>
  <si>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</si>
  <si>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</si>
  <si>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</si>
  <si>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</si>
  <si>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</si>
  <si>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</si>
  <si>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</si>
  <si>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</si>
  <si>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</si>
  <si>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</si>
  <si>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</si>
  <si>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</si>
  <si>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</si>
  <si>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</si>
  <si>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</si>
  <si>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</si>
  <si>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</si>
  <si>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</si>
  <si>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</si>
  <si>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</si>
  <si>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</si>
  <si>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</si>
  <si>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</si>
  <si>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</si>
  <si>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 xml:space="preserve">Autres - Absences, imprévus </t>
  </si>
  <si>
    <t>90h 25 min</t>
  </si>
  <si>
    <t xml:space="preserve"> </t>
  </si>
  <si>
    <t>Adaptation du corps du template au projet</t>
  </si>
  <si>
    <t>Discussion sur le design de la fonctionnalité "pop-up" et des listes déroulantes avec le chef de projet</t>
  </si>
  <si>
    <t xml:space="preserve">Réalisation des cinq premières maquettes </t>
  </si>
  <si>
    <t>Rédaction des tâches effectuées durant la journée</t>
  </si>
  <si>
    <t>Rédaction des tâches effectuées durant l'après-midi</t>
  </si>
  <si>
    <t>Début de l'adaptation du corps du template au projet</t>
  </si>
  <si>
    <t>Création d'un Github et partage de celui-ci avec le chef de projet</t>
  </si>
  <si>
    <t>Conception des dernières maquettes et perfectionnement des premières</t>
  </si>
  <si>
    <t>Installation de Laravel, NodeJS, PHP, NPM, Composer, MySQL.</t>
  </si>
  <si>
    <t>Rédaction de la documentation d'installation de l'environnement</t>
  </si>
  <si>
    <t>Installation et configuration de MySQL</t>
  </si>
  <si>
    <t>Corrections demandées par le chef de projet</t>
  </si>
  <si>
    <t xml:space="preserve">Installation des dépendences Laravel et de TailwindCSS + config pour que le localhost 8000 soit disponible. </t>
  </si>
  <si>
    <t>Rédaction de l'introduction et des objectifs</t>
  </si>
  <si>
    <t>Finalisation du MLD et du MCD</t>
  </si>
  <si>
    <t>Rédaction de la partie sur la méthodologie de travail et sur la planification initiale</t>
  </si>
  <si>
    <t>20h 40 min</t>
  </si>
  <si>
    <t>- 69h 45 min</t>
  </si>
  <si>
    <t>Conception - login</t>
  </si>
  <si>
    <t>Rédaction de la partie maquettes et de la partie conception de la base de données</t>
  </si>
  <si>
    <t>Réalisation du MPD sur la base du MLD</t>
  </si>
  <si>
    <t>Conception des tests qui seront effectués à la fin du projet pour valider les fonctionnalités</t>
  </si>
  <si>
    <t>Rédaction de la partie "Stratégie de test" et "risques techniques"</t>
  </si>
  <si>
    <t>Mise en place de la base de données SQL avec toutes ces tables, relations, attributs. Tout ça avec un script SQL envoyé sur Workbench.</t>
  </si>
  <si>
    <t>Réalisation du MPD sur la base du script SQL</t>
  </si>
  <si>
    <t>Rédaction de la partie Outils, Environnement et Dossier de conception</t>
  </si>
  <si>
    <t>Finalisation de la base de données + insertion de données de tests</t>
  </si>
  <si>
    <t>Code du squelette et début du design de la page Accueil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</si>
</sst>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21" borderId="54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Border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Analyse - Cahier des charges</c:v>
              </c:pt>
              <c:pt idx="1">
                <c:v>Analyse - Planification initiale</c:v>
              </c:pt>
              <c:pt idx="2">
                <c:v>Autres - Absences, imprévus </c:v>
              </c:pt>
              <c:pt idx="3">
                <c:v>Conception - Environnement de travail</c:v>
              </c:pt>
              <c:pt idx="4">
                <c:v>Conception -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Base de données</c:v>
              </c:pt>
              <c:pt idx="14">
                <c:v>Réalisation - Détails Thé</c:v>
              </c:pt>
              <c:pt idx="15">
                <c:v>Réalisation - Gestion Provenance</c:v>
              </c:pt>
              <c:pt idx="16">
                <c:v>Réalisation - Gestion Type</c:v>
              </c:pt>
              <c:pt idx="17">
                <c:v>Réalisation - Gestion Variété</c:v>
              </c:pt>
              <c:pt idx="18">
                <c:v>Réalisation - Listes</c:v>
              </c:pt>
              <c:pt idx="19">
                <c:v>Réalisation - MPD</c:v>
              </c:pt>
              <c:pt idx="20">
                <c:v>Réalisation - Responsive</c:v>
              </c:pt>
              <c:pt idx="21">
                <c:v>Réalisation - Tests unitaires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94-4593-A0F5-F34555A9E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94-4593-A0F5-F34555A9E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3E9-4D74-B40B-14EFE3D370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94-4593-A0F5-F34555A9E96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65</c:v>
              </c:pt>
              <c:pt idx="3">
                <c:v>33</c:v>
              </c:pt>
              <c:pt idx="4">
                <c:v>0</c:v>
              </c:pt>
              <c:pt idx="5">
                <c:v>57</c:v>
              </c:pt>
              <c:pt idx="6">
                <c:v>35</c:v>
              </c:pt>
              <c:pt idx="7">
                <c:v>0</c:v>
              </c:pt>
              <c:pt idx="8">
                <c:v>6</c:v>
              </c:pt>
              <c:pt idx="9">
                <c:v>33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47</c:v>
              </c:pt>
              <c:pt idx="1">
                <c:v>65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26.2%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10h 25 min</a:t>
                    </a:r>
                  </a:p>
                  <a:p>
                    <a:r>
                      <a:rPr lang="en-US"/>
                      <a:t> 50.4%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  <a:p>
                    <a:r>
                      <a:rPr lang="en-US"/>
                      <a:t> 15.7%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19</c:v>
              </c:pt>
              <c:pt idx="1">
                <c:v>65</c:v>
              </c:pt>
              <c:pt idx="2">
                <c:v>125</c:v>
              </c:pt>
              <c:pt idx="3">
                <c:v>39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81157</xdr:rowOff>
    </xdr:from>
    <xdr:to>
      <xdr:col>14</xdr:col>
      <xdr:colOff>103909</xdr:colOff>
      <xdr:row>97</xdr:row>
      <xdr:rowOff>86591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45" zoomScale="55" zoomScaleNormal="55" workbookViewId="0">
      <selection activeCell="P93" sqref="P93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133</v>
      </c>
      <c r="G45" s="214" t="s">
        <v>1</v>
      </c>
      <c r="H45" s="214"/>
      <c r="I45" s="214"/>
      <c r="J45" s="140" t="s">
        <v>151</v>
      </c>
      <c r="L45" s="215" t="s">
        <v>2</v>
      </c>
      <c r="M45" s="215"/>
      <c r="N45" s="216" t="s">
        <v>152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opLeftCell="A8" zoomScale="70" zoomScaleNormal="70" zoomScaleSheetLayoutView="43" workbookViewId="0">
      <selection activeCell="C19" sqref="C19:C2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222" t="s">
        <v>3</v>
      </c>
      <c r="D1" s="222"/>
      <c r="E1" s="22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69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223"/>
      <c r="D7" s="223"/>
      <c r="E7" s="22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220" t="str">
        <f>E96</f>
        <v>90h 25 min</v>
      </c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94"/>
      <c r="W9" s="221" t="s">
        <v>11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0" t="str">
        <f>E98</f>
        <v>20h 40 min</v>
      </c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75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73"/>
    </row>
    <row r="11" spans="1:1602" s="71" customFormat="1" ht="20.100000000000001" customHeight="1" x14ac:dyDescent="0.25">
      <c r="A11" s="146"/>
      <c r="B11" s="142"/>
      <c r="C11" s="244"/>
      <c r="D11" s="244"/>
      <c r="E11" s="244"/>
      <c r="F11" s="241" t="s">
        <v>84</v>
      </c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241"/>
      <c r="BJ11" s="241"/>
      <c r="BK11" s="241"/>
      <c r="BL11" s="241"/>
      <c r="BM11" s="241"/>
      <c r="BN11" s="241" t="s">
        <v>84</v>
      </c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1"/>
      <c r="CA11" s="241"/>
      <c r="CB11" s="241"/>
      <c r="CC11" s="241"/>
      <c r="CD11" s="241"/>
      <c r="CE11" s="241"/>
      <c r="CF11" s="241"/>
      <c r="CG11" s="241"/>
      <c r="CH11" s="241"/>
      <c r="CI11" s="241"/>
      <c r="CJ11" s="241"/>
      <c r="CK11" s="241"/>
      <c r="CL11" s="241"/>
      <c r="CM11" s="241"/>
      <c r="CN11" s="241"/>
      <c r="CO11" s="241"/>
      <c r="CP11" s="241"/>
      <c r="CQ11" s="241"/>
      <c r="CR11" s="241"/>
      <c r="CS11" s="241"/>
      <c r="CT11" s="241"/>
      <c r="CU11" s="241"/>
      <c r="CV11" s="241"/>
      <c r="CW11" s="241"/>
      <c r="CX11" s="241"/>
      <c r="CY11" s="241"/>
      <c r="CZ11" s="241"/>
      <c r="DA11" s="241"/>
      <c r="DB11" s="241"/>
      <c r="DC11" s="241"/>
      <c r="DD11" s="241"/>
      <c r="DE11" s="241"/>
      <c r="DF11" s="241"/>
      <c r="DG11" s="241"/>
      <c r="DH11" s="241"/>
      <c r="DI11" s="241"/>
      <c r="DJ11" s="241"/>
      <c r="DK11" s="241"/>
      <c r="DL11" s="241"/>
      <c r="DM11" s="241"/>
      <c r="DN11" s="241"/>
      <c r="DO11" s="241"/>
      <c r="DP11" s="241"/>
      <c r="DQ11" s="241"/>
      <c r="DR11" s="241"/>
      <c r="DS11" s="241"/>
      <c r="DT11" s="241"/>
      <c r="DU11" s="241"/>
      <c r="DV11" s="241" t="s">
        <v>91</v>
      </c>
      <c r="DW11" s="241"/>
      <c r="DX11" s="241"/>
      <c r="DY11" s="241"/>
      <c r="DZ11" s="241"/>
      <c r="EA11" s="241"/>
      <c r="EB11" s="241"/>
      <c r="EC11" s="241"/>
      <c r="ED11" s="241"/>
      <c r="EE11" s="241"/>
      <c r="EF11" s="241"/>
      <c r="EG11" s="241"/>
      <c r="EH11" s="241"/>
      <c r="EI11" s="241"/>
      <c r="EJ11" s="241"/>
      <c r="EK11" s="241"/>
      <c r="EL11" s="241"/>
      <c r="EM11" s="241"/>
      <c r="EN11" s="241"/>
      <c r="EO11" s="241"/>
      <c r="EP11" s="241"/>
      <c r="EQ11" s="241"/>
      <c r="ER11" s="241"/>
      <c r="ES11" s="241"/>
      <c r="ET11" s="241"/>
      <c r="EU11" s="241"/>
      <c r="EV11" s="241"/>
      <c r="EW11" s="241"/>
      <c r="EX11" s="241"/>
      <c r="EY11" s="241"/>
      <c r="EZ11" s="241"/>
      <c r="FA11" s="241"/>
      <c r="FB11" s="241"/>
      <c r="FC11" s="241"/>
      <c r="FD11" s="241"/>
      <c r="FE11" s="241"/>
      <c r="FF11" s="241"/>
      <c r="FG11" s="241"/>
      <c r="FH11" s="241"/>
      <c r="FI11" s="241"/>
      <c r="FJ11" s="241"/>
      <c r="FK11" s="241"/>
      <c r="FL11" s="241"/>
      <c r="FM11" s="241"/>
      <c r="FN11" s="241"/>
      <c r="FO11" s="241"/>
      <c r="FP11" s="241"/>
      <c r="FQ11" s="241"/>
      <c r="FR11" s="241"/>
      <c r="FS11" s="241"/>
      <c r="FT11" s="241"/>
      <c r="FU11" s="241"/>
      <c r="FV11" s="241"/>
      <c r="FW11" s="241"/>
      <c r="FX11" s="241"/>
      <c r="FY11" s="241"/>
      <c r="FZ11" s="241"/>
      <c r="GA11" s="241"/>
      <c r="GB11" s="241"/>
      <c r="GC11" s="241"/>
      <c r="GD11" s="241" t="s">
        <v>96</v>
      </c>
      <c r="GE11" s="241"/>
      <c r="GF11" s="241"/>
      <c r="GG11" s="241"/>
      <c r="GH11" s="241"/>
      <c r="GI11" s="241"/>
      <c r="GJ11" s="241"/>
      <c r="GK11" s="241"/>
      <c r="GL11" s="241"/>
      <c r="GM11" s="241"/>
      <c r="GN11" s="241"/>
      <c r="GO11" s="241"/>
      <c r="GP11" s="241"/>
      <c r="GQ11" s="241"/>
      <c r="GR11" s="241"/>
      <c r="GS11" s="241"/>
      <c r="GT11" s="241"/>
      <c r="GU11" s="241"/>
      <c r="GV11" s="241"/>
      <c r="GW11" s="241"/>
      <c r="GX11" s="241"/>
      <c r="GY11" s="241"/>
      <c r="GZ11" s="241"/>
      <c r="HA11" s="241"/>
      <c r="HB11" s="241"/>
      <c r="HC11" s="241"/>
      <c r="HD11" s="241"/>
      <c r="HE11" s="241"/>
      <c r="HF11" s="241"/>
      <c r="HG11" s="241"/>
      <c r="HH11" s="241"/>
      <c r="HI11" s="241"/>
      <c r="HJ11" s="241"/>
      <c r="HK11" s="241"/>
      <c r="HL11" s="241"/>
      <c r="HM11" s="241"/>
      <c r="HN11" s="241"/>
      <c r="HO11" s="241"/>
      <c r="HP11" s="241"/>
      <c r="HQ11" s="241"/>
      <c r="HR11" s="241"/>
      <c r="HS11" s="241"/>
      <c r="HT11" s="241"/>
      <c r="HU11" s="241"/>
      <c r="HV11" s="241"/>
      <c r="HW11" s="241"/>
      <c r="HX11" s="241"/>
      <c r="HY11" s="241"/>
      <c r="HZ11" s="241"/>
      <c r="IA11" s="241"/>
      <c r="IB11" s="241"/>
      <c r="IC11" s="241"/>
      <c r="ID11" s="241"/>
      <c r="IE11" s="241"/>
      <c r="IF11" s="241"/>
      <c r="IG11" s="241"/>
      <c r="IH11" s="241"/>
      <c r="II11" s="241"/>
      <c r="IJ11" s="241"/>
      <c r="IK11" s="241"/>
      <c r="IL11" s="241" t="s">
        <v>96</v>
      </c>
      <c r="IM11" s="241"/>
      <c r="IN11" s="241"/>
      <c r="IO11" s="241"/>
      <c r="IP11" s="241"/>
      <c r="IQ11" s="241"/>
      <c r="IR11" s="241"/>
      <c r="IS11" s="241"/>
      <c r="IT11" s="241"/>
      <c r="IU11" s="241"/>
      <c r="IV11" s="241"/>
      <c r="IW11" s="241"/>
      <c r="IX11" s="241"/>
      <c r="IY11" s="241"/>
      <c r="IZ11" s="241"/>
      <c r="JA11" s="241"/>
      <c r="JB11" s="241"/>
      <c r="JC11" s="241"/>
      <c r="JD11" s="241"/>
      <c r="JE11" s="241"/>
      <c r="JF11" s="241"/>
      <c r="JG11" s="241"/>
      <c r="JH11" s="241"/>
      <c r="JI11" s="241"/>
      <c r="JJ11" s="241"/>
      <c r="JK11" s="241"/>
      <c r="JL11" s="241"/>
      <c r="JM11" s="241"/>
      <c r="JN11" s="241"/>
      <c r="JO11" s="241"/>
      <c r="JP11" s="241"/>
      <c r="JQ11" s="241"/>
      <c r="JR11" s="241"/>
      <c r="JS11" s="241"/>
      <c r="JT11" s="241"/>
      <c r="JU11" s="241"/>
      <c r="JV11" s="241"/>
      <c r="JW11" s="241"/>
      <c r="JX11" s="241"/>
      <c r="JY11" s="241"/>
      <c r="JZ11" s="241"/>
      <c r="KA11" s="241"/>
      <c r="KB11" s="241"/>
      <c r="KC11" s="241"/>
      <c r="KD11" s="241"/>
      <c r="KE11" s="241"/>
      <c r="KF11" s="241"/>
      <c r="KG11" s="241"/>
      <c r="KH11" s="241"/>
      <c r="KI11" s="241"/>
      <c r="KJ11" s="241"/>
      <c r="KK11" s="241"/>
      <c r="KL11" s="241"/>
      <c r="KM11" s="241"/>
      <c r="KN11" s="241"/>
      <c r="KO11" s="241"/>
      <c r="KP11" s="241"/>
      <c r="KQ11" s="241"/>
      <c r="KR11" s="241"/>
      <c r="KS11" s="241"/>
      <c r="KT11" s="241" t="s">
        <v>98</v>
      </c>
      <c r="KU11" s="241"/>
      <c r="KV11" s="241"/>
      <c r="KW11" s="241"/>
      <c r="KX11" s="241"/>
      <c r="KY11" s="241"/>
      <c r="KZ11" s="241"/>
      <c r="LA11" s="241"/>
      <c r="LB11" s="241"/>
      <c r="LC11" s="241"/>
      <c r="LD11" s="241"/>
      <c r="LE11" s="241"/>
      <c r="LF11" s="241"/>
      <c r="LG11" s="241"/>
      <c r="LH11" s="241"/>
      <c r="LI11" s="241"/>
      <c r="LJ11" s="241"/>
      <c r="LK11" s="241"/>
      <c r="LL11" s="241"/>
      <c r="LM11" s="241"/>
      <c r="LN11" s="241"/>
      <c r="LO11" s="241"/>
      <c r="LP11" s="241"/>
      <c r="LQ11" s="241"/>
      <c r="LR11" s="241"/>
      <c r="LS11" s="241"/>
      <c r="LT11" s="241"/>
      <c r="LU11" s="241"/>
      <c r="LV11" s="241"/>
      <c r="LW11" s="241"/>
      <c r="LX11" s="241"/>
      <c r="LY11" s="241"/>
      <c r="LZ11" s="241"/>
      <c r="MA11" s="241"/>
      <c r="MB11" s="241"/>
      <c r="MC11" s="241"/>
      <c r="MD11" s="241"/>
      <c r="ME11" s="241"/>
      <c r="MF11" s="241"/>
      <c r="MG11" s="241"/>
      <c r="MH11" s="241"/>
      <c r="MI11" s="241"/>
      <c r="MJ11" s="241"/>
      <c r="MK11" s="241"/>
      <c r="ML11" s="241"/>
      <c r="MM11" s="241"/>
      <c r="MN11" s="241"/>
      <c r="MO11" s="241"/>
      <c r="MP11" s="241"/>
      <c r="MQ11" s="241"/>
      <c r="MR11" s="241"/>
      <c r="MS11" s="241"/>
      <c r="MT11" s="241"/>
      <c r="MU11" s="241"/>
      <c r="MV11" s="241"/>
      <c r="MW11" s="241"/>
      <c r="MX11" s="241"/>
      <c r="MY11" s="241"/>
      <c r="MZ11" s="241"/>
      <c r="NA11" s="241"/>
      <c r="NB11" s="241" t="s">
        <v>98</v>
      </c>
      <c r="NC11" s="241"/>
      <c r="ND11" s="241"/>
      <c r="NE11" s="241"/>
      <c r="NF11" s="241"/>
      <c r="NG11" s="241"/>
      <c r="NH11" s="241"/>
      <c r="NI11" s="241"/>
      <c r="NJ11" s="241"/>
      <c r="NK11" s="241"/>
      <c r="NL11" s="241"/>
      <c r="NM11" s="241"/>
      <c r="NN11" s="241"/>
      <c r="NO11" s="241"/>
      <c r="NP11" s="241"/>
      <c r="NQ11" s="241"/>
      <c r="NR11" s="241"/>
      <c r="NS11" s="241"/>
      <c r="NT11" s="241"/>
      <c r="NU11" s="241"/>
      <c r="NV11" s="241"/>
      <c r="NW11" s="241"/>
      <c r="NX11" s="241"/>
      <c r="NY11" s="241"/>
      <c r="NZ11" s="241"/>
      <c r="OA11" s="241"/>
      <c r="OB11" s="241"/>
      <c r="OC11" s="241"/>
      <c r="OD11" s="241"/>
      <c r="OE11" s="241"/>
      <c r="OF11" s="241"/>
      <c r="OG11" s="241"/>
      <c r="OH11" s="241"/>
      <c r="OI11" s="241"/>
      <c r="OJ11" s="241"/>
      <c r="OK11" s="241"/>
      <c r="OL11" s="241"/>
      <c r="OM11" s="241"/>
      <c r="ON11" s="241"/>
      <c r="OO11" s="241"/>
      <c r="OP11" s="241"/>
      <c r="OQ11" s="241"/>
      <c r="OR11" s="241"/>
      <c r="OS11" s="241"/>
      <c r="OT11" s="241"/>
      <c r="OU11" s="241"/>
      <c r="OV11" s="241"/>
      <c r="OW11" s="241"/>
      <c r="OX11" s="241"/>
      <c r="OY11" s="241"/>
      <c r="OZ11" s="241"/>
      <c r="PA11" s="241"/>
      <c r="PB11" s="241"/>
      <c r="PC11" s="241"/>
      <c r="PD11" s="241"/>
      <c r="PE11" s="241"/>
      <c r="PF11" s="241"/>
      <c r="PG11" s="241"/>
      <c r="PH11" s="241"/>
      <c r="PI11" s="241"/>
      <c r="PJ11" s="241" t="s">
        <v>104</v>
      </c>
      <c r="PK11" s="241"/>
      <c r="PL11" s="241"/>
      <c r="PM11" s="241"/>
      <c r="PN11" s="241"/>
      <c r="PO11" s="241"/>
      <c r="PP11" s="241"/>
      <c r="PQ11" s="241"/>
      <c r="PR11" s="241"/>
      <c r="PS11" s="241"/>
      <c r="PT11" s="241"/>
      <c r="PU11" s="241"/>
      <c r="PV11" s="241"/>
      <c r="PW11" s="241"/>
      <c r="PX11" s="241"/>
      <c r="PY11" s="241"/>
      <c r="PZ11" s="241"/>
      <c r="QA11" s="241"/>
      <c r="QB11" s="241"/>
      <c r="QC11" s="241"/>
      <c r="QD11" s="241"/>
      <c r="QE11" s="241"/>
      <c r="QF11" s="241"/>
      <c r="QG11" s="241"/>
      <c r="QH11" s="241"/>
      <c r="QI11" s="241"/>
      <c r="QJ11" s="241"/>
      <c r="QK11" s="241"/>
      <c r="QL11" s="241"/>
      <c r="QM11" s="241"/>
      <c r="QN11" s="241"/>
      <c r="QO11" s="241"/>
      <c r="QP11" s="241"/>
      <c r="QQ11" s="241"/>
      <c r="QR11" s="241"/>
      <c r="QS11" s="241"/>
      <c r="QT11" s="241"/>
      <c r="QU11" s="241"/>
      <c r="QV11" s="241"/>
      <c r="QW11" s="241"/>
      <c r="QX11" s="241"/>
      <c r="QY11" s="241"/>
      <c r="QZ11" s="241"/>
      <c r="RA11" s="241"/>
      <c r="RB11" s="241"/>
      <c r="RC11" s="241"/>
      <c r="RD11" s="241"/>
      <c r="RE11" s="241"/>
      <c r="RF11" s="241"/>
      <c r="RG11" s="241"/>
      <c r="RH11" s="241"/>
      <c r="RI11" s="241"/>
      <c r="RJ11" s="241"/>
      <c r="RK11" s="241"/>
      <c r="RL11" s="241"/>
      <c r="RM11" s="241"/>
      <c r="RN11" s="241"/>
      <c r="RO11" s="241"/>
      <c r="RP11" s="241"/>
      <c r="RQ11" s="241"/>
      <c r="RR11" s="241" t="s">
        <v>104</v>
      </c>
      <c r="RS11" s="241"/>
      <c r="RT11" s="241"/>
      <c r="RU11" s="241"/>
      <c r="RV11" s="241"/>
      <c r="RW11" s="241"/>
      <c r="RX11" s="241"/>
      <c r="RY11" s="241"/>
      <c r="RZ11" s="241"/>
      <c r="SA11" s="241"/>
      <c r="SB11" s="241"/>
      <c r="SC11" s="241"/>
      <c r="SD11" s="241"/>
      <c r="SE11" s="241"/>
      <c r="SF11" s="241"/>
      <c r="SG11" s="241"/>
      <c r="SH11" s="241"/>
      <c r="SI11" s="241"/>
      <c r="SJ11" s="241"/>
      <c r="SK11" s="241"/>
      <c r="SL11" s="241"/>
      <c r="SM11" s="241"/>
      <c r="SN11" s="241"/>
      <c r="SO11" s="241"/>
      <c r="SP11" s="241"/>
      <c r="SQ11" s="241"/>
      <c r="SR11" s="241"/>
      <c r="SS11" s="241"/>
      <c r="ST11" s="241"/>
      <c r="SU11" s="241"/>
      <c r="SV11" s="241"/>
      <c r="SW11" s="241"/>
      <c r="SX11" s="241"/>
      <c r="SY11" s="241"/>
      <c r="SZ11" s="241"/>
      <c r="TA11" s="241"/>
      <c r="TB11" s="241"/>
      <c r="TC11" s="241"/>
      <c r="TD11" s="241"/>
      <c r="TE11" s="241"/>
      <c r="TF11" s="241"/>
      <c r="TG11" s="241"/>
      <c r="TH11" s="241"/>
      <c r="TI11" s="241"/>
      <c r="TJ11" s="241"/>
      <c r="TK11" s="241"/>
      <c r="TL11" s="241"/>
      <c r="TM11" s="241"/>
      <c r="TN11" s="241"/>
      <c r="TO11" s="241"/>
      <c r="TP11" s="241"/>
      <c r="TQ11" s="241"/>
      <c r="TR11" s="241"/>
      <c r="TS11" s="241"/>
      <c r="TT11" s="241"/>
      <c r="TU11" s="241"/>
      <c r="TV11" s="241"/>
      <c r="TW11" s="241"/>
      <c r="TX11" s="241"/>
      <c r="TY11" s="241"/>
      <c r="TZ11" s="241" t="s">
        <v>103</v>
      </c>
      <c r="UA11" s="241"/>
      <c r="UB11" s="241"/>
      <c r="UC11" s="241"/>
      <c r="UD11" s="241"/>
      <c r="UE11" s="241"/>
      <c r="UF11" s="241"/>
      <c r="UG11" s="241"/>
      <c r="UH11" s="241"/>
      <c r="UI11" s="241"/>
      <c r="UJ11" s="241"/>
      <c r="UK11" s="241"/>
      <c r="UL11" s="241"/>
      <c r="UM11" s="241"/>
      <c r="UN11" s="241"/>
      <c r="UO11" s="241"/>
      <c r="UP11" s="241"/>
      <c r="UQ11" s="241"/>
      <c r="UR11" s="241"/>
      <c r="US11" s="241"/>
      <c r="UT11" s="241"/>
      <c r="UU11" s="241"/>
      <c r="UV11" s="241"/>
      <c r="UW11" s="241"/>
      <c r="UX11" s="241"/>
      <c r="UY11" s="241"/>
      <c r="UZ11" s="241"/>
      <c r="VA11" s="241"/>
      <c r="VB11" s="241"/>
      <c r="VC11" s="241"/>
      <c r="VD11" s="241"/>
      <c r="VE11" s="241"/>
      <c r="VF11" s="241"/>
      <c r="VG11" s="241"/>
      <c r="VH11" s="241"/>
      <c r="VI11" s="241"/>
      <c r="VJ11" s="241"/>
      <c r="VK11" s="241"/>
      <c r="VL11" s="241"/>
      <c r="VM11" s="241"/>
      <c r="VN11" s="241"/>
      <c r="VO11" s="241"/>
      <c r="VP11" s="241"/>
      <c r="VQ11" s="241"/>
      <c r="VR11" s="241"/>
      <c r="VS11" s="241"/>
      <c r="VT11" s="241"/>
      <c r="VU11" s="241"/>
      <c r="VV11" s="241"/>
      <c r="VW11" s="241"/>
      <c r="VX11" s="241"/>
      <c r="VY11" s="241"/>
      <c r="VZ11" s="241"/>
      <c r="WA11" s="241"/>
      <c r="WB11" s="241"/>
      <c r="WC11" s="241"/>
      <c r="WD11" s="241"/>
      <c r="WE11" s="241"/>
      <c r="WF11" s="241"/>
      <c r="WG11" s="241"/>
      <c r="WH11" s="241" t="s">
        <v>119</v>
      </c>
      <c r="WI11" s="241"/>
      <c r="WJ11" s="241"/>
      <c r="WK11" s="241"/>
      <c r="WL11" s="241"/>
      <c r="WM11" s="241"/>
      <c r="WN11" s="241"/>
      <c r="WO11" s="241"/>
      <c r="WP11" s="241"/>
      <c r="WQ11" s="241"/>
      <c r="WR11" s="241"/>
      <c r="WS11" s="241"/>
      <c r="WT11" s="241"/>
      <c r="WU11" s="241"/>
      <c r="WV11" s="241"/>
      <c r="WW11" s="241"/>
      <c r="WX11" s="241"/>
      <c r="WY11" s="241"/>
      <c r="WZ11" s="241"/>
      <c r="XA11" s="241"/>
      <c r="XB11" s="241"/>
      <c r="XC11" s="241"/>
      <c r="XD11" s="241"/>
      <c r="XE11" s="241"/>
      <c r="XF11" s="241"/>
      <c r="XG11" s="241"/>
      <c r="XH11" s="241"/>
      <c r="XI11" s="241"/>
      <c r="XJ11" s="241"/>
      <c r="XK11" s="241"/>
      <c r="XL11" s="241"/>
      <c r="XM11" s="241"/>
      <c r="XN11" s="241"/>
      <c r="XO11" s="241"/>
      <c r="XP11" s="241"/>
      <c r="XQ11" s="241"/>
      <c r="XR11" s="241"/>
      <c r="XS11" s="241"/>
      <c r="XT11" s="241"/>
      <c r="XU11" s="241"/>
      <c r="XV11" s="241"/>
      <c r="XW11" s="241"/>
      <c r="XX11" s="241"/>
      <c r="XY11" s="241"/>
      <c r="XZ11" s="241"/>
      <c r="YA11" s="241"/>
      <c r="YB11" s="241"/>
      <c r="YC11" s="241"/>
      <c r="YD11" s="241"/>
      <c r="YE11" s="241"/>
      <c r="YF11" s="241"/>
      <c r="YG11" s="241"/>
      <c r="YH11" s="241"/>
      <c r="YI11" s="241"/>
      <c r="YJ11" s="241"/>
      <c r="YK11" s="241"/>
      <c r="YL11" s="241"/>
      <c r="YM11" s="241"/>
      <c r="YN11" s="241"/>
      <c r="YO11" s="241"/>
      <c r="YP11" s="241" t="s">
        <v>119</v>
      </c>
      <c r="YQ11" s="241"/>
      <c r="YR11" s="241"/>
      <c r="YS11" s="241"/>
      <c r="YT11" s="241"/>
      <c r="YU11" s="241"/>
      <c r="YV11" s="241"/>
      <c r="YW11" s="241"/>
      <c r="YX11" s="241"/>
      <c r="YY11" s="241"/>
      <c r="YZ11" s="241"/>
      <c r="ZA11" s="241"/>
      <c r="ZB11" s="241"/>
      <c r="ZC11" s="241"/>
      <c r="ZD11" s="241"/>
      <c r="ZE11" s="241"/>
      <c r="ZF11" s="241"/>
      <c r="ZG11" s="241"/>
      <c r="ZH11" s="241"/>
      <c r="ZI11" s="241"/>
      <c r="ZJ11" s="241"/>
      <c r="ZK11" s="241"/>
      <c r="ZL11" s="241"/>
      <c r="ZM11" s="241"/>
      <c r="ZN11" s="241"/>
      <c r="ZO11" s="241"/>
      <c r="ZP11" s="241"/>
      <c r="ZQ11" s="241"/>
      <c r="ZR11" s="241"/>
      <c r="ZS11" s="241"/>
      <c r="ZT11" s="241"/>
      <c r="ZU11" s="241"/>
      <c r="ZV11" s="241"/>
      <c r="ZW11" s="241"/>
      <c r="ZX11" s="241"/>
      <c r="ZY11" s="241"/>
      <c r="ZZ11" s="241"/>
      <c r="AAA11" s="241"/>
      <c r="AAB11" s="241"/>
      <c r="AAC11" s="241"/>
      <c r="AAD11" s="241"/>
      <c r="AAE11" s="241"/>
      <c r="AAF11" s="241"/>
      <c r="AAG11" s="241"/>
      <c r="AAH11" s="241"/>
      <c r="AAI11" s="241"/>
      <c r="AAJ11" s="241"/>
      <c r="AAK11" s="241"/>
      <c r="AAL11" s="241"/>
      <c r="AAM11" s="241"/>
      <c r="AAN11" s="241"/>
      <c r="AAO11" s="241"/>
      <c r="AAP11" s="241"/>
      <c r="AAQ11" s="241"/>
      <c r="AAR11" s="241"/>
      <c r="AAS11" s="241"/>
      <c r="AAT11" s="241"/>
      <c r="AAU11" s="241"/>
      <c r="AAV11" s="241"/>
      <c r="AAW11" s="241"/>
      <c r="AAX11" s="241" t="s">
        <v>118</v>
      </c>
      <c r="AAY11" s="241"/>
      <c r="AAZ11" s="241"/>
      <c r="ABA11" s="241"/>
      <c r="ABB11" s="241"/>
      <c r="ABC11" s="241"/>
      <c r="ABD11" s="241"/>
      <c r="ABE11" s="241"/>
      <c r="ABF11" s="241"/>
      <c r="ABG11" s="241"/>
      <c r="ABH11" s="241"/>
      <c r="ABI11" s="241"/>
      <c r="ABJ11" s="241"/>
      <c r="ABK11" s="241"/>
      <c r="ABL11" s="241"/>
      <c r="ABM11" s="241"/>
      <c r="ABN11" s="241"/>
      <c r="ABO11" s="241"/>
      <c r="ABP11" s="241"/>
      <c r="ABQ11" s="241"/>
      <c r="ABR11" s="241"/>
      <c r="ABS11" s="241"/>
      <c r="ABT11" s="241"/>
      <c r="ABU11" s="241"/>
      <c r="ABV11" s="241"/>
      <c r="ABW11" s="241"/>
      <c r="ABX11" s="241"/>
      <c r="ABY11" s="241"/>
      <c r="ABZ11" s="241"/>
      <c r="ACA11" s="241"/>
      <c r="ACB11" s="241"/>
      <c r="ACC11" s="241"/>
      <c r="ACD11" s="241"/>
      <c r="ACE11" s="241"/>
      <c r="ACF11" s="241"/>
      <c r="ACG11" s="241"/>
      <c r="ACH11" s="241"/>
      <c r="ACI11" s="241"/>
      <c r="ACJ11" s="241"/>
      <c r="ACK11" s="241"/>
      <c r="ACL11" s="241"/>
      <c r="ACM11" s="241"/>
      <c r="ACN11" s="241"/>
      <c r="ACO11" s="241"/>
      <c r="ACP11" s="241"/>
      <c r="ACQ11" s="241"/>
      <c r="ACR11" s="241"/>
      <c r="ACS11" s="241"/>
      <c r="ACT11" s="241"/>
      <c r="ACU11" s="241"/>
      <c r="ACV11" s="241"/>
      <c r="ACW11" s="241"/>
      <c r="ACX11" s="241"/>
      <c r="ACY11" s="241"/>
      <c r="ACZ11" s="241"/>
      <c r="ADA11" s="241"/>
      <c r="ADB11" s="241"/>
      <c r="ADC11" s="241"/>
      <c r="ADD11" s="241"/>
      <c r="ADE11" s="241"/>
      <c r="ADF11" s="241" t="s">
        <v>118</v>
      </c>
      <c r="ADG11" s="241"/>
      <c r="ADH11" s="241"/>
      <c r="ADI11" s="241"/>
      <c r="ADJ11" s="241"/>
      <c r="ADK11" s="241"/>
      <c r="ADL11" s="241"/>
      <c r="ADM11" s="241"/>
      <c r="ADN11" s="241"/>
      <c r="ADO11" s="241"/>
      <c r="ADP11" s="241"/>
      <c r="ADQ11" s="241"/>
      <c r="ADR11" s="241"/>
      <c r="ADS11" s="241"/>
      <c r="ADT11" s="241"/>
      <c r="ADU11" s="241"/>
      <c r="ADV11" s="241"/>
      <c r="ADW11" s="241"/>
      <c r="ADX11" s="241"/>
      <c r="ADY11" s="241"/>
      <c r="ADZ11" s="241"/>
      <c r="AEA11" s="241"/>
      <c r="AEB11" s="241"/>
      <c r="AEC11" s="241"/>
      <c r="AED11" s="241"/>
      <c r="AEE11" s="241"/>
      <c r="AEF11" s="241"/>
      <c r="AEG11" s="241"/>
      <c r="AEH11" s="241"/>
      <c r="AEI11" s="241"/>
      <c r="AEJ11" s="241"/>
      <c r="AEK11" s="241"/>
      <c r="AEL11" s="241"/>
      <c r="AEM11" s="241"/>
      <c r="AEN11" s="241"/>
      <c r="AEO11" s="241"/>
      <c r="AEP11" s="241"/>
      <c r="AEQ11" s="241"/>
      <c r="AER11" s="241"/>
      <c r="AES11" s="241"/>
      <c r="AET11" s="241"/>
      <c r="AEU11" s="241"/>
      <c r="AEV11" s="241"/>
      <c r="AEW11" s="241"/>
      <c r="AEX11" s="241"/>
      <c r="AEY11" s="241"/>
      <c r="AEZ11" s="241"/>
      <c r="AFA11" s="241"/>
      <c r="AFB11" s="241"/>
      <c r="AFC11" s="241"/>
      <c r="AFD11" s="241"/>
      <c r="AFE11" s="241"/>
      <c r="AFF11" s="241"/>
      <c r="AFG11" s="241"/>
      <c r="AFH11" s="241"/>
      <c r="AFI11" s="241"/>
      <c r="AFJ11" s="241"/>
      <c r="AFK11" s="241"/>
      <c r="AFL11" s="241"/>
      <c r="AFM11" s="241"/>
      <c r="AFN11" s="241" t="s">
        <v>117</v>
      </c>
      <c r="AFO11" s="241"/>
      <c r="AFP11" s="241"/>
      <c r="AFQ11" s="241"/>
      <c r="AFR11" s="241"/>
      <c r="AFS11" s="241"/>
      <c r="AFT11" s="241"/>
      <c r="AFU11" s="241"/>
      <c r="AFV11" s="241"/>
      <c r="AFW11" s="241"/>
      <c r="AFX11" s="241"/>
      <c r="AFY11" s="241"/>
      <c r="AFZ11" s="241"/>
      <c r="AGA11" s="241"/>
      <c r="AGB11" s="241"/>
      <c r="AGC11" s="241"/>
      <c r="AGD11" s="241"/>
      <c r="AGE11" s="241"/>
      <c r="AGF11" s="241"/>
      <c r="AGG11" s="241"/>
      <c r="AGH11" s="241"/>
      <c r="AGI11" s="241"/>
      <c r="AGJ11" s="241"/>
      <c r="AGK11" s="241"/>
      <c r="AGL11" s="241"/>
      <c r="AGM11" s="241"/>
      <c r="AGN11" s="241"/>
      <c r="AGO11" s="241"/>
      <c r="AGP11" s="241"/>
      <c r="AGQ11" s="241"/>
      <c r="AGR11" s="241"/>
      <c r="AGS11" s="241"/>
      <c r="AGT11" s="241"/>
      <c r="AGU11" s="241"/>
      <c r="AGV11" s="241"/>
      <c r="AGW11" s="241"/>
      <c r="AGX11" s="241"/>
      <c r="AGY11" s="241"/>
      <c r="AGZ11" s="241"/>
      <c r="AHA11" s="241"/>
      <c r="AHB11" s="241"/>
      <c r="AHC11" s="241"/>
      <c r="AHD11" s="241"/>
      <c r="AHE11" s="241"/>
      <c r="AHF11" s="241"/>
      <c r="AHG11" s="241"/>
      <c r="AHH11" s="241"/>
      <c r="AHI11" s="241"/>
      <c r="AHJ11" s="241"/>
      <c r="AHK11" s="241"/>
      <c r="AHL11" s="241"/>
      <c r="AHM11" s="241"/>
      <c r="AHN11" s="241"/>
      <c r="AHO11" s="241"/>
      <c r="AHP11" s="241"/>
      <c r="AHQ11" s="241"/>
      <c r="AHR11" s="241"/>
      <c r="AHS11" s="241"/>
      <c r="AHT11" s="241"/>
      <c r="AHU11" s="241"/>
      <c r="AHV11" s="241" t="s">
        <v>117</v>
      </c>
      <c r="AHW11" s="241"/>
      <c r="AHX11" s="241"/>
      <c r="AHY11" s="241"/>
      <c r="AHZ11" s="241"/>
      <c r="AIA11" s="241"/>
      <c r="AIB11" s="241"/>
      <c r="AIC11" s="241"/>
      <c r="AID11" s="241"/>
      <c r="AIE11" s="241"/>
      <c r="AIF11" s="241"/>
      <c r="AIG11" s="241"/>
      <c r="AIH11" s="241"/>
      <c r="AII11" s="241"/>
      <c r="AIJ11" s="241"/>
      <c r="AIK11" s="241"/>
      <c r="AIL11" s="241"/>
      <c r="AIM11" s="241"/>
      <c r="AIN11" s="241"/>
      <c r="AIO11" s="241"/>
      <c r="AIP11" s="241"/>
      <c r="AIQ11" s="241"/>
      <c r="AIR11" s="241"/>
      <c r="AIS11" s="241"/>
      <c r="AIT11" s="241"/>
      <c r="AIU11" s="241"/>
      <c r="AIV11" s="241"/>
      <c r="AIW11" s="241"/>
      <c r="AIX11" s="241"/>
      <c r="AIY11" s="241"/>
      <c r="AIZ11" s="241"/>
      <c r="AJA11" s="241"/>
      <c r="AJB11" s="241"/>
      <c r="AJC11" s="241"/>
      <c r="AJD11" s="241"/>
      <c r="AJE11" s="241"/>
      <c r="AJF11" s="241"/>
      <c r="AJG11" s="241"/>
      <c r="AJH11" s="241"/>
      <c r="AJI11" s="241"/>
      <c r="AJJ11" s="241"/>
      <c r="AJK11" s="241"/>
      <c r="AJL11" s="241"/>
      <c r="AJM11" s="241"/>
      <c r="AJN11" s="241"/>
      <c r="AJO11" s="241"/>
      <c r="AJP11" s="241"/>
      <c r="AJQ11" s="241"/>
      <c r="AJR11" s="241"/>
      <c r="AJS11" s="241"/>
      <c r="AJT11" s="241"/>
      <c r="AJU11" s="241"/>
      <c r="AJV11" s="241"/>
      <c r="AJW11" s="241"/>
      <c r="AJX11" s="241"/>
      <c r="AJY11" s="241"/>
      <c r="AJZ11" s="241"/>
      <c r="AKA11" s="241"/>
      <c r="AKB11" s="241"/>
      <c r="AKC11" s="241"/>
      <c r="AKD11" s="241" t="s">
        <v>116</v>
      </c>
      <c r="AKE11" s="241"/>
      <c r="AKF11" s="241"/>
      <c r="AKG11" s="241"/>
      <c r="AKH11" s="241"/>
      <c r="AKI11" s="241"/>
      <c r="AKJ11" s="241"/>
      <c r="AKK11" s="241"/>
      <c r="AKL11" s="241"/>
      <c r="AKM11" s="241"/>
      <c r="AKN11" s="241"/>
      <c r="AKO11" s="241"/>
      <c r="AKP11" s="241"/>
      <c r="AKQ11" s="241"/>
      <c r="AKR11" s="241"/>
      <c r="AKS11" s="241"/>
      <c r="AKT11" s="241"/>
      <c r="AKU11" s="241"/>
      <c r="AKV11" s="241"/>
      <c r="AKW11" s="241"/>
      <c r="AKX11" s="241"/>
      <c r="AKY11" s="241"/>
      <c r="AKZ11" s="241"/>
      <c r="ALA11" s="241"/>
      <c r="ALB11" s="241"/>
      <c r="ALC11" s="241"/>
      <c r="ALD11" s="241"/>
      <c r="ALE11" s="241"/>
      <c r="ALF11" s="241"/>
      <c r="ALG11" s="241"/>
      <c r="ALH11" s="241"/>
      <c r="ALI11" s="241"/>
      <c r="ALJ11" s="241"/>
      <c r="ALK11" s="241"/>
      <c r="ALL11" s="241"/>
      <c r="ALM11" s="241"/>
      <c r="ALN11" s="241"/>
      <c r="ALO11" s="241"/>
      <c r="ALP11" s="241"/>
      <c r="ALQ11" s="241"/>
      <c r="ALR11" s="241"/>
      <c r="ALS11" s="241"/>
      <c r="ALT11" s="241"/>
      <c r="ALU11" s="241"/>
      <c r="ALV11" s="241"/>
      <c r="ALW11" s="241"/>
      <c r="ALX11" s="241"/>
      <c r="ALY11" s="241"/>
      <c r="ALZ11" s="241"/>
      <c r="AMA11" s="241"/>
      <c r="AMB11" s="241"/>
      <c r="AMC11" s="241"/>
      <c r="AMD11" s="241"/>
      <c r="AME11" s="241"/>
      <c r="AMF11" s="241"/>
      <c r="AMG11" s="241"/>
      <c r="AMH11" s="241"/>
      <c r="AMI11" s="241"/>
      <c r="AMJ11" s="241"/>
      <c r="AMK11" s="241"/>
      <c r="AML11" s="241" t="s">
        <v>115</v>
      </c>
      <c r="AMM11" s="241"/>
      <c r="AMN11" s="241"/>
      <c r="AMO11" s="241"/>
      <c r="AMP11" s="241"/>
      <c r="AMQ11" s="241"/>
      <c r="AMR11" s="241"/>
      <c r="AMS11" s="241"/>
      <c r="AMT11" s="241"/>
      <c r="AMU11" s="241"/>
      <c r="AMV11" s="241"/>
      <c r="AMW11" s="241"/>
      <c r="AMX11" s="241"/>
      <c r="AMY11" s="241"/>
      <c r="AMZ11" s="241"/>
      <c r="ANA11" s="241"/>
      <c r="ANB11" s="241"/>
      <c r="ANC11" s="241"/>
      <c r="AND11" s="241"/>
      <c r="ANE11" s="241"/>
      <c r="ANF11" s="241"/>
      <c r="ANG11" s="241"/>
      <c r="ANH11" s="241"/>
      <c r="ANI11" s="241"/>
      <c r="ANJ11" s="241"/>
      <c r="ANK11" s="241"/>
      <c r="ANL11" s="241"/>
      <c r="ANM11" s="241"/>
      <c r="ANN11" s="241"/>
      <c r="ANO11" s="241"/>
      <c r="ANP11" s="241"/>
      <c r="ANQ11" s="241"/>
      <c r="ANR11" s="241"/>
      <c r="ANS11" s="241"/>
      <c r="ANT11" s="241"/>
      <c r="ANU11" s="241"/>
      <c r="ANV11" s="241"/>
      <c r="ANW11" s="241"/>
      <c r="ANX11" s="241"/>
      <c r="ANY11" s="241"/>
      <c r="ANZ11" s="241"/>
      <c r="AOA11" s="241"/>
      <c r="AOB11" s="241"/>
      <c r="AOC11" s="241"/>
      <c r="AOD11" s="241"/>
      <c r="AOE11" s="241"/>
      <c r="AOF11" s="241"/>
      <c r="AOG11" s="241"/>
      <c r="AOH11" s="241"/>
      <c r="AOI11" s="241"/>
      <c r="AOJ11" s="241"/>
      <c r="AOK11" s="241"/>
      <c r="AOL11" s="241"/>
      <c r="AOM11" s="241"/>
      <c r="AON11" s="241"/>
      <c r="AOO11" s="241"/>
      <c r="AOP11" s="241"/>
      <c r="AOQ11" s="241"/>
      <c r="AOR11" s="241"/>
      <c r="AOS11" s="241"/>
      <c r="AOT11" s="241" t="s">
        <v>115</v>
      </c>
      <c r="AOU11" s="241"/>
      <c r="AOV11" s="241"/>
      <c r="AOW11" s="241"/>
      <c r="AOX11" s="241"/>
      <c r="AOY11" s="241"/>
      <c r="AOZ11" s="241"/>
      <c r="APA11" s="241"/>
      <c r="APB11" s="241"/>
      <c r="APC11" s="241"/>
      <c r="APD11" s="241"/>
      <c r="APE11" s="241"/>
      <c r="APF11" s="241"/>
      <c r="APG11" s="241"/>
      <c r="APH11" s="241"/>
      <c r="API11" s="241"/>
      <c r="APJ11" s="241"/>
      <c r="APK11" s="241"/>
      <c r="APL11" s="241"/>
      <c r="APM11" s="241"/>
      <c r="APN11" s="241"/>
      <c r="APO11" s="241"/>
      <c r="APP11" s="241"/>
      <c r="APQ11" s="241"/>
      <c r="APR11" s="241"/>
      <c r="APS11" s="241"/>
      <c r="APT11" s="241"/>
      <c r="APU11" s="241"/>
      <c r="APV11" s="241"/>
      <c r="APW11" s="241"/>
      <c r="APX11" s="241"/>
      <c r="APY11" s="241"/>
      <c r="APZ11" s="241"/>
      <c r="AQA11" s="241"/>
      <c r="AQB11" s="241"/>
      <c r="AQC11" s="241"/>
      <c r="AQD11" s="241"/>
      <c r="AQE11" s="241"/>
      <c r="AQF11" s="241"/>
      <c r="AQG11" s="241"/>
      <c r="AQH11" s="241"/>
      <c r="AQI11" s="241"/>
      <c r="AQJ11" s="241"/>
      <c r="AQK11" s="241"/>
      <c r="AQL11" s="241"/>
      <c r="AQM11" s="241"/>
      <c r="AQN11" s="241"/>
      <c r="AQO11" s="241"/>
      <c r="AQP11" s="241"/>
      <c r="AQQ11" s="241"/>
      <c r="AQR11" s="241"/>
      <c r="AQS11" s="241"/>
      <c r="AQT11" s="241"/>
      <c r="AQU11" s="241"/>
      <c r="AQV11" s="241"/>
      <c r="AQW11" s="241"/>
      <c r="AQX11" s="241"/>
      <c r="AQY11" s="241"/>
      <c r="AQZ11" s="241"/>
      <c r="ARA11" s="241"/>
      <c r="ARB11" s="241" t="s">
        <v>114</v>
      </c>
      <c r="ARC11" s="241"/>
      <c r="ARD11" s="241"/>
      <c r="ARE11" s="241"/>
      <c r="ARF11" s="241"/>
      <c r="ARG11" s="241"/>
      <c r="ARH11" s="241"/>
      <c r="ARI11" s="241"/>
      <c r="ARJ11" s="241"/>
      <c r="ARK11" s="241"/>
      <c r="ARL11" s="241"/>
      <c r="ARM11" s="241"/>
      <c r="ARN11" s="241"/>
      <c r="ARO11" s="241"/>
      <c r="ARP11" s="241"/>
      <c r="ARQ11" s="241"/>
      <c r="ARR11" s="241"/>
      <c r="ARS11" s="241"/>
      <c r="ART11" s="241"/>
      <c r="ARU11" s="241"/>
      <c r="ARV11" s="241"/>
      <c r="ARW11" s="241"/>
      <c r="ARX11" s="241"/>
      <c r="ARY11" s="241"/>
      <c r="ARZ11" s="241"/>
      <c r="ASA11" s="241"/>
      <c r="ASB11" s="241"/>
      <c r="ASC11" s="241"/>
      <c r="ASD11" s="241"/>
      <c r="ASE11" s="241"/>
      <c r="ASF11" s="241"/>
      <c r="ASG11" s="241"/>
      <c r="ASH11" s="241"/>
      <c r="ASI11" s="241"/>
      <c r="ASJ11" s="241"/>
      <c r="ASK11" s="241"/>
      <c r="ASL11" s="241"/>
      <c r="ASM11" s="241"/>
      <c r="ASN11" s="241"/>
      <c r="ASO11" s="241"/>
      <c r="ASP11" s="241"/>
      <c r="ASQ11" s="241"/>
      <c r="ASR11" s="241"/>
      <c r="ASS11" s="241"/>
      <c r="AST11" s="241"/>
      <c r="ASU11" s="241"/>
      <c r="ASV11" s="241"/>
      <c r="ASW11" s="241"/>
      <c r="ASX11" s="241"/>
      <c r="ASY11" s="241"/>
      <c r="ASZ11" s="241"/>
      <c r="ATA11" s="241"/>
      <c r="ATB11" s="241"/>
      <c r="ATC11" s="241"/>
      <c r="ATD11" s="241"/>
      <c r="ATE11" s="241"/>
      <c r="ATF11" s="241"/>
      <c r="ATG11" s="241"/>
      <c r="ATH11" s="241"/>
      <c r="ATI11" s="241"/>
      <c r="ATJ11" s="241" t="s">
        <v>114</v>
      </c>
      <c r="ATK11" s="241"/>
      <c r="ATL11" s="241"/>
      <c r="ATM11" s="241"/>
      <c r="ATN11" s="241"/>
      <c r="ATO11" s="241"/>
      <c r="ATP11" s="241"/>
      <c r="ATQ11" s="241"/>
      <c r="ATR11" s="241"/>
      <c r="ATS11" s="241"/>
      <c r="ATT11" s="241"/>
      <c r="ATU11" s="241"/>
      <c r="ATV11" s="241"/>
      <c r="ATW11" s="241"/>
      <c r="ATX11" s="241"/>
      <c r="ATY11" s="241"/>
      <c r="ATZ11" s="241"/>
      <c r="AUA11" s="241"/>
      <c r="AUB11" s="241"/>
      <c r="AUC11" s="241"/>
      <c r="AUD11" s="241"/>
      <c r="AUE11" s="241"/>
      <c r="AUF11" s="241"/>
      <c r="AUG11" s="241"/>
      <c r="AUH11" s="241"/>
      <c r="AUI11" s="241"/>
      <c r="AUJ11" s="241"/>
      <c r="AUK11" s="241"/>
      <c r="AUL11" s="241"/>
      <c r="AUM11" s="241"/>
      <c r="AUN11" s="241"/>
      <c r="AUO11" s="241"/>
      <c r="AUP11" s="241"/>
      <c r="AUQ11" s="241"/>
      <c r="AUR11" s="241"/>
      <c r="AUS11" s="241"/>
      <c r="AUT11" s="241"/>
      <c r="AUU11" s="241"/>
      <c r="AUV11" s="241"/>
      <c r="AUW11" s="241"/>
      <c r="AUX11" s="241"/>
      <c r="AUY11" s="241"/>
      <c r="AUZ11" s="241"/>
      <c r="AVA11" s="241"/>
      <c r="AVB11" s="241"/>
      <c r="AVC11" s="241"/>
      <c r="AVD11" s="241"/>
      <c r="AVE11" s="241"/>
      <c r="AVF11" s="241"/>
      <c r="AVG11" s="241"/>
      <c r="AVH11" s="241"/>
      <c r="AVI11" s="241"/>
      <c r="AVJ11" s="241"/>
      <c r="AVK11" s="241"/>
      <c r="AVL11" s="241"/>
      <c r="AVM11" s="241"/>
      <c r="AVN11" s="241"/>
      <c r="AVO11" s="241"/>
      <c r="AVP11" s="241"/>
      <c r="AVQ11" s="241"/>
      <c r="AVR11" s="241" t="s">
        <v>125</v>
      </c>
      <c r="AVS11" s="241"/>
      <c r="AVT11" s="241"/>
      <c r="AVU11" s="241"/>
      <c r="AVV11" s="241"/>
      <c r="AVW11" s="241"/>
      <c r="AVX11" s="241"/>
      <c r="AVY11" s="241"/>
      <c r="AVZ11" s="241"/>
      <c r="AWA11" s="241"/>
      <c r="AWB11" s="241"/>
      <c r="AWC11" s="241"/>
      <c r="AWD11" s="241"/>
      <c r="AWE11" s="241"/>
      <c r="AWF11" s="241"/>
      <c r="AWG11" s="241"/>
      <c r="AWH11" s="241"/>
      <c r="AWI11" s="241"/>
      <c r="AWJ11" s="241"/>
      <c r="AWK11" s="241"/>
      <c r="AWL11" s="241"/>
      <c r="AWM11" s="241"/>
      <c r="AWN11" s="241"/>
      <c r="AWO11" s="241"/>
      <c r="AWP11" s="241"/>
      <c r="AWQ11" s="241"/>
      <c r="AWR11" s="241"/>
      <c r="AWS11" s="241"/>
      <c r="AWT11" s="241"/>
      <c r="AWU11" s="241"/>
      <c r="AWV11" s="241"/>
      <c r="AWW11" s="241"/>
      <c r="AWX11" s="241"/>
      <c r="AWY11" s="241"/>
      <c r="AWZ11" s="241"/>
      <c r="AXA11" s="241"/>
      <c r="AXB11" s="241"/>
      <c r="AXC11" s="241"/>
      <c r="AXD11" s="241"/>
      <c r="AXE11" s="241"/>
      <c r="AXF11" s="241"/>
      <c r="AXG11" s="241"/>
      <c r="AXH11" s="241"/>
      <c r="AXI11" s="241"/>
      <c r="AXJ11" s="241"/>
      <c r="AXK11" s="241"/>
      <c r="AXL11" s="241"/>
      <c r="AXM11" s="241"/>
      <c r="AXN11" s="241"/>
      <c r="AXO11" s="241"/>
      <c r="AXP11" s="241"/>
      <c r="AXQ11" s="241"/>
      <c r="AXR11" s="241"/>
      <c r="AXS11" s="241"/>
      <c r="AXT11" s="241"/>
      <c r="AXU11" s="241"/>
      <c r="AXV11" s="241"/>
      <c r="AXW11" s="241"/>
      <c r="AXX11" s="241"/>
      <c r="AXY11" s="241"/>
      <c r="AXZ11" s="241" t="s">
        <v>125</v>
      </c>
      <c r="AYA11" s="241"/>
      <c r="AYB11" s="241"/>
      <c r="AYC11" s="241"/>
      <c r="AYD11" s="241"/>
      <c r="AYE11" s="241"/>
      <c r="AYF11" s="241"/>
      <c r="AYG11" s="241"/>
      <c r="AYH11" s="241"/>
      <c r="AYI11" s="241"/>
      <c r="AYJ11" s="241"/>
      <c r="AYK11" s="241"/>
      <c r="AYL11" s="241"/>
      <c r="AYM11" s="241"/>
      <c r="AYN11" s="241"/>
      <c r="AYO11" s="241"/>
      <c r="AYP11" s="241"/>
      <c r="AYQ11" s="241"/>
      <c r="AYR11" s="241"/>
      <c r="AYS11" s="241"/>
      <c r="AYT11" s="241"/>
      <c r="AYU11" s="241"/>
      <c r="AYV11" s="241"/>
      <c r="AYW11" s="241"/>
      <c r="AYX11" s="241"/>
      <c r="AYY11" s="241"/>
      <c r="AYZ11" s="241"/>
      <c r="AZA11" s="241"/>
      <c r="AZB11" s="241"/>
      <c r="AZC11" s="241"/>
      <c r="AZD11" s="241"/>
      <c r="AZE11" s="241"/>
      <c r="AZF11" s="241"/>
      <c r="AZG11" s="241"/>
      <c r="AZH11" s="241"/>
      <c r="AZI11" s="241"/>
      <c r="AZJ11" s="241"/>
      <c r="AZK11" s="241"/>
      <c r="AZL11" s="241"/>
      <c r="AZM11" s="241"/>
      <c r="AZN11" s="241"/>
      <c r="AZO11" s="241"/>
      <c r="AZP11" s="241"/>
      <c r="AZQ11" s="241"/>
      <c r="AZR11" s="241"/>
      <c r="AZS11" s="241"/>
      <c r="AZT11" s="241"/>
      <c r="AZU11" s="241"/>
      <c r="AZV11" s="241"/>
      <c r="AZW11" s="241"/>
      <c r="AZX11" s="241"/>
      <c r="AZY11" s="241"/>
      <c r="AZZ11" s="241"/>
      <c r="BAA11" s="241"/>
      <c r="BAB11" s="241"/>
      <c r="BAC11" s="241"/>
      <c r="BAD11" s="241"/>
      <c r="BAE11" s="241"/>
      <c r="BAF11" s="241"/>
      <c r="BAG11" s="241"/>
      <c r="BAH11" s="241" t="s">
        <v>124</v>
      </c>
      <c r="BAI11" s="241"/>
      <c r="BAJ11" s="241"/>
      <c r="BAK11" s="241"/>
      <c r="BAL11" s="241"/>
      <c r="BAM11" s="241"/>
      <c r="BAN11" s="241"/>
      <c r="BAO11" s="241"/>
      <c r="BAP11" s="241"/>
      <c r="BAQ11" s="241"/>
      <c r="BAR11" s="241"/>
      <c r="BAS11" s="241"/>
      <c r="BAT11" s="241"/>
      <c r="BAU11" s="241"/>
      <c r="BAV11" s="241"/>
      <c r="BAW11" s="241"/>
      <c r="BAX11" s="241"/>
      <c r="BAY11" s="241"/>
      <c r="BAZ11" s="241"/>
      <c r="BBA11" s="241"/>
      <c r="BBB11" s="241"/>
      <c r="BBC11" s="241"/>
      <c r="BBD11" s="241"/>
      <c r="BBE11" s="241"/>
      <c r="BBF11" s="241"/>
      <c r="BBG11" s="241"/>
      <c r="BBH11" s="241"/>
      <c r="BBI11" s="241"/>
      <c r="BBJ11" s="241"/>
      <c r="BBK11" s="241"/>
      <c r="BBL11" s="241"/>
      <c r="BBM11" s="241"/>
      <c r="BBN11" s="241"/>
      <c r="BBO11" s="241"/>
      <c r="BBP11" s="241"/>
      <c r="BBQ11" s="241"/>
      <c r="BBR11" s="241"/>
      <c r="BBS11" s="241"/>
      <c r="BBT11" s="241"/>
      <c r="BBU11" s="241"/>
      <c r="BBV11" s="241"/>
      <c r="BBW11" s="241"/>
      <c r="BBX11" s="241"/>
      <c r="BBY11" s="241"/>
      <c r="BBZ11" s="241"/>
      <c r="BCA11" s="241"/>
      <c r="BCB11" s="241"/>
      <c r="BCC11" s="241"/>
      <c r="BCD11" s="241"/>
      <c r="BCE11" s="241"/>
      <c r="BCF11" s="241"/>
      <c r="BCG11" s="241"/>
      <c r="BCH11" s="241"/>
      <c r="BCI11" s="241"/>
      <c r="BCJ11" s="241"/>
      <c r="BCK11" s="241"/>
      <c r="BCL11" s="241"/>
      <c r="BCM11" s="241"/>
      <c r="BCN11" s="241"/>
      <c r="BCO11" s="241"/>
      <c r="BCP11" s="241" t="s">
        <v>123</v>
      </c>
      <c r="BCQ11" s="241"/>
      <c r="BCR11" s="241"/>
      <c r="BCS11" s="241"/>
      <c r="BCT11" s="241"/>
      <c r="BCU11" s="241"/>
      <c r="BCV11" s="241"/>
      <c r="BCW11" s="241"/>
      <c r="BCX11" s="241"/>
      <c r="BCY11" s="241"/>
      <c r="BCZ11" s="241"/>
      <c r="BDA11" s="241"/>
      <c r="BDB11" s="241"/>
      <c r="BDC11" s="241"/>
      <c r="BDD11" s="241"/>
      <c r="BDE11" s="241"/>
      <c r="BDF11" s="241"/>
      <c r="BDG11" s="241"/>
      <c r="BDH11" s="241"/>
      <c r="BDI11" s="241"/>
      <c r="BDJ11" s="241"/>
      <c r="BDK11" s="241"/>
      <c r="BDL11" s="241"/>
      <c r="BDM11" s="241"/>
      <c r="BDN11" s="241"/>
      <c r="BDO11" s="241"/>
      <c r="BDP11" s="241"/>
      <c r="BDQ11" s="241"/>
      <c r="BDR11" s="241"/>
      <c r="BDS11" s="241"/>
      <c r="BDT11" s="241"/>
      <c r="BDU11" s="241"/>
      <c r="BDV11" s="241"/>
      <c r="BDW11" s="241"/>
      <c r="BDX11" s="241"/>
      <c r="BDY11" s="241"/>
      <c r="BDZ11" s="241"/>
      <c r="BEA11" s="241"/>
      <c r="BEB11" s="241"/>
      <c r="BEC11" s="241"/>
      <c r="BED11" s="241"/>
      <c r="BEE11" s="241"/>
      <c r="BEF11" s="241"/>
      <c r="BEG11" s="241"/>
      <c r="BEH11" s="241"/>
      <c r="BEI11" s="241"/>
      <c r="BEJ11" s="241"/>
      <c r="BEK11" s="241"/>
      <c r="BEL11" s="241"/>
      <c r="BEM11" s="241"/>
      <c r="BEN11" s="241"/>
      <c r="BEO11" s="241"/>
      <c r="BEP11" s="241"/>
      <c r="BEQ11" s="241"/>
      <c r="BER11" s="241"/>
      <c r="BES11" s="241"/>
      <c r="BET11" s="241"/>
      <c r="BEU11" s="241"/>
      <c r="BEV11" s="241"/>
      <c r="BEW11" s="241"/>
      <c r="BEX11" s="241" t="s">
        <v>123</v>
      </c>
      <c r="BEY11" s="241"/>
      <c r="BEZ11" s="241"/>
      <c r="BFA11" s="241"/>
      <c r="BFB11" s="241"/>
      <c r="BFC11" s="241"/>
      <c r="BFD11" s="241"/>
      <c r="BFE11" s="241"/>
      <c r="BFF11" s="241"/>
      <c r="BFG11" s="241"/>
      <c r="BFH11" s="241"/>
      <c r="BFI11" s="241"/>
      <c r="BFJ11" s="241"/>
      <c r="BFK11" s="241"/>
      <c r="BFL11" s="241"/>
      <c r="BFM11" s="241"/>
      <c r="BFN11" s="241"/>
      <c r="BFO11" s="241"/>
      <c r="BFP11" s="241"/>
      <c r="BFQ11" s="241"/>
      <c r="BFR11" s="241"/>
      <c r="BFS11" s="241"/>
      <c r="BFT11" s="241"/>
      <c r="BFU11" s="241"/>
      <c r="BFV11" s="241"/>
      <c r="BFW11" s="241"/>
      <c r="BFX11" s="241"/>
      <c r="BFY11" s="241"/>
      <c r="BFZ11" s="241"/>
      <c r="BGA11" s="241"/>
      <c r="BGB11" s="241"/>
      <c r="BGC11" s="241"/>
      <c r="BGD11" s="241"/>
      <c r="BGE11" s="241"/>
      <c r="BGF11" s="241"/>
      <c r="BGG11" s="241"/>
      <c r="BGH11" s="241"/>
      <c r="BGI11" s="241"/>
      <c r="BGJ11" s="241"/>
      <c r="BGK11" s="241"/>
      <c r="BGL11" s="241"/>
      <c r="BGM11" s="241"/>
      <c r="BGN11" s="241"/>
      <c r="BGO11" s="241"/>
      <c r="BGP11" s="241"/>
      <c r="BGQ11" s="241"/>
      <c r="BGR11" s="241"/>
      <c r="BGS11" s="241"/>
      <c r="BGT11" s="241"/>
      <c r="BGU11" s="241"/>
      <c r="BGV11" s="241"/>
      <c r="BGW11" s="241"/>
      <c r="BGX11" s="241"/>
      <c r="BGY11" s="241"/>
      <c r="BGZ11" s="241"/>
      <c r="BHA11" s="241"/>
      <c r="BHB11" s="241"/>
      <c r="BHC11" s="241"/>
      <c r="BHD11" s="241"/>
      <c r="BHE11" s="241"/>
      <c r="BHF11" s="73" t="s">
        <v>130</v>
      </c>
    </row>
    <row r="12" spans="1:1602" ht="49.5" customHeight="1" thickBot="1" x14ac:dyDescent="0.3">
      <c r="B12" s="143"/>
      <c r="C12" s="245"/>
      <c r="D12" s="245"/>
      <c r="E12" s="245"/>
      <c r="F12" s="251" t="s">
        <v>85</v>
      </c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1"/>
      <c r="AS12" s="251"/>
      <c r="AT12" s="251"/>
      <c r="AU12" s="251"/>
      <c r="AV12" s="251"/>
      <c r="AW12" s="251"/>
      <c r="AX12" s="251"/>
      <c r="AY12" s="251"/>
      <c r="AZ12" s="251"/>
      <c r="BA12" s="251"/>
      <c r="BB12" s="251"/>
      <c r="BC12" s="251"/>
      <c r="BD12" s="251"/>
      <c r="BE12" s="251"/>
      <c r="BF12" s="251"/>
      <c r="BG12" s="251"/>
      <c r="BH12" s="251"/>
      <c r="BI12" s="251"/>
      <c r="BJ12" s="251"/>
      <c r="BK12" s="251"/>
      <c r="BL12" s="251"/>
      <c r="BM12" s="251"/>
      <c r="BN12" s="251" t="s">
        <v>90</v>
      </c>
      <c r="BO12" s="251"/>
      <c r="BP12" s="251"/>
      <c r="BQ12" s="251"/>
      <c r="BR12" s="251"/>
      <c r="BS12" s="251"/>
      <c r="BT12" s="251"/>
      <c r="BU12" s="251"/>
      <c r="BV12" s="251"/>
      <c r="BW12" s="251"/>
      <c r="BX12" s="251"/>
      <c r="BY12" s="251"/>
      <c r="BZ12" s="251"/>
      <c r="CA12" s="251"/>
      <c r="CB12" s="251"/>
      <c r="CC12" s="251"/>
      <c r="CD12" s="251"/>
      <c r="CE12" s="251"/>
      <c r="CF12" s="251"/>
      <c r="CG12" s="251"/>
      <c r="CH12" s="251"/>
      <c r="CI12" s="251"/>
      <c r="CJ12" s="251"/>
      <c r="CK12" s="251"/>
      <c r="CL12" s="251"/>
      <c r="CM12" s="251"/>
      <c r="CN12" s="251"/>
      <c r="CO12" s="251"/>
      <c r="CP12" s="251"/>
      <c r="CQ12" s="251"/>
      <c r="CR12" s="251"/>
      <c r="CS12" s="251"/>
      <c r="CT12" s="251"/>
      <c r="CU12" s="251"/>
      <c r="CV12" s="251"/>
      <c r="CW12" s="251"/>
      <c r="CX12" s="251"/>
      <c r="CY12" s="251"/>
      <c r="CZ12" s="251"/>
      <c r="DA12" s="251"/>
      <c r="DB12" s="251"/>
      <c r="DC12" s="251"/>
      <c r="DD12" s="251"/>
      <c r="DE12" s="251"/>
      <c r="DF12" s="251"/>
      <c r="DG12" s="251"/>
      <c r="DH12" s="251"/>
      <c r="DI12" s="251"/>
      <c r="DJ12" s="251"/>
      <c r="DK12" s="251"/>
      <c r="DL12" s="251"/>
      <c r="DM12" s="251"/>
      <c r="DN12" s="251"/>
      <c r="DO12" s="251"/>
      <c r="DP12" s="251"/>
      <c r="DQ12" s="251"/>
      <c r="DR12" s="251"/>
      <c r="DS12" s="251"/>
      <c r="DT12" s="251"/>
      <c r="DU12" s="251"/>
      <c r="DV12" s="252" t="s">
        <v>90</v>
      </c>
      <c r="DW12" s="252"/>
      <c r="DX12" s="252"/>
      <c r="DY12" s="252"/>
      <c r="DZ12" s="252"/>
      <c r="EA12" s="252"/>
      <c r="EB12" s="252"/>
      <c r="EC12" s="252"/>
      <c r="ED12" s="252"/>
      <c r="EE12" s="252"/>
      <c r="EF12" s="252"/>
      <c r="EG12" s="252"/>
      <c r="EH12" s="252"/>
      <c r="EI12" s="252"/>
      <c r="EJ12" s="252"/>
      <c r="EK12" s="252"/>
      <c r="EL12" s="252"/>
      <c r="EM12" s="252"/>
      <c r="EN12" s="252"/>
      <c r="EO12" s="252"/>
      <c r="EP12" s="252"/>
      <c r="EQ12" s="252"/>
      <c r="ER12" s="252"/>
      <c r="ES12" s="252"/>
      <c r="ET12" s="252"/>
      <c r="EU12" s="252"/>
      <c r="EV12" s="252"/>
      <c r="EW12" s="252"/>
      <c r="EX12" s="252"/>
      <c r="EY12" s="252"/>
      <c r="EZ12" s="252"/>
      <c r="FA12" s="252"/>
      <c r="FB12" s="252"/>
      <c r="FC12" s="252"/>
      <c r="FD12" s="252"/>
      <c r="FE12" s="252"/>
      <c r="FF12" s="252"/>
      <c r="FG12" s="252"/>
      <c r="FH12" s="252"/>
      <c r="FI12" s="252"/>
      <c r="FJ12" s="252"/>
      <c r="FK12" s="252"/>
      <c r="FL12" s="252"/>
      <c r="FM12" s="252"/>
      <c r="FN12" s="252"/>
      <c r="FO12" s="252"/>
      <c r="FP12" s="252"/>
      <c r="FQ12" s="252"/>
      <c r="FR12" s="252"/>
      <c r="FS12" s="252"/>
      <c r="FT12" s="252"/>
      <c r="FU12" s="252"/>
      <c r="FV12" s="252"/>
      <c r="FW12" s="252"/>
      <c r="FX12" s="252"/>
      <c r="FY12" s="252"/>
      <c r="FZ12" s="252"/>
      <c r="GA12" s="252"/>
      <c r="GB12" s="252"/>
      <c r="GC12" s="252"/>
      <c r="GD12" s="240" t="s">
        <v>85</v>
      </c>
      <c r="GE12" s="240"/>
      <c r="GF12" s="240"/>
      <c r="GG12" s="240"/>
      <c r="GH12" s="240"/>
      <c r="GI12" s="240"/>
      <c r="GJ12" s="240"/>
      <c r="GK12" s="240"/>
      <c r="GL12" s="240"/>
      <c r="GM12" s="240"/>
      <c r="GN12" s="240"/>
      <c r="GO12" s="240"/>
      <c r="GP12" s="240"/>
      <c r="GQ12" s="240"/>
      <c r="GR12" s="240"/>
      <c r="GS12" s="240"/>
      <c r="GT12" s="240"/>
      <c r="GU12" s="240"/>
      <c r="GV12" s="240"/>
      <c r="GW12" s="240"/>
      <c r="GX12" s="240"/>
      <c r="GY12" s="240"/>
      <c r="GZ12" s="240"/>
      <c r="HA12" s="240"/>
      <c r="HB12" s="240"/>
      <c r="HC12" s="240"/>
      <c r="HD12" s="240"/>
      <c r="HE12" s="240"/>
      <c r="HF12" s="240"/>
      <c r="HG12" s="240"/>
      <c r="HH12" s="240"/>
      <c r="HI12" s="240"/>
      <c r="HJ12" s="240"/>
      <c r="HK12" s="240"/>
      <c r="HL12" s="240"/>
      <c r="HM12" s="240"/>
      <c r="HN12" s="240"/>
      <c r="HO12" s="240"/>
      <c r="HP12" s="240"/>
      <c r="HQ12" s="240"/>
      <c r="HR12" s="240"/>
      <c r="HS12" s="240"/>
      <c r="HT12" s="240"/>
      <c r="HU12" s="240"/>
      <c r="HV12" s="240"/>
      <c r="HW12" s="240"/>
      <c r="HX12" s="240"/>
      <c r="HY12" s="240"/>
      <c r="HZ12" s="240"/>
      <c r="IA12" s="240"/>
      <c r="IB12" s="240"/>
      <c r="IC12" s="240"/>
      <c r="ID12" s="240"/>
      <c r="IE12" s="240"/>
      <c r="IF12" s="240"/>
      <c r="IG12" s="240"/>
      <c r="IH12" s="240"/>
      <c r="II12" s="240"/>
      <c r="IJ12" s="240"/>
      <c r="IK12" s="240"/>
      <c r="IL12" s="240" t="s">
        <v>90</v>
      </c>
      <c r="IM12" s="240"/>
      <c r="IN12" s="240"/>
      <c r="IO12" s="240"/>
      <c r="IP12" s="240"/>
      <c r="IQ12" s="240"/>
      <c r="IR12" s="240"/>
      <c r="IS12" s="240"/>
      <c r="IT12" s="240"/>
      <c r="IU12" s="240"/>
      <c r="IV12" s="240"/>
      <c r="IW12" s="240"/>
      <c r="IX12" s="240"/>
      <c r="IY12" s="240"/>
      <c r="IZ12" s="240"/>
      <c r="JA12" s="240"/>
      <c r="JB12" s="240"/>
      <c r="JC12" s="240"/>
      <c r="JD12" s="240"/>
      <c r="JE12" s="240"/>
      <c r="JF12" s="240"/>
      <c r="JG12" s="240"/>
      <c r="JH12" s="240"/>
      <c r="JI12" s="240"/>
      <c r="JJ12" s="240"/>
      <c r="JK12" s="240"/>
      <c r="JL12" s="240"/>
      <c r="JM12" s="240"/>
      <c r="JN12" s="240"/>
      <c r="JO12" s="240"/>
      <c r="JP12" s="240"/>
      <c r="JQ12" s="240"/>
      <c r="JR12" s="240"/>
      <c r="JS12" s="240"/>
      <c r="JT12" s="240"/>
      <c r="JU12" s="240"/>
      <c r="JV12" s="240"/>
      <c r="JW12" s="240"/>
      <c r="JX12" s="240"/>
      <c r="JY12" s="240"/>
      <c r="JZ12" s="240"/>
      <c r="KA12" s="240"/>
      <c r="KB12" s="240"/>
      <c r="KC12" s="240"/>
      <c r="KD12" s="240"/>
      <c r="KE12" s="240"/>
      <c r="KF12" s="240"/>
      <c r="KG12" s="240"/>
      <c r="KH12" s="240"/>
      <c r="KI12" s="240"/>
      <c r="KJ12" s="240"/>
      <c r="KK12" s="240"/>
      <c r="KL12" s="240"/>
      <c r="KM12" s="240"/>
      <c r="KN12" s="240"/>
      <c r="KO12" s="240"/>
      <c r="KP12" s="240"/>
      <c r="KQ12" s="240"/>
      <c r="KR12" s="240"/>
      <c r="KS12" s="240"/>
      <c r="KT12" s="240" t="s">
        <v>85</v>
      </c>
      <c r="KU12" s="240"/>
      <c r="KV12" s="240"/>
      <c r="KW12" s="240"/>
      <c r="KX12" s="240"/>
      <c r="KY12" s="240"/>
      <c r="KZ12" s="240"/>
      <c r="LA12" s="240"/>
      <c r="LB12" s="240"/>
      <c r="LC12" s="240"/>
      <c r="LD12" s="240"/>
      <c r="LE12" s="240"/>
      <c r="LF12" s="240"/>
      <c r="LG12" s="240"/>
      <c r="LH12" s="240"/>
      <c r="LI12" s="240"/>
      <c r="LJ12" s="240"/>
      <c r="LK12" s="240"/>
      <c r="LL12" s="240"/>
      <c r="LM12" s="240"/>
      <c r="LN12" s="240"/>
      <c r="LO12" s="240"/>
      <c r="LP12" s="240"/>
      <c r="LQ12" s="240"/>
      <c r="LR12" s="240"/>
      <c r="LS12" s="240"/>
      <c r="LT12" s="240"/>
      <c r="LU12" s="240"/>
      <c r="LV12" s="240"/>
      <c r="LW12" s="240"/>
      <c r="LX12" s="240"/>
      <c r="LY12" s="240"/>
      <c r="LZ12" s="240"/>
      <c r="MA12" s="240"/>
      <c r="MB12" s="240"/>
      <c r="MC12" s="240"/>
      <c r="MD12" s="240"/>
      <c r="ME12" s="240"/>
      <c r="MF12" s="240"/>
      <c r="MG12" s="240"/>
      <c r="MH12" s="240"/>
      <c r="MI12" s="240"/>
      <c r="MJ12" s="240"/>
      <c r="MK12" s="240"/>
      <c r="ML12" s="240"/>
      <c r="MM12" s="240"/>
      <c r="MN12" s="240"/>
      <c r="MO12" s="240"/>
      <c r="MP12" s="240"/>
      <c r="MQ12" s="240"/>
      <c r="MR12" s="240"/>
      <c r="MS12" s="240"/>
      <c r="MT12" s="240"/>
      <c r="MU12" s="240"/>
      <c r="MV12" s="240"/>
      <c r="MW12" s="240"/>
      <c r="MX12" s="240"/>
      <c r="MY12" s="240"/>
      <c r="MZ12" s="240"/>
      <c r="NA12" s="240"/>
      <c r="NB12" s="240" t="s">
        <v>90</v>
      </c>
      <c r="NC12" s="240"/>
      <c r="ND12" s="240"/>
      <c r="NE12" s="240"/>
      <c r="NF12" s="240"/>
      <c r="NG12" s="240"/>
      <c r="NH12" s="240"/>
      <c r="NI12" s="240"/>
      <c r="NJ12" s="240"/>
      <c r="NK12" s="240"/>
      <c r="NL12" s="240"/>
      <c r="NM12" s="240"/>
      <c r="NN12" s="240"/>
      <c r="NO12" s="240"/>
      <c r="NP12" s="240"/>
      <c r="NQ12" s="240"/>
      <c r="NR12" s="240"/>
      <c r="NS12" s="240"/>
      <c r="NT12" s="240"/>
      <c r="NU12" s="240"/>
      <c r="NV12" s="240"/>
      <c r="NW12" s="240"/>
      <c r="NX12" s="240"/>
      <c r="NY12" s="240"/>
      <c r="NZ12" s="240"/>
      <c r="OA12" s="240"/>
      <c r="OB12" s="240"/>
      <c r="OC12" s="240"/>
      <c r="OD12" s="240"/>
      <c r="OE12" s="240"/>
      <c r="OF12" s="240"/>
      <c r="OG12" s="240"/>
      <c r="OH12" s="240"/>
      <c r="OI12" s="240"/>
      <c r="OJ12" s="240"/>
      <c r="OK12" s="240"/>
      <c r="OL12" s="240"/>
      <c r="OM12" s="240"/>
      <c r="ON12" s="240"/>
      <c r="OO12" s="240"/>
      <c r="OP12" s="240"/>
      <c r="OQ12" s="240"/>
      <c r="OR12" s="240"/>
      <c r="OS12" s="240"/>
      <c r="OT12" s="240"/>
      <c r="OU12" s="240"/>
      <c r="OV12" s="240"/>
      <c r="OW12" s="240"/>
      <c r="OX12" s="240"/>
      <c r="OY12" s="240"/>
      <c r="OZ12" s="240"/>
      <c r="PA12" s="240"/>
      <c r="PB12" s="240"/>
      <c r="PC12" s="240"/>
      <c r="PD12" s="240"/>
      <c r="PE12" s="240"/>
      <c r="PF12" s="240"/>
      <c r="PG12" s="240"/>
      <c r="PH12" s="240"/>
      <c r="PI12" s="240"/>
      <c r="PJ12" s="240" t="s">
        <v>85</v>
      </c>
      <c r="PK12" s="240"/>
      <c r="PL12" s="240"/>
      <c r="PM12" s="240"/>
      <c r="PN12" s="240"/>
      <c r="PO12" s="240"/>
      <c r="PP12" s="240"/>
      <c r="PQ12" s="240"/>
      <c r="PR12" s="240"/>
      <c r="PS12" s="240"/>
      <c r="PT12" s="240"/>
      <c r="PU12" s="240"/>
      <c r="PV12" s="240"/>
      <c r="PW12" s="240"/>
      <c r="PX12" s="240"/>
      <c r="PY12" s="240"/>
      <c r="PZ12" s="240"/>
      <c r="QA12" s="240"/>
      <c r="QB12" s="240"/>
      <c r="QC12" s="240"/>
      <c r="QD12" s="240"/>
      <c r="QE12" s="240"/>
      <c r="QF12" s="240"/>
      <c r="QG12" s="240"/>
      <c r="QH12" s="240"/>
      <c r="QI12" s="240"/>
      <c r="QJ12" s="240"/>
      <c r="QK12" s="240"/>
      <c r="QL12" s="240"/>
      <c r="QM12" s="240"/>
      <c r="QN12" s="240"/>
      <c r="QO12" s="240"/>
      <c r="QP12" s="240"/>
      <c r="QQ12" s="240"/>
      <c r="QR12" s="240"/>
      <c r="QS12" s="240"/>
      <c r="QT12" s="240"/>
      <c r="QU12" s="240"/>
      <c r="QV12" s="240"/>
      <c r="QW12" s="240"/>
      <c r="QX12" s="240"/>
      <c r="QY12" s="240"/>
      <c r="QZ12" s="240"/>
      <c r="RA12" s="240"/>
      <c r="RB12" s="240"/>
      <c r="RC12" s="240"/>
      <c r="RD12" s="240"/>
      <c r="RE12" s="240"/>
      <c r="RF12" s="240"/>
      <c r="RG12" s="240"/>
      <c r="RH12" s="240"/>
      <c r="RI12" s="240"/>
      <c r="RJ12" s="240"/>
      <c r="RK12" s="240"/>
      <c r="RL12" s="240"/>
      <c r="RM12" s="240"/>
      <c r="RN12" s="240"/>
      <c r="RO12" s="240"/>
      <c r="RP12" s="240"/>
      <c r="RQ12" s="240"/>
      <c r="RR12" s="240" t="s">
        <v>90</v>
      </c>
      <c r="RS12" s="240"/>
      <c r="RT12" s="240"/>
      <c r="RU12" s="240"/>
      <c r="RV12" s="240"/>
      <c r="RW12" s="240"/>
      <c r="RX12" s="240"/>
      <c r="RY12" s="240"/>
      <c r="RZ12" s="240"/>
      <c r="SA12" s="240"/>
      <c r="SB12" s="240"/>
      <c r="SC12" s="240"/>
      <c r="SD12" s="240"/>
      <c r="SE12" s="240"/>
      <c r="SF12" s="240"/>
      <c r="SG12" s="240"/>
      <c r="SH12" s="240"/>
      <c r="SI12" s="240"/>
      <c r="SJ12" s="240"/>
      <c r="SK12" s="240"/>
      <c r="SL12" s="240"/>
      <c r="SM12" s="240"/>
      <c r="SN12" s="240"/>
      <c r="SO12" s="240"/>
      <c r="SP12" s="240"/>
      <c r="SQ12" s="240"/>
      <c r="SR12" s="240"/>
      <c r="SS12" s="240"/>
      <c r="ST12" s="240"/>
      <c r="SU12" s="240"/>
      <c r="SV12" s="240"/>
      <c r="SW12" s="240"/>
      <c r="SX12" s="240"/>
      <c r="SY12" s="240"/>
      <c r="SZ12" s="240"/>
      <c r="TA12" s="240"/>
      <c r="TB12" s="240"/>
      <c r="TC12" s="240"/>
      <c r="TD12" s="240"/>
      <c r="TE12" s="240"/>
      <c r="TF12" s="240"/>
      <c r="TG12" s="240"/>
      <c r="TH12" s="240"/>
      <c r="TI12" s="240"/>
      <c r="TJ12" s="240"/>
      <c r="TK12" s="240"/>
      <c r="TL12" s="240"/>
      <c r="TM12" s="240"/>
      <c r="TN12" s="240"/>
      <c r="TO12" s="240"/>
      <c r="TP12" s="240"/>
      <c r="TQ12" s="240"/>
      <c r="TR12" s="240"/>
      <c r="TS12" s="240"/>
      <c r="TT12" s="240"/>
      <c r="TU12" s="240"/>
      <c r="TV12" s="240"/>
      <c r="TW12" s="240"/>
      <c r="TX12" s="240"/>
      <c r="TY12" s="240"/>
      <c r="TZ12" s="240" t="s">
        <v>90</v>
      </c>
      <c r="UA12" s="240"/>
      <c r="UB12" s="240"/>
      <c r="UC12" s="240"/>
      <c r="UD12" s="240"/>
      <c r="UE12" s="240"/>
      <c r="UF12" s="240"/>
      <c r="UG12" s="240"/>
      <c r="UH12" s="240"/>
      <c r="UI12" s="240"/>
      <c r="UJ12" s="240"/>
      <c r="UK12" s="240"/>
      <c r="UL12" s="240"/>
      <c r="UM12" s="240"/>
      <c r="UN12" s="240"/>
      <c r="UO12" s="240"/>
      <c r="UP12" s="240"/>
      <c r="UQ12" s="240"/>
      <c r="UR12" s="240"/>
      <c r="US12" s="240"/>
      <c r="UT12" s="240"/>
      <c r="UU12" s="240"/>
      <c r="UV12" s="240"/>
      <c r="UW12" s="240"/>
      <c r="UX12" s="240"/>
      <c r="UY12" s="240"/>
      <c r="UZ12" s="240"/>
      <c r="VA12" s="240"/>
      <c r="VB12" s="240"/>
      <c r="VC12" s="240"/>
      <c r="VD12" s="240"/>
      <c r="VE12" s="240"/>
      <c r="VF12" s="240"/>
      <c r="VG12" s="240"/>
      <c r="VH12" s="240"/>
      <c r="VI12" s="240"/>
      <c r="VJ12" s="240"/>
      <c r="VK12" s="240"/>
      <c r="VL12" s="240"/>
      <c r="VM12" s="240"/>
      <c r="VN12" s="240"/>
      <c r="VO12" s="240"/>
      <c r="VP12" s="240"/>
      <c r="VQ12" s="240"/>
      <c r="VR12" s="240"/>
      <c r="VS12" s="240"/>
      <c r="VT12" s="240"/>
      <c r="VU12" s="240"/>
      <c r="VV12" s="240"/>
      <c r="VW12" s="240"/>
      <c r="VX12" s="240"/>
      <c r="VY12" s="240"/>
      <c r="VZ12" s="240"/>
      <c r="WA12" s="240"/>
      <c r="WB12" s="240"/>
      <c r="WC12" s="240"/>
      <c r="WD12" s="240"/>
      <c r="WE12" s="240"/>
      <c r="WF12" s="240"/>
      <c r="WG12" s="240"/>
      <c r="WH12" s="240" t="s">
        <v>85</v>
      </c>
      <c r="WI12" s="240"/>
      <c r="WJ12" s="240"/>
      <c r="WK12" s="240"/>
      <c r="WL12" s="240"/>
      <c r="WM12" s="240"/>
      <c r="WN12" s="240"/>
      <c r="WO12" s="240"/>
      <c r="WP12" s="240"/>
      <c r="WQ12" s="240"/>
      <c r="WR12" s="240"/>
      <c r="WS12" s="240"/>
      <c r="WT12" s="240"/>
      <c r="WU12" s="240"/>
      <c r="WV12" s="240"/>
      <c r="WW12" s="240"/>
      <c r="WX12" s="240"/>
      <c r="WY12" s="240"/>
      <c r="WZ12" s="240"/>
      <c r="XA12" s="240"/>
      <c r="XB12" s="240"/>
      <c r="XC12" s="240"/>
      <c r="XD12" s="240"/>
      <c r="XE12" s="240"/>
      <c r="XF12" s="240"/>
      <c r="XG12" s="240"/>
      <c r="XH12" s="240"/>
      <c r="XI12" s="240"/>
      <c r="XJ12" s="240"/>
      <c r="XK12" s="240"/>
      <c r="XL12" s="240"/>
      <c r="XM12" s="240"/>
      <c r="XN12" s="240"/>
      <c r="XO12" s="240"/>
      <c r="XP12" s="240"/>
      <c r="XQ12" s="240"/>
      <c r="XR12" s="240"/>
      <c r="XS12" s="240"/>
      <c r="XT12" s="240"/>
      <c r="XU12" s="240"/>
      <c r="XV12" s="240"/>
      <c r="XW12" s="240"/>
      <c r="XX12" s="240"/>
      <c r="XY12" s="240"/>
      <c r="XZ12" s="240"/>
      <c r="YA12" s="240"/>
      <c r="YB12" s="240"/>
      <c r="YC12" s="240"/>
      <c r="YD12" s="240"/>
      <c r="YE12" s="240"/>
      <c r="YF12" s="240"/>
      <c r="YG12" s="240"/>
      <c r="YH12" s="240"/>
      <c r="YI12" s="240"/>
      <c r="YJ12" s="240"/>
      <c r="YK12" s="240"/>
      <c r="YL12" s="240"/>
      <c r="YM12" s="240"/>
      <c r="YN12" s="240"/>
      <c r="YO12" s="240"/>
      <c r="YP12" s="240" t="s">
        <v>90</v>
      </c>
      <c r="YQ12" s="240"/>
      <c r="YR12" s="240"/>
      <c r="YS12" s="240"/>
      <c r="YT12" s="240"/>
      <c r="YU12" s="240"/>
      <c r="YV12" s="240"/>
      <c r="YW12" s="240"/>
      <c r="YX12" s="240"/>
      <c r="YY12" s="240"/>
      <c r="YZ12" s="240"/>
      <c r="ZA12" s="240"/>
      <c r="ZB12" s="240"/>
      <c r="ZC12" s="240"/>
      <c r="ZD12" s="240"/>
      <c r="ZE12" s="240"/>
      <c r="ZF12" s="240"/>
      <c r="ZG12" s="240"/>
      <c r="ZH12" s="240"/>
      <c r="ZI12" s="240"/>
      <c r="ZJ12" s="240"/>
      <c r="ZK12" s="240"/>
      <c r="ZL12" s="240"/>
      <c r="ZM12" s="240"/>
      <c r="ZN12" s="240"/>
      <c r="ZO12" s="240"/>
      <c r="ZP12" s="240"/>
      <c r="ZQ12" s="240"/>
      <c r="ZR12" s="240"/>
      <c r="ZS12" s="240"/>
      <c r="ZT12" s="240"/>
      <c r="ZU12" s="240"/>
      <c r="ZV12" s="240"/>
      <c r="ZW12" s="240"/>
      <c r="ZX12" s="240"/>
      <c r="ZY12" s="240"/>
      <c r="ZZ12" s="240"/>
      <c r="AAA12" s="240"/>
      <c r="AAB12" s="240"/>
      <c r="AAC12" s="240"/>
      <c r="AAD12" s="240"/>
      <c r="AAE12" s="240"/>
      <c r="AAF12" s="240"/>
      <c r="AAG12" s="240"/>
      <c r="AAH12" s="240"/>
      <c r="AAI12" s="240"/>
      <c r="AAJ12" s="240"/>
      <c r="AAK12" s="240"/>
      <c r="AAL12" s="240"/>
      <c r="AAM12" s="240"/>
      <c r="AAN12" s="240"/>
      <c r="AAO12" s="240"/>
      <c r="AAP12" s="240"/>
      <c r="AAQ12" s="240"/>
      <c r="AAR12" s="240"/>
      <c r="AAS12" s="240"/>
      <c r="AAT12" s="240"/>
      <c r="AAU12" s="240"/>
      <c r="AAV12" s="240"/>
      <c r="AAW12" s="240"/>
      <c r="AAX12" s="240" t="s">
        <v>85</v>
      </c>
      <c r="AAY12" s="240"/>
      <c r="AAZ12" s="240"/>
      <c r="ABA12" s="240"/>
      <c r="ABB12" s="240"/>
      <c r="ABC12" s="240"/>
      <c r="ABD12" s="240"/>
      <c r="ABE12" s="240"/>
      <c r="ABF12" s="240"/>
      <c r="ABG12" s="240"/>
      <c r="ABH12" s="240"/>
      <c r="ABI12" s="240"/>
      <c r="ABJ12" s="240"/>
      <c r="ABK12" s="240"/>
      <c r="ABL12" s="240"/>
      <c r="ABM12" s="240"/>
      <c r="ABN12" s="240"/>
      <c r="ABO12" s="240"/>
      <c r="ABP12" s="240"/>
      <c r="ABQ12" s="240"/>
      <c r="ABR12" s="240"/>
      <c r="ABS12" s="240"/>
      <c r="ABT12" s="240"/>
      <c r="ABU12" s="240"/>
      <c r="ABV12" s="240"/>
      <c r="ABW12" s="240"/>
      <c r="ABX12" s="240"/>
      <c r="ABY12" s="240"/>
      <c r="ABZ12" s="240"/>
      <c r="ACA12" s="240"/>
      <c r="ACB12" s="240"/>
      <c r="ACC12" s="240"/>
      <c r="ACD12" s="240"/>
      <c r="ACE12" s="240"/>
      <c r="ACF12" s="240"/>
      <c r="ACG12" s="240"/>
      <c r="ACH12" s="240"/>
      <c r="ACI12" s="240"/>
      <c r="ACJ12" s="240"/>
      <c r="ACK12" s="240"/>
      <c r="ACL12" s="240"/>
      <c r="ACM12" s="240"/>
      <c r="ACN12" s="240"/>
      <c r="ACO12" s="240"/>
      <c r="ACP12" s="240"/>
      <c r="ACQ12" s="240"/>
      <c r="ACR12" s="240"/>
      <c r="ACS12" s="240"/>
      <c r="ACT12" s="240"/>
      <c r="ACU12" s="240"/>
      <c r="ACV12" s="240"/>
      <c r="ACW12" s="240"/>
      <c r="ACX12" s="240"/>
      <c r="ACY12" s="240"/>
      <c r="ACZ12" s="240"/>
      <c r="ADA12" s="240"/>
      <c r="ADB12" s="240"/>
      <c r="ADC12" s="240"/>
      <c r="ADD12" s="240"/>
      <c r="ADE12" s="240"/>
      <c r="ADF12" s="240" t="s">
        <v>90</v>
      </c>
      <c r="ADG12" s="240"/>
      <c r="ADH12" s="240"/>
      <c r="ADI12" s="240"/>
      <c r="ADJ12" s="240"/>
      <c r="ADK12" s="240"/>
      <c r="ADL12" s="240"/>
      <c r="ADM12" s="240"/>
      <c r="ADN12" s="240"/>
      <c r="ADO12" s="240"/>
      <c r="ADP12" s="240"/>
      <c r="ADQ12" s="240"/>
      <c r="ADR12" s="240"/>
      <c r="ADS12" s="240"/>
      <c r="ADT12" s="240"/>
      <c r="ADU12" s="240"/>
      <c r="ADV12" s="240"/>
      <c r="ADW12" s="240"/>
      <c r="ADX12" s="240"/>
      <c r="ADY12" s="240"/>
      <c r="ADZ12" s="240"/>
      <c r="AEA12" s="240"/>
      <c r="AEB12" s="240"/>
      <c r="AEC12" s="240"/>
      <c r="AED12" s="240"/>
      <c r="AEE12" s="240"/>
      <c r="AEF12" s="240"/>
      <c r="AEG12" s="240"/>
      <c r="AEH12" s="240"/>
      <c r="AEI12" s="240"/>
      <c r="AEJ12" s="240"/>
      <c r="AEK12" s="240"/>
      <c r="AEL12" s="240"/>
      <c r="AEM12" s="240"/>
      <c r="AEN12" s="240"/>
      <c r="AEO12" s="240"/>
      <c r="AEP12" s="240"/>
      <c r="AEQ12" s="240"/>
      <c r="AER12" s="240"/>
      <c r="AES12" s="240"/>
      <c r="AET12" s="240"/>
      <c r="AEU12" s="240"/>
      <c r="AEV12" s="240"/>
      <c r="AEW12" s="240"/>
      <c r="AEX12" s="240"/>
      <c r="AEY12" s="240"/>
      <c r="AEZ12" s="240"/>
      <c r="AFA12" s="240"/>
      <c r="AFB12" s="240"/>
      <c r="AFC12" s="240"/>
      <c r="AFD12" s="240"/>
      <c r="AFE12" s="240"/>
      <c r="AFF12" s="240"/>
      <c r="AFG12" s="240"/>
      <c r="AFH12" s="240"/>
      <c r="AFI12" s="240"/>
      <c r="AFJ12" s="240"/>
      <c r="AFK12" s="240"/>
      <c r="AFL12" s="240"/>
      <c r="AFM12" s="240"/>
      <c r="AFN12" s="240" t="s">
        <v>85</v>
      </c>
      <c r="AFO12" s="240"/>
      <c r="AFP12" s="240"/>
      <c r="AFQ12" s="240"/>
      <c r="AFR12" s="240"/>
      <c r="AFS12" s="240"/>
      <c r="AFT12" s="240"/>
      <c r="AFU12" s="240"/>
      <c r="AFV12" s="240"/>
      <c r="AFW12" s="240"/>
      <c r="AFX12" s="240"/>
      <c r="AFY12" s="240"/>
      <c r="AFZ12" s="240"/>
      <c r="AGA12" s="240"/>
      <c r="AGB12" s="240"/>
      <c r="AGC12" s="240"/>
      <c r="AGD12" s="240"/>
      <c r="AGE12" s="240"/>
      <c r="AGF12" s="240"/>
      <c r="AGG12" s="240"/>
      <c r="AGH12" s="240"/>
      <c r="AGI12" s="240"/>
      <c r="AGJ12" s="240"/>
      <c r="AGK12" s="240"/>
      <c r="AGL12" s="240"/>
      <c r="AGM12" s="240"/>
      <c r="AGN12" s="240"/>
      <c r="AGO12" s="240"/>
      <c r="AGP12" s="240"/>
      <c r="AGQ12" s="240"/>
      <c r="AGR12" s="240"/>
      <c r="AGS12" s="240"/>
      <c r="AGT12" s="240"/>
      <c r="AGU12" s="240"/>
      <c r="AGV12" s="240"/>
      <c r="AGW12" s="240"/>
      <c r="AGX12" s="240"/>
      <c r="AGY12" s="240"/>
      <c r="AGZ12" s="240"/>
      <c r="AHA12" s="240"/>
      <c r="AHB12" s="240"/>
      <c r="AHC12" s="240"/>
      <c r="AHD12" s="240"/>
      <c r="AHE12" s="240"/>
      <c r="AHF12" s="240"/>
      <c r="AHG12" s="240"/>
      <c r="AHH12" s="240"/>
      <c r="AHI12" s="240"/>
      <c r="AHJ12" s="240"/>
      <c r="AHK12" s="240"/>
      <c r="AHL12" s="240"/>
      <c r="AHM12" s="240"/>
      <c r="AHN12" s="240"/>
      <c r="AHO12" s="240"/>
      <c r="AHP12" s="240"/>
      <c r="AHQ12" s="240"/>
      <c r="AHR12" s="240"/>
      <c r="AHS12" s="240"/>
      <c r="AHT12" s="240"/>
      <c r="AHU12" s="240"/>
      <c r="AHV12" s="240" t="s">
        <v>90</v>
      </c>
      <c r="AHW12" s="240"/>
      <c r="AHX12" s="240"/>
      <c r="AHY12" s="240"/>
      <c r="AHZ12" s="240"/>
      <c r="AIA12" s="240"/>
      <c r="AIB12" s="240"/>
      <c r="AIC12" s="240"/>
      <c r="AID12" s="240"/>
      <c r="AIE12" s="240"/>
      <c r="AIF12" s="240"/>
      <c r="AIG12" s="240"/>
      <c r="AIH12" s="240"/>
      <c r="AII12" s="240"/>
      <c r="AIJ12" s="240"/>
      <c r="AIK12" s="240"/>
      <c r="AIL12" s="240"/>
      <c r="AIM12" s="240"/>
      <c r="AIN12" s="240"/>
      <c r="AIO12" s="240"/>
      <c r="AIP12" s="240"/>
      <c r="AIQ12" s="240"/>
      <c r="AIR12" s="240"/>
      <c r="AIS12" s="240"/>
      <c r="AIT12" s="240"/>
      <c r="AIU12" s="240"/>
      <c r="AIV12" s="240"/>
      <c r="AIW12" s="240"/>
      <c r="AIX12" s="240"/>
      <c r="AIY12" s="240"/>
      <c r="AIZ12" s="240"/>
      <c r="AJA12" s="240"/>
      <c r="AJB12" s="240"/>
      <c r="AJC12" s="240"/>
      <c r="AJD12" s="240"/>
      <c r="AJE12" s="240"/>
      <c r="AJF12" s="240"/>
      <c r="AJG12" s="240"/>
      <c r="AJH12" s="240"/>
      <c r="AJI12" s="240"/>
      <c r="AJJ12" s="240"/>
      <c r="AJK12" s="240"/>
      <c r="AJL12" s="240"/>
      <c r="AJM12" s="240"/>
      <c r="AJN12" s="240"/>
      <c r="AJO12" s="240"/>
      <c r="AJP12" s="240"/>
      <c r="AJQ12" s="240"/>
      <c r="AJR12" s="240"/>
      <c r="AJS12" s="240"/>
      <c r="AJT12" s="240"/>
      <c r="AJU12" s="240"/>
      <c r="AJV12" s="240"/>
      <c r="AJW12" s="240"/>
      <c r="AJX12" s="240"/>
      <c r="AJY12" s="240"/>
      <c r="AJZ12" s="240"/>
      <c r="AKA12" s="240"/>
      <c r="AKB12" s="240"/>
      <c r="AKC12" s="240"/>
      <c r="AKD12" s="240" t="s">
        <v>90</v>
      </c>
      <c r="AKE12" s="240"/>
      <c r="AKF12" s="240"/>
      <c r="AKG12" s="240"/>
      <c r="AKH12" s="240"/>
      <c r="AKI12" s="240"/>
      <c r="AKJ12" s="240"/>
      <c r="AKK12" s="240"/>
      <c r="AKL12" s="240"/>
      <c r="AKM12" s="240"/>
      <c r="AKN12" s="240"/>
      <c r="AKO12" s="240"/>
      <c r="AKP12" s="240"/>
      <c r="AKQ12" s="240"/>
      <c r="AKR12" s="240"/>
      <c r="AKS12" s="240"/>
      <c r="AKT12" s="240"/>
      <c r="AKU12" s="240"/>
      <c r="AKV12" s="240"/>
      <c r="AKW12" s="240"/>
      <c r="AKX12" s="240"/>
      <c r="AKY12" s="240"/>
      <c r="AKZ12" s="240"/>
      <c r="ALA12" s="240"/>
      <c r="ALB12" s="240"/>
      <c r="ALC12" s="240"/>
      <c r="ALD12" s="240"/>
      <c r="ALE12" s="240"/>
      <c r="ALF12" s="240"/>
      <c r="ALG12" s="240"/>
      <c r="ALH12" s="240"/>
      <c r="ALI12" s="240"/>
      <c r="ALJ12" s="240"/>
      <c r="ALK12" s="240"/>
      <c r="ALL12" s="240"/>
      <c r="ALM12" s="240"/>
      <c r="ALN12" s="240"/>
      <c r="ALO12" s="240"/>
      <c r="ALP12" s="240"/>
      <c r="ALQ12" s="240"/>
      <c r="ALR12" s="240"/>
      <c r="ALS12" s="240"/>
      <c r="ALT12" s="240"/>
      <c r="ALU12" s="240"/>
      <c r="ALV12" s="240"/>
      <c r="ALW12" s="240"/>
      <c r="ALX12" s="240"/>
      <c r="ALY12" s="240"/>
      <c r="ALZ12" s="240"/>
      <c r="AMA12" s="240"/>
      <c r="AMB12" s="240"/>
      <c r="AMC12" s="240"/>
      <c r="AMD12" s="240"/>
      <c r="AME12" s="240"/>
      <c r="AMF12" s="240"/>
      <c r="AMG12" s="240"/>
      <c r="AMH12" s="240"/>
      <c r="AMI12" s="240"/>
      <c r="AMJ12" s="240"/>
      <c r="AMK12" s="240"/>
      <c r="AML12" s="240" t="s">
        <v>85</v>
      </c>
      <c r="AMM12" s="240"/>
      <c r="AMN12" s="240"/>
      <c r="AMO12" s="240"/>
      <c r="AMP12" s="240"/>
      <c r="AMQ12" s="240"/>
      <c r="AMR12" s="240"/>
      <c r="AMS12" s="240"/>
      <c r="AMT12" s="240"/>
      <c r="AMU12" s="240"/>
      <c r="AMV12" s="240"/>
      <c r="AMW12" s="240"/>
      <c r="AMX12" s="240"/>
      <c r="AMY12" s="240"/>
      <c r="AMZ12" s="240"/>
      <c r="ANA12" s="240"/>
      <c r="ANB12" s="240"/>
      <c r="ANC12" s="240"/>
      <c r="AND12" s="240"/>
      <c r="ANE12" s="240"/>
      <c r="ANF12" s="240"/>
      <c r="ANG12" s="240"/>
      <c r="ANH12" s="240"/>
      <c r="ANI12" s="240"/>
      <c r="ANJ12" s="240"/>
      <c r="ANK12" s="240"/>
      <c r="ANL12" s="240"/>
      <c r="ANM12" s="240"/>
      <c r="ANN12" s="240"/>
      <c r="ANO12" s="240"/>
      <c r="ANP12" s="240"/>
      <c r="ANQ12" s="240"/>
      <c r="ANR12" s="240"/>
      <c r="ANS12" s="240"/>
      <c r="ANT12" s="240"/>
      <c r="ANU12" s="240"/>
      <c r="ANV12" s="240"/>
      <c r="ANW12" s="240"/>
      <c r="ANX12" s="240"/>
      <c r="ANY12" s="240"/>
      <c r="ANZ12" s="240"/>
      <c r="AOA12" s="240"/>
      <c r="AOB12" s="240"/>
      <c r="AOC12" s="240"/>
      <c r="AOD12" s="240"/>
      <c r="AOE12" s="240"/>
      <c r="AOF12" s="240"/>
      <c r="AOG12" s="240"/>
      <c r="AOH12" s="240"/>
      <c r="AOI12" s="240"/>
      <c r="AOJ12" s="240"/>
      <c r="AOK12" s="240"/>
      <c r="AOL12" s="240"/>
      <c r="AOM12" s="240"/>
      <c r="AON12" s="240"/>
      <c r="AOO12" s="240"/>
      <c r="AOP12" s="240"/>
      <c r="AOQ12" s="240"/>
      <c r="AOR12" s="240"/>
      <c r="AOS12" s="240"/>
      <c r="AOT12" s="240" t="s">
        <v>90</v>
      </c>
      <c r="AOU12" s="240"/>
      <c r="AOV12" s="240"/>
      <c r="AOW12" s="240"/>
      <c r="AOX12" s="240"/>
      <c r="AOY12" s="240"/>
      <c r="AOZ12" s="240"/>
      <c r="APA12" s="240"/>
      <c r="APB12" s="240"/>
      <c r="APC12" s="240"/>
      <c r="APD12" s="240"/>
      <c r="APE12" s="240"/>
      <c r="APF12" s="240"/>
      <c r="APG12" s="240"/>
      <c r="APH12" s="240"/>
      <c r="API12" s="240"/>
      <c r="APJ12" s="240"/>
      <c r="APK12" s="240"/>
      <c r="APL12" s="240"/>
      <c r="APM12" s="240"/>
      <c r="APN12" s="240"/>
      <c r="APO12" s="240"/>
      <c r="APP12" s="240"/>
      <c r="APQ12" s="240"/>
      <c r="APR12" s="240"/>
      <c r="APS12" s="240"/>
      <c r="APT12" s="240"/>
      <c r="APU12" s="240"/>
      <c r="APV12" s="240"/>
      <c r="APW12" s="240"/>
      <c r="APX12" s="240"/>
      <c r="APY12" s="240"/>
      <c r="APZ12" s="240"/>
      <c r="AQA12" s="240"/>
      <c r="AQB12" s="240"/>
      <c r="AQC12" s="240"/>
      <c r="AQD12" s="240"/>
      <c r="AQE12" s="240"/>
      <c r="AQF12" s="240"/>
      <c r="AQG12" s="240"/>
      <c r="AQH12" s="240"/>
      <c r="AQI12" s="240"/>
      <c r="AQJ12" s="240"/>
      <c r="AQK12" s="240"/>
      <c r="AQL12" s="240"/>
      <c r="AQM12" s="240"/>
      <c r="AQN12" s="240"/>
      <c r="AQO12" s="240"/>
      <c r="AQP12" s="240"/>
      <c r="AQQ12" s="240"/>
      <c r="AQR12" s="240"/>
      <c r="AQS12" s="240"/>
      <c r="AQT12" s="240"/>
      <c r="AQU12" s="240"/>
      <c r="AQV12" s="240"/>
      <c r="AQW12" s="240"/>
      <c r="AQX12" s="240"/>
      <c r="AQY12" s="240"/>
      <c r="AQZ12" s="240"/>
      <c r="ARA12" s="240"/>
      <c r="ARB12" s="240" t="s">
        <v>85</v>
      </c>
      <c r="ARC12" s="240"/>
      <c r="ARD12" s="240"/>
      <c r="ARE12" s="240"/>
      <c r="ARF12" s="240"/>
      <c r="ARG12" s="240"/>
      <c r="ARH12" s="240"/>
      <c r="ARI12" s="240"/>
      <c r="ARJ12" s="240"/>
      <c r="ARK12" s="240"/>
      <c r="ARL12" s="240"/>
      <c r="ARM12" s="240"/>
      <c r="ARN12" s="240"/>
      <c r="ARO12" s="240"/>
      <c r="ARP12" s="240"/>
      <c r="ARQ12" s="240"/>
      <c r="ARR12" s="240"/>
      <c r="ARS12" s="240"/>
      <c r="ART12" s="240"/>
      <c r="ARU12" s="240"/>
      <c r="ARV12" s="240"/>
      <c r="ARW12" s="240"/>
      <c r="ARX12" s="240"/>
      <c r="ARY12" s="240"/>
      <c r="ARZ12" s="240"/>
      <c r="ASA12" s="240"/>
      <c r="ASB12" s="240"/>
      <c r="ASC12" s="240"/>
      <c r="ASD12" s="240"/>
      <c r="ASE12" s="240"/>
      <c r="ASF12" s="240"/>
      <c r="ASG12" s="240"/>
      <c r="ASH12" s="240"/>
      <c r="ASI12" s="240"/>
      <c r="ASJ12" s="240"/>
      <c r="ASK12" s="240"/>
      <c r="ASL12" s="240"/>
      <c r="ASM12" s="240"/>
      <c r="ASN12" s="240"/>
      <c r="ASO12" s="240"/>
      <c r="ASP12" s="240"/>
      <c r="ASQ12" s="240"/>
      <c r="ASR12" s="240"/>
      <c r="ASS12" s="240"/>
      <c r="AST12" s="240"/>
      <c r="ASU12" s="240"/>
      <c r="ASV12" s="240"/>
      <c r="ASW12" s="240"/>
      <c r="ASX12" s="240"/>
      <c r="ASY12" s="240"/>
      <c r="ASZ12" s="240"/>
      <c r="ATA12" s="240"/>
      <c r="ATB12" s="240"/>
      <c r="ATC12" s="240"/>
      <c r="ATD12" s="240"/>
      <c r="ATE12" s="240"/>
      <c r="ATF12" s="240"/>
      <c r="ATG12" s="240"/>
      <c r="ATH12" s="240"/>
      <c r="ATI12" s="240"/>
      <c r="ATJ12" s="240" t="s">
        <v>90</v>
      </c>
      <c r="ATK12" s="240"/>
      <c r="ATL12" s="240"/>
      <c r="ATM12" s="240"/>
      <c r="ATN12" s="240"/>
      <c r="ATO12" s="240"/>
      <c r="ATP12" s="240"/>
      <c r="ATQ12" s="240"/>
      <c r="ATR12" s="240"/>
      <c r="ATS12" s="240"/>
      <c r="ATT12" s="240"/>
      <c r="ATU12" s="240"/>
      <c r="ATV12" s="240"/>
      <c r="ATW12" s="240"/>
      <c r="ATX12" s="240"/>
      <c r="ATY12" s="240"/>
      <c r="ATZ12" s="240"/>
      <c r="AUA12" s="240"/>
      <c r="AUB12" s="240"/>
      <c r="AUC12" s="240"/>
      <c r="AUD12" s="240"/>
      <c r="AUE12" s="240"/>
      <c r="AUF12" s="240"/>
      <c r="AUG12" s="240"/>
      <c r="AUH12" s="240"/>
      <c r="AUI12" s="240"/>
      <c r="AUJ12" s="240"/>
      <c r="AUK12" s="240"/>
      <c r="AUL12" s="240"/>
      <c r="AUM12" s="240"/>
      <c r="AUN12" s="240"/>
      <c r="AUO12" s="240"/>
      <c r="AUP12" s="240"/>
      <c r="AUQ12" s="240"/>
      <c r="AUR12" s="240"/>
      <c r="AUS12" s="240"/>
      <c r="AUT12" s="240"/>
      <c r="AUU12" s="240"/>
      <c r="AUV12" s="240"/>
      <c r="AUW12" s="240"/>
      <c r="AUX12" s="240"/>
      <c r="AUY12" s="240"/>
      <c r="AUZ12" s="240"/>
      <c r="AVA12" s="240"/>
      <c r="AVB12" s="240"/>
      <c r="AVC12" s="240"/>
      <c r="AVD12" s="240"/>
      <c r="AVE12" s="240"/>
      <c r="AVF12" s="240"/>
      <c r="AVG12" s="240"/>
      <c r="AVH12" s="240"/>
      <c r="AVI12" s="240"/>
      <c r="AVJ12" s="240"/>
      <c r="AVK12" s="240"/>
      <c r="AVL12" s="240"/>
      <c r="AVM12" s="240"/>
      <c r="AVN12" s="240"/>
      <c r="AVO12" s="240"/>
      <c r="AVP12" s="240"/>
      <c r="AVQ12" s="240"/>
      <c r="AVR12" s="240" t="s">
        <v>85</v>
      </c>
      <c r="AVS12" s="240"/>
      <c r="AVT12" s="240"/>
      <c r="AVU12" s="240"/>
      <c r="AVV12" s="240"/>
      <c r="AVW12" s="240"/>
      <c r="AVX12" s="240"/>
      <c r="AVY12" s="240"/>
      <c r="AVZ12" s="240"/>
      <c r="AWA12" s="240"/>
      <c r="AWB12" s="240"/>
      <c r="AWC12" s="240"/>
      <c r="AWD12" s="240"/>
      <c r="AWE12" s="240"/>
      <c r="AWF12" s="240"/>
      <c r="AWG12" s="240"/>
      <c r="AWH12" s="240"/>
      <c r="AWI12" s="240"/>
      <c r="AWJ12" s="240"/>
      <c r="AWK12" s="240"/>
      <c r="AWL12" s="240"/>
      <c r="AWM12" s="240"/>
      <c r="AWN12" s="240"/>
      <c r="AWO12" s="240"/>
      <c r="AWP12" s="240"/>
      <c r="AWQ12" s="240"/>
      <c r="AWR12" s="240"/>
      <c r="AWS12" s="240"/>
      <c r="AWT12" s="240"/>
      <c r="AWU12" s="240"/>
      <c r="AWV12" s="240"/>
      <c r="AWW12" s="240"/>
      <c r="AWX12" s="240"/>
      <c r="AWY12" s="240"/>
      <c r="AWZ12" s="240"/>
      <c r="AXA12" s="240"/>
      <c r="AXB12" s="240"/>
      <c r="AXC12" s="240"/>
      <c r="AXD12" s="240"/>
      <c r="AXE12" s="240"/>
      <c r="AXF12" s="240"/>
      <c r="AXG12" s="240"/>
      <c r="AXH12" s="240"/>
      <c r="AXI12" s="240"/>
      <c r="AXJ12" s="240"/>
      <c r="AXK12" s="240"/>
      <c r="AXL12" s="240"/>
      <c r="AXM12" s="240"/>
      <c r="AXN12" s="240"/>
      <c r="AXO12" s="240"/>
      <c r="AXP12" s="240"/>
      <c r="AXQ12" s="240"/>
      <c r="AXR12" s="240"/>
      <c r="AXS12" s="240"/>
      <c r="AXT12" s="240"/>
      <c r="AXU12" s="240"/>
      <c r="AXV12" s="240"/>
      <c r="AXW12" s="240"/>
      <c r="AXX12" s="240"/>
      <c r="AXY12" s="240"/>
      <c r="AXZ12" s="240" t="s">
        <v>90</v>
      </c>
      <c r="AYA12" s="240"/>
      <c r="AYB12" s="240"/>
      <c r="AYC12" s="240"/>
      <c r="AYD12" s="240"/>
      <c r="AYE12" s="240"/>
      <c r="AYF12" s="240"/>
      <c r="AYG12" s="240"/>
      <c r="AYH12" s="240"/>
      <c r="AYI12" s="240"/>
      <c r="AYJ12" s="240"/>
      <c r="AYK12" s="240"/>
      <c r="AYL12" s="240"/>
      <c r="AYM12" s="240"/>
      <c r="AYN12" s="240"/>
      <c r="AYO12" s="240"/>
      <c r="AYP12" s="240"/>
      <c r="AYQ12" s="240"/>
      <c r="AYR12" s="240"/>
      <c r="AYS12" s="240"/>
      <c r="AYT12" s="240"/>
      <c r="AYU12" s="240"/>
      <c r="AYV12" s="240"/>
      <c r="AYW12" s="240"/>
      <c r="AYX12" s="240"/>
      <c r="AYY12" s="240"/>
      <c r="AYZ12" s="240"/>
      <c r="AZA12" s="240"/>
      <c r="AZB12" s="240"/>
      <c r="AZC12" s="240"/>
      <c r="AZD12" s="240"/>
      <c r="AZE12" s="240"/>
      <c r="AZF12" s="240"/>
      <c r="AZG12" s="240"/>
      <c r="AZH12" s="240"/>
      <c r="AZI12" s="240"/>
      <c r="AZJ12" s="240"/>
      <c r="AZK12" s="240"/>
      <c r="AZL12" s="240"/>
      <c r="AZM12" s="240"/>
      <c r="AZN12" s="240"/>
      <c r="AZO12" s="240"/>
      <c r="AZP12" s="240"/>
      <c r="AZQ12" s="240"/>
      <c r="AZR12" s="240"/>
      <c r="AZS12" s="240"/>
      <c r="AZT12" s="240"/>
      <c r="AZU12" s="240"/>
      <c r="AZV12" s="240"/>
      <c r="AZW12" s="240"/>
      <c r="AZX12" s="240"/>
      <c r="AZY12" s="240"/>
      <c r="AZZ12" s="240"/>
      <c r="BAA12" s="240"/>
      <c r="BAB12" s="240"/>
      <c r="BAC12" s="240"/>
      <c r="BAD12" s="240"/>
      <c r="BAE12" s="240"/>
      <c r="BAF12" s="240"/>
      <c r="BAG12" s="240"/>
      <c r="BAH12" s="240" t="s">
        <v>90</v>
      </c>
      <c r="BAI12" s="240"/>
      <c r="BAJ12" s="240"/>
      <c r="BAK12" s="240"/>
      <c r="BAL12" s="240"/>
      <c r="BAM12" s="240"/>
      <c r="BAN12" s="240"/>
      <c r="BAO12" s="240"/>
      <c r="BAP12" s="240"/>
      <c r="BAQ12" s="240"/>
      <c r="BAR12" s="240"/>
      <c r="BAS12" s="240"/>
      <c r="BAT12" s="240"/>
      <c r="BAU12" s="240"/>
      <c r="BAV12" s="240"/>
      <c r="BAW12" s="240"/>
      <c r="BAX12" s="240"/>
      <c r="BAY12" s="240"/>
      <c r="BAZ12" s="240"/>
      <c r="BBA12" s="240"/>
      <c r="BBB12" s="240"/>
      <c r="BBC12" s="240"/>
      <c r="BBD12" s="240"/>
      <c r="BBE12" s="240"/>
      <c r="BBF12" s="240"/>
      <c r="BBG12" s="240"/>
      <c r="BBH12" s="240"/>
      <c r="BBI12" s="240"/>
      <c r="BBJ12" s="240"/>
      <c r="BBK12" s="240"/>
      <c r="BBL12" s="240"/>
      <c r="BBM12" s="240"/>
      <c r="BBN12" s="240"/>
      <c r="BBO12" s="240"/>
      <c r="BBP12" s="240"/>
      <c r="BBQ12" s="240"/>
      <c r="BBR12" s="240"/>
      <c r="BBS12" s="240"/>
      <c r="BBT12" s="240"/>
      <c r="BBU12" s="240"/>
      <c r="BBV12" s="240"/>
      <c r="BBW12" s="240"/>
      <c r="BBX12" s="240"/>
      <c r="BBY12" s="240"/>
      <c r="BBZ12" s="240"/>
      <c r="BCA12" s="240"/>
      <c r="BCB12" s="240"/>
      <c r="BCC12" s="240"/>
      <c r="BCD12" s="240"/>
      <c r="BCE12" s="240"/>
      <c r="BCF12" s="240"/>
      <c r="BCG12" s="240"/>
      <c r="BCH12" s="240"/>
      <c r="BCI12" s="240"/>
      <c r="BCJ12" s="240"/>
      <c r="BCK12" s="240"/>
      <c r="BCL12" s="240"/>
      <c r="BCM12" s="240"/>
      <c r="BCN12" s="240"/>
      <c r="BCO12" s="240"/>
      <c r="BCP12" s="240" t="s">
        <v>85</v>
      </c>
      <c r="BCQ12" s="240"/>
      <c r="BCR12" s="240"/>
      <c r="BCS12" s="240"/>
      <c r="BCT12" s="240"/>
      <c r="BCU12" s="240"/>
      <c r="BCV12" s="240"/>
      <c r="BCW12" s="240"/>
      <c r="BCX12" s="240"/>
      <c r="BCY12" s="240"/>
      <c r="BCZ12" s="240"/>
      <c r="BDA12" s="240"/>
      <c r="BDB12" s="240"/>
      <c r="BDC12" s="240"/>
      <c r="BDD12" s="240"/>
      <c r="BDE12" s="240"/>
      <c r="BDF12" s="240"/>
      <c r="BDG12" s="240"/>
      <c r="BDH12" s="240"/>
      <c r="BDI12" s="240"/>
      <c r="BDJ12" s="240"/>
      <c r="BDK12" s="240"/>
      <c r="BDL12" s="240"/>
      <c r="BDM12" s="240"/>
      <c r="BDN12" s="240"/>
      <c r="BDO12" s="240"/>
      <c r="BDP12" s="240"/>
      <c r="BDQ12" s="240"/>
      <c r="BDR12" s="240"/>
      <c r="BDS12" s="240"/>
      <c r="BDT12" s="240"/>
      <c r="BDU12" s="240"/>
      <c r="BDV12" s="240"/>
      <c r="BDW12" s="240"/>
      <c r="BDX12" s="240"/>
      <c r="BDY12" s="240"/>
      <c r="BDZ12" s="240"/>
      <c r="BEA12" s="240"/>
      <c r="BEB12" s="240"/>
      <c r="BEC12" s="240"/>
      <c r="BED12" s="240"/>
      <c r="BEE12" s="240"/>
      <c r="BEF12" s="240"/>
      <c r="BEG12" s="240"/>
      <c r="BEH12" s="240"/>
      <c r="BEI12" s="240"/>
      <c r="BEJ12" s="240"/>
      <c r="BEK12" s="240"/>
      <c r="BEL12" s="240"/>
      <c r="BEM12" s="240"/>
      <c r="BEN12" s="240"/>
      <c r="BEO12" s="240"/>
      <c r="BEP12" s="240"/>
      <c r="BEQ12" s="240"/>
      <c r="BER12" s="240"/>
      <c r="BES12" s="240"/>
      <c r="BET12" s="240"/>
      <c r="BEU12" s="240"/>
      <c r="BEV12" s="240"/>
      <c r="BEW12" s="240"/>
      <c r="BEX12" s="240" t="s">
        <v>90</v>
      </c>
      <c r="BEY12" s="240"/>
      <c r="BEZ12" s="240"/>
      <c r="BFA12" s="240"/>
      <c r="BFB12" s="240"/>
      <c r="BFC12" s="240"/>
      <c r="BFD12" s="240"/>
      <c r="BFE12" s="240"/>
      <c r="BFF12" s="240"/>
      <c r="BFG12" s="240"/>
      <c r="BFH12" s="240"/>
      <c r="BFI12" s="240"/>
      <c r="BFJ12" s="240"/>
      <c r="BFK12" s="240"/>
      <c r="BFL12" s="240"/>
      <c r="BFM12" s="240"/>
      <c r="BFN12" s="240"/>
      <c r="BFO12" s="240"/>
      <c r="BFP12" s="240"/>
      <c r="BFQ12" s="240"/>
      <c r="BFR12" s="240"/>
      <c r="BFS12" s="240"/>
      <c r="BFT12" s="240"/>
      <c r="BFU12" s="240"/>
      <c r="BFV12" s="240"/>
      <c r="BFW12" s="240"/>
      <c r="BFX12" s="240"/>
      <c r="BFY12" s="240"/>
      <c r="BFZ12" s="240"/>
      <c r="BGA12" s="240"/>
      <c r="BGB12" s="240"/>
      <c r="BGC12" s="240"/>
      <c r="BGD12" s="240"/>
      <c r="BGE12" s="240"/>
      <c r="BGF12" s="240"/>
      <c r="BGG12" s="240"/>
      <c r="BGH12" s="240"/>
      <c r="BGI12" s="240"/>
      <c r="BGJ12" s="240"/>
      <c r="BGK12" s="240"/>
      <c r="BGL12" s="240"/>
      <c r="BGM12" s="240"/>
      <c r="BGN12" s="240"/>
      <c r="BGO12" s="240"/>
      <c r="BGP12" s="240"/>
      <c r="BGQ12" s="240"/>
      <c r="BGR12" s="240"/>
      <c r="BGS12" s="240"/>
      <c r="BGT12" s="240"/>
      <c r="BGU12" s="240"/>
      <c r="BGV12" s="240"/>
      <c r="BGW12" s="240"/>
      <c r="BGX12" s="240"/>
      <c r="BGY12" s="240"/>
      <c r="BGZ12" s="240"/>
      <c r="BHA12" s="240"/>
      <c r="BHB12" s="240"/>
      <c r="BHC12" s="240"/>
      <c r="BHD12" s="240"/>
      <c r="BHE12" s="240"/>
      <c r="BHF12" s="73" t="s">
        <v>85</v>
      </c>
    </row>
    <row r="13" spans="1:1602" ht="42.75" customHeight="1" thickBot="1" x14ac:dyDescent="0.3">
      <c r="B13" s="51"/>
      <c r="C13" s="249" t="s">
        <v>12</v>
      </c>
      <c r="D13" s="117"/>
      <c r="E13" s="247" t="s">
        <v>13</v>
      </c>
      <c r="F13" s="237" t="s">
        <v>14</v>
      </c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8"/>
      <c r="BI13" s="238"/>
      <c r="BJ13" s="238"/>
      <c r="BK13" s="238"/>
      <c r="BL13" s="238"/>
      <c r="BM13" s="239"/>
      <c r="BN13" s="237" t="s">
        <v>15</v>
      </c>
      <c r="BO13" s="238"/>
      <c r="BP13" s="238"/>
      <c r="BQ13" s="238"/>
      <c r="BR13" s="238"/>
      <c r="BS13" s="238"/>
      <c r="BT13" s="238"/>
      <c r="BU13" s="238"/>
      <c r="BV13" s="238"/>
      <c r="BW13" s="238"/>
      <c r="BX13" s="238"/>
      <c r="BY13" s="238"/>
      <c r="BZ13" s="238"/>
      <c r="CA13" s="238"/>
      <c r="CB13" s="238"/>
      <c r="CC13" s="238"/>
      <c r="CD13" s="238"/>
      <c r="CE13" s="238"/>
      <c r="CF13" s="238"/>
      <c r="CG13" s="238"/>
      <c r="CH13" s="238"/>
      <c r="CI13" s="238"/>
      <c r="CJ13" s="238"/>
      <c r="CK13" s="238"/>
      <c r="CL13" s="238"/>
      <c r="CM13" s="238"/>
      <c r="CN13" s="238"/>
      <c r="CO13" s="238"/>
      <c r="CP13" s="238"/>
      <c r="CQ13" s="238"/>
      <c r="CR13" s="238"/>
      <c r="CS13" s="238"/>
      <c r="CT13" s="238"/>
      <c r="CU13" s="238"/>
      <c r="CV13" s="238"/>
      <c r="CW13" s="238"/>
      <c r="CX13" s="238"/>
      <c r="CY13" s="238"/>
      <c r="CZ13" s="238"/>
      <c r="DA13" s="238"/>
      <c r="DB13" s="238"/>
      <c r="DC13" s="238"/>
      <c r="DD13" s="238"/>
      <c r="DE13" s="238"/>
      <c r="DF13" s="238"/>
      <c r="DG13" s="238"/>
      <c r="DH13" s="238"/>
      <c r="DI13" s="238"/>
      <c r="DJ13" s="238"/>
      <c r="DK13" s="238"/>
      <c r="DL13" s="238"/>
      <c r="DM13" s="238"/>
      <c r="DN13" s="238"/>
      <c r="DO13" s="238"/>
      <c r="DP13" s="238"/>
      <c r="DQ13" s="238"/>
      <c r="DR13" s="238"/>
      <c r="DS13" s="238"/>
      <c r="DT13" s="238"/>
      <c r="DU13" s="239"/>
      <c r="DV13" s="237" t="s">
        <v>16</v>
      </c>
      <c r="DW13" s="238"/>
      <c r="DX13" s="238"/>
      <c r="DY13" s="238"/>
      <c r="DZ13" s="238"/>
      <c r="EA13" s="238"/>
      <c r="EB13" s="238"/>
      <c r="EC13" s="238"/>
      <c r="ED13" s="238"/>
      <c r="EE13" s="238"/>
      <c r="EF13" s="238"/>
      <c r="EG13" s="238"/>
      <c r="EH13" s="238"/>
      <c r="EI13" s="238"/>
      <c r="EJ13" s="238"/>
      <c r="EK13" s="238"/>
      <c r="EL13" s="238"/>
      <c r="EM13" s="238"/>
      <c r="EN13" s="238"/>
      <c r="EO13" s="238"/>
      <c r="EP13" s="238"/>
      <c r="EQ13" s="238"/>
      <c r="ER13" s="238"/>
      <c r="ES13" s="238"/>
      <c r="ET13" s="238"/>
      <c r="EU13" s="238"/>
      <c r="EV13" s="238"/>
      <c r="EW13" s="238"/>
      <c r="EX13" s="238"/>
      <c r="EY13" s="238"/>
      <c r="EZ13" s="238"/>
      <c r="FA13" s="238"/>
      <c r="FB13" s="238"/>
      <c r="FC13" s="238"/>
      <c r="FD13" s="238"/>
      <c r="FE13" s="238"/>
      <c r="FF13" s="238"/>
      <c r="FG13" s="238"/>
      <c r="FH13" s="238"/>
      <c r="FI13" s="238"/>
      <c r="FJ13" s="238"/>
      <c r="FK13" s="238"/>
      <c r="FL13" s="238"/>
      <c r="FM13" s="238"/>
      <c r="FN13" s="238"/>
      <c r="FO13" s="238"/>
      <c r="FP13" s="238"/>
      <c r="FQ13" s="238"/>
      <c r="FR13" s="238"/>
      <c r="FS13" s="238"/>
      <c r="FT13" s="238"/>
      <c r="FU13" s="238"/>
      <c r="FV13" s="238"/>
      <c r="FW13" s="238"/>
      <c r="FX13" s="238"/>
      <c r="FY13" s="238"/>
      <c r="FZ13" s="238"/>
      <c r="GA13" s="238"/>
      <c r="GB13" s="238"/>
      <c r="GC13" s="239"/>
      <c r="GD13" s="237" t="s">
        <v>17</v>
      </c>
      <c r="GE13" s="238"/>
      <c r="GF13" s="238"/>
      <c r="GG13" s="238"/>
      <c r="GH13" s="238"/>
      <c r="GI13" s="238"/>
      <c r="GJ13" s="238"/>
      <c r="GK13" s="238"/>
      <c r="GL13" s="238"/>
      <c r="GM13" s="238"/>
      <c r="GN13" s="238"/>
      <c r="GO13" s="238"/>
      <c r="GP13" s="238"/>
      <c r="GQ13" s="238"/>
      <c r="GR13" s="238"/>
      <c r="GS13" s="238"/>
      <c r="GT13" s="238"/>
      <c r="GU13" s="238"/>
      <c r="GV13" s="238"/>
      <c r="GW13" s="238"/>
      <c r="GX13" s="238"/>
      <c r="GY13" s="238"/>
      <c r="GZ13" s="238"/>
      <c r="HA13" s="238"/>
      <c r="HB13" s="238"/>
      <c r="HC13" s="238"/>
      <c r="HD13" s="238"/>
      <c r="HE13" s="238"/>
      <c r="HF13" s="238"/>
      <c r="HG13" s="238"/>
      <c r="HH13" s="238"/>
      <c r="HI13" s="238"/>
      <c r="HJ13" s="238"/>
      <c r="HK13" s="238"/>
      <c r="HL13" s="238"/>
      <c r="HM13" s="238"/>
      <c r="HN13" s="238"/>
      <c r="HO13" s="238"/>
      <c r="HP13" s="238"/>
      <c r="HQ13" s="238"/>
      <c r="HR13" s="238"/>
      <c r="HS13" s="238"/>
      <c r="HT13" s="238"/>
      <c r="HU13" s="238"/>
      <c r="HV13" s="238"/>
      <c r="HW13" s="238"/>
      <c r="HX13" s="238"/>
      <c r="HY13" s="238"/>
      <c r="HZ13" s="238"/>
      <c r="IA13" s="238"/>
      <c r="IB13" s="238"/>
      <c r="IC13" s="238"/>
      <c r="ID13" s="238"/>
      <c r="IE13" s="238"/>
      <c r="IF13" s="238"/>
      <c r="IG13" s="238"/>
      <c r="IH13" s="238"/>
      <c r="II13" s="238"/>
      <c r="IJ13" s="238"/>
      <c r="IK13" s="239"/>
      <c r="IL13" s="237" t="s">
        <v>18</v>
      </c>
      <c r="IM13" s="238"/>
      <c r="IN13" s="238"/>
      <c r="IO13" s="238"/>
      <c r="IP13" s="238"/>
      <c r="IQ13" s="238"/>
      <c r="IR13" s="238"/>
      <c r="IS13" s="238"/>
      <c r="IT13" s="238"/>
      <c r="IU13" s="238"/>
      <c r="IV13" s="238"/>
      <c r="IW13" s="238"/>
      <c r="IX13" s="238"/>
      <c r="IY13" s="238"/>
      <c r="IZ13" s="238"/>
      <c r="JA13" s="238"/>
      <c r="JB13" s="238"/>
      <c r="JC13" s="238"/>
      <c r="JD13" s="238"/>
      <c r="JE13" s="238"/>
      <c r="JF13" s="238"/>
      <c r="JG13" s="238"/>
      <c r="JH13" s="238"/>
      <c r="JI13" s="238"/>
      <c r="JJ13" s="238"/>
      <c r="JK13" s="238"/>
      <c r="JL13" s="238"/>
      <c r="JM13" s="238"/>
      <c r="JN13" s="238"/>
      <c r="JO13" s="238"/>
      <c r="JP13" s="238"/>
      <c r="JQ13" s="238"/>
      <c r="JR13" s="238"/>
      <c r="JS13" s="238"/>
      <c r="JT13" s="238"/>
      <c r="JU13" s="238"/>
      <c r="JV13" s="238"/>
      <c r="JW13" s="238"/>
      <c r="JX13" s="238"/>
      <c r="JY13" s="238"/>
      <c r="JZ13" s="238"/>
      <c r="KA13" s="238"/>
      <c r="KB13" s="238"/>
      <c r="KC13" s="238"/>
      <c r="KD13" s="238"/>
      <c r="KE13" s="238"/>
      <c r="KF13" s="238"/>
      <c r="KG13" s="238"/>
      <c r="KH13" s="238"/>
      <c r="KI13" s="238"/>
      <c r="KJ13" s="238"/>
      <c r="KK13" s="238"/>
      <c r="KL13" s="238"/>
      <c r="KM13" s="238"/>
      <c r="KN13" s="238"/>
      <c r="KO13" s="238"/>
      <c r="KP13" s="238"/>
      <c r="KQ13" s="238"/>
      <c r="KR13" s="238"/>
      <c r="KS13" s="239"/>
      <c r="KT13" s="237" t="s">
        <v>19</v>
      </c>
      <c r="KU13" s="238"/>
      <c r="KV13" s="238"/>
      <c r="KW13" s="238"/>
      <c r="KX13" s="238"/>
      <c r="KY13" s="238"/>
      <c r="KZ13" s="238"/>
      <c r="LA13" s="238"/>
      <c r="LB13" s="238"/>
      <c r="LC13" s="238"/>
      <c r="LD13" s="238"/>
      <c r="LE13" s="238"/>
      <c r="LF13" s="238"/>
      <c r="LG13" s="238"/>
      <c r="LH13" s="238"/>
      <c r="LI13" s="238"/>
      <c r="LJ13" s="238"/>
      <c r="LK13" s="238"/>
      <c r="LL13" s="238"/>
      <c r="LM13" s="238"/>
      <c r="LN13" s="238"/>
      <c r="LO13" s="238"/>
      <c r="LP13" s="238"/>
      <c r="LQ13" s="238"/>
      <c r="LR13" s="238"/>
      <c r="LS13" s="238"/>
      <c r="LT13" s="238"/>
      <c r="LU13" s="238"/>
      <c r="LV13" s="238"/>
      <c r="LW13" s="238"/>
      <c r="LX13" s="238"/>
      <c r="LY13" s="238"/>
      <c r="LZ13" s="238"/>
      <c r="MA13" s="238"/>
      <c r="MB13" s="238"/>
      <c r="MC13" s="238"/>
      <c r="MD13" s="238"/>
      <c r="ME13" s="238"/>
      <c r="MF13" s="238"/>
      <c r="MG13" s="238"/>
      <c r="MH13" s="238"/>
      <c r="MI13" s="238"/>
      <c r="MJ13" s="238"/>
      <c r="MK13" s="238"/>
      <c r="ML13" s="238"/>
      <c r="MM13" s="238"/>
      <c r="MN13" s="238"/>
      <c r="MO13" s="238"/>
      <c r="MP13" s="238"/>
      <c r="MQ13" s="238"/>
      <c r="MR13" s="238"/>
      <c r="MS13" s="238"/>
      <c r="MT13" s="238"/>
      <c r="MU13" s="238"/>
      <c r="MV13" s="238"/>
      <c r="MW13" s="238"/>
      <c r="MX13" s="238"/>
      <c r="MY13" s="238"/>
      <c r="MZ13" s="238"/>
      <c r="NA13" s="239"/>
      <c r="NB13" s="237" t="s">
        <v>20</v>
      </c>
      <c r="NC13" s="238"/>
      <c r="ND13" s="238"/>
      <c r="NE13" s="238"/>
      <c r="NF13" s="238"/>
      <c r="NG13" s="238"/>
      <c r="NH13" s="238"/>
      <c r="NI13" s="238"/>
      <c r="NJ13" s="238"/>
      <c r="NK13" s="238"/>
      <c r="NL13" s="238"/>
      <c r="NM13" s="238"/>
      <c r="NN13" s="238"/>
      <c r="NO13" s="238"/>
      <c r="NP13" s="238"/>
      <c r="NQ13" s="238"/>
      <c r="NR13" s="238"/>
      <c r="NS13" s="238"/>
      <c r="NT13" s="238"/>
      <c r="NU13" s="238"/>
      <c r="NV13" s="238"/>
      <c r="NW13" s="238"/>
      <c r="NX13" s="238"/>
      <c r="NY13" s="238"/>
      <c r="NZ13" s="238"/>
      <c r="OA13" s="238"/>
      <c r="OB13" s="238"/>
      <c r="OC13" s="238"/>
      <c r="OD13" s="238"/>
      <c r="OE13" s="238"/>
      <c r="OF13" s="238"/>
      <c r="OG13" s="238"/>
      <c r="OH13" s="238"/>
      <c r="OI13" s="238"/>
      <c r="OJ13" s="238"/>
      <c r="OK13" s="238"/>
      <c r="OL13" s="238"/>
      <c r="OM13" s="238"/>
      <c r="ON13" s="238"/>
      <c r="OO13" s="238"/>
      <c r="OP13" s="238"/>
      <c r="OQ13" s="238"/>
      <c r="OR13" s="238"/>
      <c r="OS13" s="238"/>
      <c r="OT13" s="238"/>
      <c r="OU13" s="238"/>
      <c r="OV13" s="238"/>
      <c r="OW13" s="238"/>
      <c r="OX13" s="238"/>
      <c r="OY13" s="238"/>
      <c r="OZ13" s="238"/>
      <c r="PA13" s="238"/>
      <c r="PB13" s="238"/>
      <c r="PC13" s="238"/>
      <c r="PD13" s="238"/>
      <c r="PE13" s="238"/>
      <c r="PF13" s="238"/>
      <c r="PG13" s="238"/>
      <c r="PH13" s="238"/>
      <c r="PI13" s="239"/>
      <c r="PJ13" s="237" t="s">
        <v>21</v>
      </c>
      <c r="PK13" s="238"/>
      <c r="PL13" s="238"/>
      <c r="PM13" s="238"/>
      <c r="PN13" s="238"/>
      <c r="PO13" s="238"/>
      <c r="PP13" s="238"/>
      <c r="PQ13" s="238"/>
      <c r="PR13" s="238"/>
      <c r="PS13" s="238"/>
      <c r="PT13" s="238"/>
      <c r="PU13" s="238"/>
      <c r="PV13" s="238"/>
      <c r="PW13" s="238"/>
      <c r="PX13" s="238"/>
      <c r="PY13" s="238"/>
      <c r="PZ13" s="238"/>
      <c r="QA13" s="238"/>
      <c r="QB13" s="238"/>
      <c r="QC13" s="238"/>
      <c r="QD13" s="238"/>
      <c r="QE13" s="238"/>
      <c r="QF13" s="238"/>
      <c r="QG13" s="238"/>
      <c r="QH13" s="238"/>
      <c r="QI13" s="238"/>
      <c r="QJ13" s="238"/>
      <c r="QK13" s="238"/>
      <c r="QL13" s="238"/>
      <c r="QM13" s="238"/>
      <c r="QN13" s="238"/>
      <c r="QO13" s="238"/>
      <c r="QP13" s="238"/>
      <c r="QQ13" s="238"/>
      <c r="QR13" s="238"/>
      <c r="QS13" s="238"/>
      <c r="QT13" s="238"/>
      <c r="QU13" s="238"/>
      <c r="QV13" s="238"/>
      <c r="QW13" s="238"/>
      <c r="QX13" s="238"/>
      <c r="QY13" s="238"/>
      <c r="QZ13" s="238"/>
      <c r="RA13" s="238"/>
      <c r="RB13" s="238"/>
      <c r="RC13" s="238"/>
      <c r="RD13" s="238"/>
      <c r="RE13" s="238"/>
      <c r="RF13" s="238"/>
      <c r="RG13" s="238"/>
      <c r="RH13" s="238"/>
      <c r="RI13" s="238"/>
      <c r="RJ13" s="238"/>
      <c r="RK13" s="238"/>
      <c r="RL13" s="238"/>
      <c r="RM13" s="238"/>
      <c r="RN13" s="238"/>
      <c r="RO13" s="238"/>
      <c r="RP13" s="238"/>
      <c r="RQ13" s="239"/>
      <c r="RR13" s="237" t="s">
        <v>22</v>
      </c>
      <c r="RS13" s="238"/>
      <c r="RT13" s="238"/>
      <c r="RU13" s="238"/>
      <c r="RV13" s="238"/>
      <c r="RW13" s="238"/>
      <c r="RX13" s="238"/>
      <c r="RY13" s="238"/>
      <c r="RZ13" s="238"/>
      <c r="SA13" s="238"/>
      <c r="SB13" s="238"/>
      <c r="SC13" s="238"/>
      <c r="SD13" s="238"/>
      <c r="SE13" s="238"/>
      <c r="SF13" s="238"/>
      <c r="SG13" s="238"/>
      <c r="SH13" s="238"/>
      <c r="SI13" s="238"/>
      <c r="SJ13" s="238"/>
      <c r="SK13" s="238"/>
      <c r="SL13" s="238"/>
      <c r="SM13" s="238"/>
      <c r="SN13" s="238"/>
      <c r="SO13" s="238"/>
      <c r="SP13" s="238"/>
      <c r="SQ13" s="238"/>
      <c r="SR13" s="238"/>
      <c r="SS13" s="238"/>
      <c r="ST13" s="238"/>
      <c r="SU13" s="238"/>
      <c r="SV13" s="238"/>
      <c r="SW13" s="238"/>
      <c r="SX13" s="238"/>
      <c r="SY13" s="238"/>
      <c r="SZ13" s="238"/>
      <c r="TA13" s="238"/>
      <c r="TB13" s="238"/>
      <c r="TC13" s="238"/>
      <c r="TD13" s="238"/>
      <c r="TE13" s="238"/>
      <c r="TF13" s="238"/>
      <c r="TG13" s="238"/>
      <c r="TH13" s="238"/>
      <c r="TI13" s="238"/>
      <c r="TJ13" s="238"/>
      <c r="TK13" s="238"/>
      <c r="TL13" s="238"/>
      <c r="TM13" s="238"/>
      <c r="TN13" s="238"/>
      <c r="TO13" s="238"/>
      <c r="TP13" s="238"/>
      <c r="TQ13" s="238"/>
      <c r="TR13" s="238"/>
      <c r="TS13" s="238"/>
      <c r="TT13" s="238"/>
      <c r="TU13" s="238"/>
      <c r="TV13" s="238"/>
      <c r="TW13" s="238"/>
      <c r="TX13" s="238"/>
      <c r="TY13" s="239"/>
      <c r="TZ13" s="237" t="s">
        <v>23</v>
      </c>
      <c r="UA13" s="238"/>
      <c r="UB13" s="238"/>
      <c r="UC13" s="238"/>
      <c r="UD13" s="238"/>
      <c r="UE13" s="238"/>
      <c r="UF13" s="238"/>
      <c r="UG13" s="238"/>
      <c r="UH13" s="238"/>
      <c r="UI13" s="238"/>
      <c r="UJ13" s="238"/>
      <c r="UK13" s="238"/>
      <c r="UL13" s="238"/>
      <c r="UM13" s="238"/>
      <c r="UN13" s="238"/>
      <c r="UO13" s="238"/>
      <c r="UP13" s="238"/>
      <c r="UQ13" s="238"/>
      <c r="UR13" s="238"/>
      <c r="US13" s="238"/>
      <c r="UT13" s="238"/>
      <c r="UU13" s="238"/>
      <c r="UV13" s="238"/>
      <c r="UW13" s="238"/>
      <c r="UX13" s="238"/>
      <c r="UY13" s="238"/>
      <c r="UZ13" s="238"/>
      <c r="VA13" s="238"/>
      <c r="VB13" s="238"/>
      <c r="VC13" s="238"/>
      <c r="VD13" s="238"/>
      <c r="VE13" s="238"/>
      <c r="VF13" s="238"/>
      <c r="VG13" s="238"/>
      <c r="VH13" s="238"/>
      <c r="VI13" s="238"/>
      <c r="VJ13" s="238"/>
      <c r="VK13" s="238"/>
      <c r="VL13" s="238"/>
      <c r="VM13" s="238"/>
      <c r="VN13" s="238"/>
      <c r="VO13" s="238"/>
      <c r="VP13" s="238"/>
      <c r="VQ13" s="238"/>
      <c r="VR13" s="238"/>
      <c r="VS13" s="238"/>
      <c r="VT13" s="238"/>
      <c r="VU13" s="238"/>
      <c r="VV13" s="238"/>
      <c r="VW13" s="238"/>
      <c r="VX13" s="238"/>
      <c r="VY13" s="238"/>
      <c r="VZ13" s="238"/>
      <c r="WA13" s="238"/>
      <c r="WB13" s="238"/>
      <c r="WC13" s="238"/>
      <c r="WD13" s="238"/>
      <c r="WE13" s="238"/>
      <c r="WF13" s="238"/>
      <c r="WG13" s="239"/>
      <c r="WH13" s="237" t="s">
        <v>24</v>
      </c>
      <c r="WI13" s="238"/>
      <c r="WJ13" s="238"/>
      <c r="WK13" s="238"/>
      <c r="WL13" s="238"/>
      <c r="WM13" s="238"/>
      <c r="WN13" s="238"/>
      <c r="WO13" s="238"/>
      <c r="WP13" s="238"/>
      <c r="WQ13" s="238"/>
      <c r="WR13" s="238"/>
      <c r="WS13" s="238"/>
      <c r="WT13" s="238"/>
      <c r="WU13" s="238"/>
      <c r="WV13" s="238"/>
      <c r="WW13" s="238"/>
      <c r="WX13" s="238"/>
      <c r="WY13" s="238"/>
      <c r="WZ13" s="238"/>
      <c r="XA13" s="238"/>
      <c r="XB13" s="238"/>
      <c r="XC13" s="238"/>
      <c r="XD13" s="238"/>
      <c r="XE13" s="238"/>
      <c r="XF13" s="238"/>
      <c r="XG13" s="238"/>
      <c r="XH13" s="238"/>
      <c r="XI13" s="238"/>
      <c r="XJ13" s="238"/>
      <c r="XK13" s="238"/>
      <c r="XL13" s="238"/>
      <c r="XM13" s="238"/>
      <c r="XN13" s="238"/>
      <c r="XO13" s="238"/>
      <c r="XP13" s="238"/>
      <c r="XQ13" s="238"/>
      <c r="XR13" s="238"/>
      <c r="XS13" s="238"/>
      <c r="XT13" s="238"/>
      <c r="XU13" s="238"/>
      <c r="XV13" s="238"/>
      <c r="XW13" s="238"/>
      <c r="XX13" s="238"/>
      <c r="XY13" s="238"/>
      <c r="XZ13" s="238"/>
      <c r="YA13" s="238"/>
      <c r="YB13" s="238"/>
      <c r="YC13" s="238"/>
      <c r="YD13" s="238"/>
      <c r="YE13" s="238"/>
      <c r="YF13" s="238"/>
      <c r="YG13" s="238"/>
      <c r="YH13" s="238"/>
      <c r="YI13" s="238"/>
      <c r="YJ13" s="238"/>
      <c r="YK13" s="238"/>
      <c r="YL13" s="238"/>
      <c r="YM13" s="238"/>
      <c r="YN13" s="238"/>
      <c r="YO13" s="239"/>
      <c r="YP13" s="237" t="s">
        <v>25</v>
      </c>
      <c r="YQ13" s="238"/>
      <c r="YR13" s="238"/>
      <c r="YS13" s="238"/>
      <c r="YT13" s="238"/>
      <c r="YU13" s="238"/>
      <c r="YV13" s="238"/>
      <c r="YW13" s="238"/>
      <c r="YX13" s="238"/>
      <c r="YY13" s="238"/>
      <c r="YZ13" s="238"/>
      <c r="ZA13" s="238"/>
      <c r="ZB13" s="238"/>
      <c r="ZC13" s="238"/>
      <c r="ZD13" s="238"/>
      <c r="ZE13" s="238"/>
      <c r="ZF13" s="238"/>
      <c r="ZG13" s="238"/>
      <c r="ZH13" s="238"/>
      <c r="ZI13" s="238"/>
      <c r="ZJ13" s="238"/>
      <c r="ZK13" s="238"/>
      <c r="ZL13" s="238"/>
      <c r="ZM13" s="238"/>
      <c r="ZN13" s="238"/>
      <c r="ZO13" s="238"/>
      <c r="ZP13" s="238"/>
      <c r="ZQ13" s="238"/>
      <c r="ZR13" s="238"/>
      <c r="ZS13" s="238"/>
      <c r="ZT13" s="238"/>
      <c r="ZU13" s="238"/>
      <c r="ZV13" s="238"/>
      <c r="ZW13" s="238"/>
      <c r="ZX13" s="238"/>
      <c r="ZY13" s="238"/>
      <c r="ZZ13" s="238"/>
      <c r="AAA13" s="238"/>
      <c r="AAB13" s="238"/>
      <c r="AAC13" s="238"/>
      <c r="AAD13" s="238"/>
      <c r="AAE13" s="238"/>
      <c r="AAF13" s="238"/>
      <c r="AAG13" s="238"/>
      <c r="AAH13" s="238"/>
      <c r="AAI13" s="238"/>
      <c r="AAJ13" s="238"/>
      <c r="AAK13" s="238"/>
      <c r="AAL13" s="238"/>
      <c r="AAM13" s="238"/>
      <c r="AAN13" s="238"/>
      <c r="AAO13" s="238"/>
      <c r="AAP13" s="238"/>
      <c r="AAQ13" s="238"/>
      <c r="AAR13" s="238"/>
      <c r="AAS13" s="238"/>
      <c r="AAT13" s="238"/>
      <c r="AAU13" s="238"/>
      <c r="AAV13" s="238"/>
      <c r="AAW13" s="239"/>
      <c r="AAX13" s="237" t="s">
        <v>26</v>
      </c>
      <c r="AAY13" s="238"/>
      <c r="AAZ13" s="238"/>
      <c r="ABA13" s="238"/>
      <c r="ABB13" s="238"/>
      <c r="ABC13" s="238"/>
      <c r="ABD13" s="238"/>
      <c r="ABE13" s="238"/>
      <c r="ABF13" s="238"/>
      <c r="ABG13" s="238"/>
      <c r="ABH13" s="238"/>
      <c r="ABI13" s="238"/>
      <c r="ABJ13" s="238"/>
      <c r="ABK13" s="238"/>
      <c r="ABL13" s="238"/>
      <c r="ABM13" s="238"/>
      <c r="ABN13" s="238"/>
      <c r="ABO13" s="238"/>
      <c r="ABP13" s="238"/>
      <c r="ABQ13" s="238"/>
      <c r="ABR13" s="238"/>
      <c r="ABS13" s="238"/>
      <c r="ABT13" s="238"/>
      <c r="ABU13" s="238"/>
      <c r="ABV13" s="238"/>
      <c r="ABW13" s="238"/>
      <c r="ABX13" s="238"/>
      <c r="ABY13" s="238"/>
      <c r="ABZ13" s="238"/>
      <c r="ACA13" s="238"/>
      <c r="ACB13" s="238"/>
      <c r="ACC13" s="238"/>
      <c r="ACD13" s="238"/>
      <c r="ACE13" s="238"/>
      <c r="ACF13" s="238"/>
      <c r="ACG13" s="238"/>
      <c r="ACH13" s="238"/>
      <c r="ACI13" s="238"/>
      <c r="ACJ13" s="238"/>
      <c r="ACK13" s="238"/>
      <c r="ACL13" s="238"/>
      <c r="ACM13" s="238"/>
      <c r="ACN13" s="238"/>
      <c r="ACO13" s="238"/>
      <c r="ACP13" s="238"/>
      <c r="ACQ13" s="238"/>
      <c r="ACR13" s="238"/>
      <c r="ACS13" s="238"/>
      <c r="ACT13" s="238"/>
      <c r="ACU13" s="238"/>
      <c r="ACV13" s="238"/>
      <c r="ACW13" s="238"/>
      <c r="ACX13" s="238"/>
      <c r="ACY13" s="238"/>
      <c r="ACZ13" s="238"/>
      <c r="ADA13" s="238"/>
      <c r="ADB13" s="238"/>
      <c r="ADC13" s="238"/>
      <c r="ADD13" s="238"/>
      <c r="ADE13" s="239"/>
      <c r="ADF13" s="237" t="s">
        <v>27</v>
      </c>
      <c r="ADG13" s="238"/>
      <c r="ADH13" s="238"/>
      <c r="ADI13" s="238"/>
      <c r="ADJ13" s="238"/>
      <c r="ADK13" s="238"/>
      <c r="ADL13" s="238"/>
      <c r="ADM13" s="238"/>
      <c r="ADN13" s="238"/>
      <c r="ADO13" s="238"/>
      <c r="ADP13" s="238"/>
      <c r="ADQ13" s="238"/>
      <c r="ADR13" s="238"/>
      <c r="ADS13" s="238"/>
      <c r="ADT13" s="238"/>
      <c r="ADU13" s="238"/>
      <c r="ADV13" s="238"/>
      <c r="ADW13" s="238"/>
      <c r="ADX13" s="238"/>
      <c r="ADY13" s="238"/>
      <c r="ADZ13" s="238"/>
      <c r="AEA13" s="238"/>
      <c r="AEB13" s="238"/>
      <c r="AEC13" s="238"/>
      <c r="AED13" s="238"/>
      <c r="AEE13" s="238"/>
      <c r="AEF13" s="238"/>
      <c r="AEG13" s="238"/>
      <c r="AEH13" s="238"/>
      <c r="AEI13" s="238"/>
      <c r="AEJ13" s="238"/>
      <c r="AEK13" s="238"/>
      <c r="AEL13" s="238"/>
      <c r="AEM13" s="238"/>
      <c r="AEN13" s="238"/>
      <c r="AEO13" s="238"/>
      <c r="AEP13" s="238"/>
      <c r="AEQ13" s="238"/>
      <c r="AER13" s="238"/>
      <c r="AES13" s="238"/>
      <c r="AET13" s="238"/>
      <c r="AEU13" s="238"/>
      <c r="AEV13" s="238"/>
      <c r="AEW13" s="238"/>
      <c r="AEX13" s="238"/>
      <c r="AEY13" s="238"/>
      <c r="AEZ13" s="238"/>
      <c r="AFA13" s="238"/>
      <c r="AFB13" s="238"/>
      <c r="AFC13" s="238"/>
      <c r="AFD13" s="238"/>
      <c r="AFE13" s="238"/>
      <c r="AFF13" s="238"/>
      <c r="AFG13" s="238"/>
      <c r="AFH13" s="238"/>
      <c r="AFI13" s="238"/>
      <c r="AFJ13" s="238"/>
      <c r="AFK13" s="238"/>
      <c r="AFL13" s="238"/>
      <c r="AFM13" s="239"/>
      <c r="AFN13" s="237" t="s">
        <v>28</v>
      </c>
      <c r="AFO13" s="238"/>
      <c r="AFP13" s="238"/>
      <c r="AFQ13" s="238"/>
      <c r="AFR13" s="238"/>
      <c r="AFS13" s="238"/>
      <c r="AFT13" s="238"/>
      <c r="AFU13" s="238"/>
      <c r="AFV13" s="238"/>
      <c r="AFW13" s="238"/>
      <c r="AFX13" s="238"/>
      <c r="AFY13" s="238"/>
      <c r="AFZ13" s="238"/>
      <c r="AGA13" s="238"/>
      <c r="AGB13" s="238"/>
      <c r="AGC13" s="238"/>
      <c r="AGD13" s="238"/>
      <c r="AGE13" s="238"/>
      <c r="AGF13" s="238"/>
      <c r="AGG13" s="238"/>
      <c r="AGH13" s="238"/>
      <c r="AGI13" s="238"/>
      <c r="AGJ13" s="238"/>
      <c r="AGK13" s="238"/>
      <c r="AGL13" s="238"/>
      <c r="AGM13" s="238"/>
      <c r="AGN13" s="238"/>
      <c r="AGO13" s="238"/>
      <c r="AGP13" s="238"/>
      <c r="AGQ13" s="238"/>
      <c r="AGR13" s="238"/>
      <c r="AGS13" s="238"/>
      <c r="AGT13" s="238"/>
      <c r="AGU13" s="238"/>
      <c r="AGV13" s="238"/>
      <c r="AGW13" s="238"/>
      <c r="AGX13" s="238"/>
      <c r="AGY13" s="238"/>
      <c r="AGZ13" s="238"/>
      <c r="AHA13" s="238"/>
      <c r="AHB13" s="238"/>
      <c r="AHC13" s="238"/>
      <c r="AHD13" s="238"/>
      <c r="AHE13" s="238"/>
      <c r="AHF13" s="238"/>
      <c r="AHG13" s="238"/>
      <c r="AHH13" s="238"/>
      <c r="AHI13" s="238"/>
      <c r="AHJ13" s="238"/>
      <c r="AHK13" s="238"/>
      <c r="AHL13" s="238"/>
      <c r="AHM13" s="238"/>
      <c r="AHN13" s="238"/>
      <c r="AHO13" s="238"/>
      <c r="AHP13" s="238"/>
      <c r="AHQ13" s="238"/>
      <c r="AHR13" s="238"/>
      <c r="AHS13" s="238"/>
      <c r="AHT13" s="238"/>
      <c r="AHU13" s="239"/>
      <c r="AHV13" s="237" t="s">
        <v>29</v>
      </c>
      <c r="AHW13" s="238"/>
      <c r="AHX13" s="238"/>
      <c r="AHY13" s="238"/>
      <c r="AHZ13" s="238"/>
      <c r="AIA13" s="238"/>
      <c r="AIB13" s="238"/>
      <c r="AIC13" s="238"/>
      <c r="AID13" s="238"/>
      <c r="AIE13" s="238"/>
      <c r="AIF13" s="238"/>
      <c r="AIG13" s="238"/>
      <c r="AIH13" s="238"/>
      <c r="AII13" s="238"/>
      <c r="AIJ13" s="238"/>
      <c r="AIK13" s="238"/>
      <c r="AIL13" s="238"/>
      <c r="AIM13" s="238"/>
      <c r="AIN13" s="238"/>
      <c r="AIO13" s="238"/>
      <c r="AIP13" s="238"/>
      <c r="AIQ13" s="238"/>
      <c r="AIR13" s="238"/>
      <c r="AIS13" s="238"/>
      <c r="AIT13" s="238"/>
      <c r="AIU13" s="238"/>
      <c r="AIV13" s="238"/>
      <c r="AIW13" s="238"/>
      <c r="AIX13" s="238"/>
      <c r="AIY13" s="238"/>
      <c r="AIZ13" s="238"/>
      <c r="AJA13" s="238"/>
      <c r="AJB13" s="238"/>
      <c r="AJC13" s="238"/>
      <c r="AJD13" s="238"/>
      <c r="AJE13" s="238"/>
      <c r="AJF13" s="238"/>
      <c r="AJG13" s="238"/>
      <c r="AJH13" s="238"/>
      <c r="AJI13" s="238"/>
      <c r="AJJ13" s="238"/>
      <c r="AJK13" s="238"/>
      <c r="AJL13" s="238"/>
      <c r="AJM13" s="238"/>
      <c r="AJN13" s="238"/>
      <c r="AJO13" s="238"/>
      <c r="AJP13" s="238"/>
      <c r="AJQ13" s="238"/>
      <c r="AJR13" s="238"/>
      <c r="AJS13" s="238"/>
      <c r="AJT13" s="238"/>
      <c r="AJU13" s="238"/>
      <c r="AJV13" s="238"/>
      <c r="AJW13" s="238"/>
      <c r="AJX13" s="238"/>
      <c r="AJY13" s="238"/>
      <c r="AJZ13" s="238"/>
      <c r="AKA13" s="238"/>
      <c r="AKB13" s="238"/>
      <c r="AKC13" s="239"/>
      <c r="AKD13" s="237" t="s">
        <v>30</v>
      </c>
      <c r="AKE13" s="238"/>
      <c r="AKF13" s="238"/>
      <c r="AKG13" s="238"/>
      <c r="AKH13" s="238"/>
      <c r="AKI13" s="238"/>
      <c r="AKJ13" s="238"/>
      <c r="AKK13" s="238"/>
      <c r="AKL13" s="238"/>
      <c r="AKM13" s="238"/>
      <c r="AKN13" s="238"/>
      <c r="AKO13" s="238"/>
      <c r="AKP13" s="238"/>
      <c r="AKQ13" s="238"/>
      <c r="AKR13" s="238"/>
      <c r="AKS13" s="238"/>
      <c r="AKT13" s="238"/>
      <c r="AKU13" s="238"/>
      <c r="AKV13" s="238"/>
      <c r="AKW13" s="238"/>
      <c r="AKX13" s="238"/>
      <c r="AKY13" s="238"/>
      <c r="AKZ13" s="238"/>
      <c r="ALA13" s="238"/>
      <c r="ALB13" s="238"/>
      <c r="ALC13" s="238"/>
      <c r="ALD13" s="238"/>
      <c r="ALE13" s="238"/>
      <c r="ALF13" s="238"/>
      <c r="ALG13" s="238"/>
      <c r="ALH13" s="238"/>
      <c r="ALI13" s="238"/>
      <c r="ALJ13" s="238"/>
      <c r="ALK13" s="238"/>
      <c r="ALL13" s="238"/>
      <c r="ALM13" s="238"/>
      <c r="ALN13" s="238"/>
      <c r="ALO13" s="238"/>
      <c r="ALP13" s="238"/>
      <c r="ALQ13" s="238"/>
      <c r="ALR13" s="238"/>
      <c r="ALS13" s="238"/>
      <c r="ALT13" s="238"/>
      <c r="ALU13" s="238"/>
      <c r="ALV13" s="238"/>
      <c r="ALW13" s="238"/>
      <c r="ALX13" s="238"/>
      <c r="ALY13" s="238"/>
      <c r="ALZ13" s="238"/>
      <c r="AMA13" s="238"/>
      <c r="AMB13" s="238"/>
      <c r="AMC13" s="238"/>
      <c r="AMD13" s="238"/>
      <c r="AME13" s="238"/>
      <c r="AMF13" s="238"/>
      <c r="AMG13" s="238"/>
      <c r="AMH13" s="238"/>
      <c r="AMI13" s="238"/>
      <c r="AMJ13" s="238"/>
      <c r="AMK13" s="239"/>
      <c r="AML13" s="237" t="s">
        <v>31</v>
      </c>
      <c r="AMM13" s="238"/>
      <c r="AMN13" s="238"/>
      <c r="AMO13" s="238"/>
      <c r="AMP13" s="238"/>
      <c r="AMQ13" s="238"/>
      <c r="AMR13" s="238"/>
      <c r="AMS13" s="238"/>
      <c r="AMT13" s="238"/>
      <c r="AMU13" s="238"/>
      <c r="AMV13" s="238"/>
      <c r="AMW13" s="238"/>
      <c r="AMX13" s="238"/>
      <c r="AMY13" s="238"/>
      <c r="AMZ13" s="238"/>
      <c r="ANA13" s="238"/>
      <c r="ANB13" s="238"/>
      <c r="ANC13" s="238"/>
      <c r="AND13" s="238"/>
      <c r="ANE13" s="238"/>
      <c r="ANF13" s="238"/>
      <c r="ANG13" s="238"/>
      <c r="ANH13" s="238"/>
      <c r="ANI13" s="238"/>
      <c r="ANJ13" s="238"/>
      <c r="ANK13" s="238"/>
      <c r="ANL13" s="238"/>
      <c r="ANM13" s="238"/>
      <c r="ANN13" s="238"/>
      <c r="ANO13" s="238"/>
      <c r="ANP13" s="238"/>
      <c r="ANQ13" s="238"/>
      <c r="ANR13" s="238"/>
      <c r="ANS13" s="238"/>
      <c r="ANT13" s="238"/>
      <c r="ANU13" s="238"/>
      <c r="ANV13" s="238"/>
      <c r="ANW13" s="238"/>
      <c r="ANX13" s="238"/>
      <c r="ANY13" s="238"/>
      <c r="ANZ13" s="238"/>
      <c r="AOA13" s="238"/>
      <c r="AOB13" s="238"/>
      <c r="AOC13" s="238"/>
      <c r="AOD13" s="238"/>
      <c r="AOE13" s="238"/>
      <c r="AOF13" s="238"/>
      <c r="AOG13" s="238"/>
      <c r="AOH13" s="238"/>
      <c r="AOI13" s="238"/>
      <c r="AOJ13" s="238"/>
      <c r="AOK13" s="238"/>
      <c r="AOL13" s="238"/>
      <c r="AOM13" s="238"/>
      <c r="AON13" s="238"/>
      <c r="AOO13" s="238"/>
      <c r="AOP13" s="238"/>
      <c r="AOQ13" s="238"/>
      <c r="AOR13" s="238"/>
      <c r="AOS13" s="239"/>
      <c r="AOT13" s="237" t="s">
        <v>32</v>
      </c>
      <c r="AOU13" s="238"/>
      <c r="AOV13" s="238"/>
      <c r="AOW13" s="238"/>
      <c r="AOX13" s="238"/>
      <c r="AOY13" s="238"/>
      <c r="AOZ13" s="238"/>
      <c r="APA13" s="238"/>
      <c r="APB13" s="238"/>
      <c r="APC13" s="238"/>
      <c r="APD13" s="238"/>
      <c r="APE13" s="238"/>
      <c r="APF13" s="238"/>
      <c r="APG13" s="238"/>
      <c r="APH13" s="238"/>
      <c r="API13" s="238"/>
      <c r="APJ13" s="238"/>
      <c r="APK13" s="238"/>
      <c r="APL13" s="238"/>
      <c r="APM13" s="238"/>
      <c r="APN13" s="238"/>
      <c r="APO13" s="238"/>
      <c r="APP13" s="238"/>
      <c r="APQ13" s="238"/>
      <c r="APR13" s="238"/>
      <c r="APS13" s="238"/>
      <c r="APT13" s="238"/>
      <c r="APU13" s="238"/>
      <c r="APV13" s="238"/>
      <c r="APW13" s="238"/>
      <c r="APX13" s="238"/>
      <c r="APY13" s="238"/>
      <c r="APZ13" s="238"/>
      <c r="AQA13" s="238"/>
      <c r="AQB13" s="238"/>
      <c r="AQC13" s="238"/>
      <c r="AQD13" s="238"/>
      <c r="AQE13" s="238"/>
      <c r="AQF13" s="238"/>
      <c r="AQG13" s="238"/>
      <c r="AQH13" s="238"/>
      <c r="AQI13" s="238"/>
      <c r="AQJ13" s="238"/>
      <c r="AQK13" s="238"/>
      <c r="AQL13" s="238"/>
      <c r="AQM13" s="238"/>
      <c r="AQN13" s="238"/>
      <c r="AQO13" s="238"/>
      <c r="AQP13" s="238"/>
      <c r="AQQ13" s="238"/>
      <c r="AQR13" s="238"/>
      <c r="AQS13" s="238"/>
      <c r="AQT13" s="238"/>
      <c r="AQU13" s="238"/>
      <c r="AQV13" s="238"/>
      <c r="AQW13" s="238"/>
      <c r="AQX13" s="238"/>
      <c r="AQY13" s="238"/>
      <c r="AQZ13" s="238"/>
      <c r="ARA13" s="239"/>
      <c r="ARB13" s="237" t="s">
        <v>33</v>
      </c>
      <c r="ARC13" s="238"/>
      <c r="ARD13" s="238"/>
      <c r="ARE13" s="238"/>
      <c r="ARF13" s="238"/>
      <c r="ARG13" s="238"/>
      <c r="ARH13" s="238"/>
      <c r="ARI13" s="238"/>
      <c r="ARJ13" s="238"/>
      <c r="ARK13" s="238"/>
      <c r="ARL13" s="238"/>
      <c r="ARM13" s="238"/>
      <c r="ARN13" s="238"/>
      <c r="ARO13" s="238"/>
      <c r="ARP13" s="238"/>
      <c r="ARQ13" s="238"/>
      <c r="ARR13" s="238"/>
      <c r="ARS13" s="238"/>
      <c r="ART13" s="238"/>
      <c r="ARU13" s="238"/>
      <c r="ARV13" s="238"/>
      <c r="ARW13" s="238"/>
      <c r="ARX13" s="238"/>
      <c r="ARY13" s="238"/>
      <c r="ARZ13" s="238"/>
      <c r="ASA13" s="238"/>
      <c r="ASB13" s="238"/>
      <c r="ASC13" s="238"/>
      <c r="ASD13" s="238"/>
      <c r="ASE13" s="238"/>
      <c r="ASF13" s="238"/>
      <c r="ASG13" s="238"/>
      <c r="ASH13" s="238"/>
      <c r="ASI13" s="238"/>
      <c r="ASJ13" s="238"/>
      <c r="ASK13" s="238"/>
      <c r="ASL13" s="238"/>
      <c r="ASM13" s="238"/>
      <c r="ASN13" s="238"/>
      <c r="ASO13" s="238"/>
      <c r="ASP13" s="238"/>
      <c r="ASQ13" s="238"/>
      <c r="ASR13" s="238"/>
      <c r="ASS13" s="238"/>
      <c r="AST13" s="238"/>
      <c r="ASU13" s="238"/>
      <c r="ASV13" s="238"/>
      <c r="ASW13" s="238"/>
      <c r="ASX13" s="238"/>
      <c r="ASY13" s="238"/>
      <c r="ASZ13" s="238"/>
      <c r="ATA13" s="238"/>
      <c r="ATB13" s="238"/>
      <c r="ATC13" s="238"/>
      <c r="ATD13" s="238"/>
      <c r="ATE13" s="238"/>
      <c r="ATF13" s="238"/>
      <c r="ATG13" s="238"/>
      <c r="ATH13" s="238"/>
      <c r="ATI13" s="239"/>
      <c r="ATJ13" s="237" t="s">
        <v>34</v>
      </c>
      <c r="ATK13" s="238"/>
      <c r="ATL13" s="238"/>
      <c r="ATM13" s="238"/>
      <c r="ATN13" s="238"/>
      <c r="ATO13" s="238"/>
      <c r="ATP13" s="238"/>
      <c r="ATQ13" s="238"/>
      <c r="ATR13" s="238"/>
      <c r="ATS13" s="238"/>
      <c r="ATT13" s="238"/>
      <c r="ATU13" s="238"/>
      <c r="ATV13" s="238"/>
      <c r="ATW13" s="238"/>
      <c r="ATX13" s="238"/>
      <c r="ATY13" s="238"/>
      <c r="ATZ13" s="238"/>
      <c r="AUA13" s="238"/>
      <c r="AUB13" s="238"/>
      <c r="AUC13" s="238"/>
      <c r="AUD13" s="238"/>
      <c r="AUE13" s="238"/>
      <c r="AUF13" s="238"/>
      <c r="AUG13" s="238"/>
      <c r="AUH13" s="238"/>
      <c r="AUI13" s="238"/>
      <c r="AUJ13" s="238"/>
      <c r="AUK13" s="238"/>
      <c r="AUL13" s="238"/>
      <c r="AUM13" s="238"/>
      <c r="AUN13" s="238"/>
      <c r="AUO13" s="238"/>
      <c r="AUP13" s="238"/>
      <c r="AUQ13" s="238"/>
      <c r="AUR13" s="238"/>
      <c r="AUS13" s="238"/>
      <c r="AUT13" s="238"/>
      <c r="AUU13" s="238"/>
      <c r="AUV13" s="238"/>
      <c r="AUW13" s="238"/>
      <c r="AUX13" s="238"/>
      <c r="AUY13" s="238"/>
      <c r="AUZ13" s="238"/>
      <c r="AVA13" s="238"/>
      <c r="AVB13" s="238"/>
      <c r="AVC13" s="238"/>
      <c r="AVD13" s="238"/>
      <c r="AVE13" s="238"/>
      <c r="AVF13" s="238"/>
      <c r="AVG13" s="238"/>
      <c r="AVH13" s="238"/>
      <c r="AVI13" s="238"/>
      <c r="AVJ13" s="238"/>
      <c r="AVK13" s="238"/>
      <c r="AVL13" s="238"/>
      <c r="AVM13" s="238"/>
      <c r="AVN13" s="238"/>
      <c r="AVO13" s="238"/>
      <c r="AVP13" s="238"/>
      <c r="AVQ13" s="239"/>
      <c r="AVR13" s="237" t="s">
        <v>35</v>
      </c>
      <c r="AVS13" s="238"/>
      <c r="AVT13" s="238"/>
      <c r="AVU13" s="238"/>
      <c r="AVV13" s="238"/>
      <c r="AVW13" s="238"/>
      <c r="AVX13" s="238"/>
      <c r="AVY13" s="238"/>
      <c r="AVZ13" s="238"/>
      <c r="AWA13" s="238"/>
      <c r="AWB13" s="238"/>
      <c r="AWC13" s="238"/>
      <c r="AWD13" s="238"/>
      <c r="AWE13" s="238"/>
      <c r="AWF13" s="238"/>
      <c r="AWG13" s="238"/>
      <c r="AWH13" s="238"/>
      <c r="AWI13" s="238"/>
      <c r="AWJ13" s="238"/>
      <c r="AWK13" s="238"/>
      <c r="AWL13" s="238"/>
      <c r="AWM13" s="238"/>
      <c r="AWN13" s="238"/>
      <c r="AWO13" s="238"/>
      <c r="AWP13" s="238"/>
      <c r="AWQ13" s="238"/>
      <c r="AWR13" s="238"/>
      <c r="AWS13" s="238"/>
      <c r="AWT13" s="238"/>
      <c r="AWU13" s="238"/>
      <c r="AWV13" s="238"/>
      <c r="AWW13" s="238"/>
      <c r="AWX13" s="238"/>
      <c r="AWY13" s="238"/>
      <c r="AWZ13" s="238"/>
      <c r="AXA13" s="238"/>
      <c r="AXB13" s="238"/>
      <c r="AXC13" s="238"/>
      <c r="AXD13" s="238"/>
      <c r="AXE13" s="238"/>
      <c r="AXF13" s="238"/>
      <c r="AXG13" s="238"/>
      <c r="AXH13" s="238"/>
      <c r="AXI13" s="238"/>
      <c r="AXJ13" s="238"/>
      <c r="AXK13" s="238"/>
      <c r="AXL13" s="238"/>
      <c r="AXM13" s="238"/>
      <c r="AXN13" s="238"/>
      <c r="AXO13" s="238"/>
      <c r="AXP13" s="238"/>
      <c r="AXQ13" s="238"/>
      <c r="AXR13" s="238"/>
      <c r="AXS13" s="238"/>
      <c r="AXT13" s="238"/>
      <c r="AXU13" s="238"/>
      <c r="AXV13" s="238"/>
      <c r="AXW13" s="238"/>
      <c r="AXX13" s="238"/>
      <c r="AXY13" s="239"/>
      <c r="AXZ13" s="237" t="s">
        <v>36</v>
      </c>
      <c r="AYA13" s="238"/>
      <c r="AYB13" s="238"/>
      <c r="AYC13" s="238"/>
      <c r="AYD13" s="238"/>
      <c r="AYE13" s="238"/>
      <c r="AYF13" s="238"/>
      <c r="AYG13" s="238"/>
      <c r="AYH13" s="238"/>
      <c r="AYI13" s="238"/>
      <c r="AYJ13" s="238"/>
      <c r="AYK13" s="238"/>
      <c r="AYL13" s="238"/>
      <c r="AYM13" s="238"/>
      <c r="AYN13" s="238"/>
      <c r="AYO13" s="238"/>
      <c r="AYP13" s="238"/>
      <c r="AYQ13" s="238"/>
      <c r="AYR13" s="238"/>
      <c r="AYS13" s="238"/>
      <c r="AYT13" s="238"/>
      <c r="AYU13" s="238"/>
      <c r="AYV13" s="238"/>
      <c r="AYW13" s="238"/>
      <c r="AYX13" s="238"/>
      <c r="AYY13" s="238"/>
      <c r="AYZ13" s="238"/>
      <c r="AZA13" s="238"/>
      <c r="AZB13" s="238"/>
      <c r="AZC13" s="238"/>
      <c r="AZD13" s="238"/>
      <c r="AZE13" s="238"/>
      <c r="AZF13" s="238"/>
      <c r="AZG13" s="238"/>
      <c r="AZH13" s="238"/>
      <c r="AZI13" s="238"/>
      <c r="AZJ13" s="238"/>
      <c r="AZK13" s="238"/>
      <c r="AZL13" s="238"/>
      <c r="AZM13" s="238"/>
      <c r="AZN13" s="238"/>
      <c r="AZO13" s="238"/>
      <c r="AZP13" s="238"/>
      <c r="AZQ13" s="238"/>
      <c r="AZR13" s="238"/>
      <c r="AZS13" s="238"/>
      <c r="AZT13" s="238"/>
      <c r="AZU13" s="238"/>
      <c r="AZV13" s="238"/>
      <c r="AZW13" s="238"/>
      <c r="AZX13" s="238"/>
      <c r="AZY13" s="238"/>
      <c r="AZZ13" s="238"/>
      <c r="BAA13" s="238"/>
      <c r="BAB13" s="238"/>
      <c r="BAC13" s="238"/>
      <c r="BAD13" s="238"/>
      <c r="BAE13" s="238"/>
      <c r="BAF13" s="238"/>
      <c r="BAG13" s="239"/>
      <c r="BAH13" s="237" t="s">
        <v>37</v>
      </c>
      <c r="BAI13" s="238"/>
      <c r="BAJ13" s="238"/>
      <c r="BAK13" s="238"/>
      <c r="BAL13" s="238"/>
      <c r="BAM13" s="238"/>
      <c r="BAN13" s="238"/>
      <c r="BAO13" s="238"/>
      <c r="BAP13" s="238"/>
      <c r="BAQ13" s="238"/>
      <c r="BAR13" s="238"/>
      <c r="BAS13" s="238"/>
      <c r="BAT13" s="238"/>
      <c r="BAU13" s="238"/>
      <c r="BAV13" s="238"/>
      <c r="BAW13" s="238"/>
      <c r="BAX13" s="238"/>
      <c r="BAY13" s="238"/>
      <c r="BAZ13" s="238"/>
      <c r="BBA13" s="238"/>
      <c r="BBB13" s="238"/>
      <c r="BBC13" s="238"/>
      <c r="BBD13" s="238"/>
      <c r="BBE13" s="238"/>
      <c r="BBF13" s="238"/>
      <c r="BBG13" s="238"/>
      <c r="BBH13" s="238"/>
      <c r="BBI13" s="238"/>
      <c r="BBJ13" s="238"/>
      <c r="BBK13" s="238"/>
      <c r="BBL13" s="238"/>
      <c r="BBM13" s="238"/>
      <c r="BBN13" s="238"/>
      <c r="BBO13" s="238"/>
      <c r="BBP13" s="238"/>
      <c r="BBQ13" s="238"/>
      <c r="BBR13" s="238"/>
      <c r="BBS13" s="238"/>
      <c r="BBT13" s="238"/>
      <c r="BBU13" s="238"/>
      <c r="BBV13" s="238"/>
      <c r="BBW13" s="238"/>
      <c r="BBX13" s="238"/>
      <c r="BBY13" s="238"/>
      <c r="BBZ13" s="238"/>
      <c r="BCA13" s="238"/>
      <c r="BCB13" s="238"/>
      <c r="BCC13" s="238"/>
      <c r="BCD13" s="238"/>
      <c r="BCE13" s="238"/>
      <c r="BCF13" s="238"/>
      <c r="BCG13" s="238"/>
      <c r="BCH13" s="238"/>
      <c r="BCI13" s="238"/>
      <c r="BCJ13" s="238"/>
      <c r="BCK13" s="238"/>
      <c r="BCL13" s="238"/>
      <c r="BCM13" s="238"/>
      <c r="BCN13" s="238"/>
      <c r="BCO13" s="239"/>
      <c r="BCP13" s="237" t="s">
        <v>38</v>
      </c>
      <c r="BCQ13" s="238"/>
      <c r="BCR13" s="238"/>
      <c r="BCS13" s="238"/>
      <c r="BCT13" s="238"/>
      <c r="BCU13" s="238"/>
      <c r="BCV13" s="238"/>
      <c r="BCW13" s="238"/>
      <c r="BCX13" s="238"/>
      <c r="BCY13" s="238"/>
      <c r="BCZ13" s="238"/>
      <c r="BDA13" s="238"/>
      <c r="BDB13" s="238"/>
      <c r="BDC13" s="238"/>
      <c r="BDD13" s="238"/>
      <c r="BDE13" s="238"/>
      <c r="BDF13" s="238"/>
      <c r="BDG13" s="238"/>
      <c r="BDH13" s="238"/>
      <c r="BDI13" s="238"/>
      <c r="BDJ13" s="238"/>
      <c r="BDK13" s="238"/>
      <c r="BDL13" s="238"/>
      <c r="BDM13" s="238"/>
      <c r="BDN13" s="238"/>
      <c r="BDO13" s="238"/>
      <c r="BDP13" s="238"/>
      <c r="BDQ13" s="238"/>
      <c r="BDR13" s="238"/>
      <c r="BDS13" s="238"/>
      <c r="BDT13" s="238"/>
      <c r="BDU13" s="238"/>
      <c r="BDV13" s="238"/>
      <c r="BDW13" s="238"/>
      <c r="BDX13" s="238"/>
      <c r="BDY13" s="238"/>
      <c r="BDZ13" s="238"/>
      <c r="BEA13" s="238"/>
      <c r="BEB13" s="238"/>
      <c r="BEC13" s="238"/>
      <c r="BED13" s="238"/>
      <c r="BEE13" s="238"/>
      <c r="BEF13" s="238"/>
      <c r="BEG13" s="238"/>
      <c r="BEH13" s="238"/>
      <c r="BEI13" s="238"/>
      <c r="BEJ13" s="238"/>
      <c r="BEK13" s="238"/>
      <c r="BEL13" s="238"/>
      <c r="BEM13" s="238"/>
      <c r="BEN13" s="238"/>
      <c r="BEO13" s="238"/>
      <c r="BEP13" s="238"/>
      <c r="BEQ13" s="238"/>
      <c r="BER13" s="238"/>
      <c r="BES13" s="238"/>
      <c r="BET13" s="238"/>
      <c r="BEU13" s="238"/>
      <c r="BEV13" s="238"/>
      <c r="BEW13" s="239"/>
      <c r="BEX13" s="237" t="s">
        <v>39</v>
      </c>
      <c r="BEY13" s="238"/>
      <c r="BEZ13" s="238"/>
      <c r="BFA13" s="238"/>
      <c r="BFB13" s="238"/>
      <c r="BFC13" s="238"/>
      <c r="BFD13" s="238"/>
      <c r="BFE13" s="238"/>
      <c r="BFF13" s="238"/>
      <c r="BFG13" s="238"/>
      <c r="BFH13" s="238"/>
      <c r="BFI13" s="238"/>
      <c r="BFJ13" s="238"/>
      <c r="BFK13" s="238"/>
      <c r="BFL13" s="238"/>
      <c r="BFM13" s="238"/>
      <c r="BFN13" s="238"/>
      <c r="BFO13" s="238"/>
      <c r="BFP13" s="238"/>
      <c r="BFQ13" s="238"/>
      <c r="BFR13" s="238"/>
      <c r="BFS13" s="238"/>
      <c r="BFT13" s="238"/>
      <c r="BFU13" s="238"/>
      <c r="BFV13" s="238"/>
      <c r="BFW13" s="238"/>
      <c r="BFX13" s="238"/>
      <c r="BFY13" s="238"/>
      <c r="BFZ13" s="238"/>
      <c r="BGA13" s="238"/>
      <c r="BGB13" s="238"/>
      <c r="BGC13" s="238"/>
      <c r="BGD13" s="238"/>
      <c r="BGE13" s="238"/>
      <c r="BGF13" s="238"/>
      <c r="BGG13" s="238"/>
      <c r="BGH13" s="238"/>
      <c r="BGI13" s="238"/>
      <c r="BGJ13" s="238"/>
      <c r="BGK13" s="238"/>
      <c r="BGL13" s="238"/>
      <c r="BGM13" s="238"/>
      <c r="BGN13" s="238"/>
      <c r="BGO13" s="238"/>
      <c r="BGP13" s="238"/>
      <c r="BGQ13" s="238"/>
      <c r="BGR13" s="238"/>
      <c r="BGS13" s="238"/>
      <c r="BGT13" s="238"/>
      <c r="BGU13" s="238"/>
      <c r="BGV13" s="238"/>
      <c r="BGW13" s="238"/>
      <c r="BGX13" s="238"/>
      <c r="BGY13" s="238"/>
      <c r="BGZ13" s="238"/>
      <c r="BHA13" s="238"/>
      <c r="BHB13" s="238"/>
      <c r="BHC13" s="238"/>
      <c r="BHD13" s="238"/>
      <c r="BHE13" s="239"/>
      <c r="BHF13" s="73" t="s">
        <v>122</v>
      </c>
    </row>
    <row r="14" spans="1:1602" ht="12.75" customHeight="1" thickBot="1" x14ac:dyDescent="0.35">
      <c r="B14" s="51"/>
      <c r="C14" s="250"/>
      <c r="D14" s="118"/>
      <c r="E14" s="248"/>
      <c r="F14" s="81"/>
      <c r="G14" s="82"/>
      <c r="H14" s="82"/>
      <c r="I14" s="82"/>
      <c r="J14" s="228" t="s">
        <v>40</v>
      </c>
      <c r="K14" s="228"/>
      <c r="L14" s="228"/>
      <c r="M14" s="228"/>
      <c r="N14" s="82"/>
      <c r="O14" s="82"/>
      <c r="P14" s="229" t="s">
        <v>41</v>
      </c>
      <c r="Q14" s="229"/>
      <c r="R14" s="229"/>
      <c r="S14" s="229"/>
      <c r="T14" s="102"/>
      <c r="U14" s="102"/>
      <c r="V14" s="228" t="s">
        <v>42</v>
      </c>
      <c r="W14" s="228"/>
      <c r="X14" s="228"/>
      <c r="Y14" s="228"/>
      <c r="Z14" s="82"/>
      <c r="AA14" s="82"/>
      <c r="AB14" s="229" t="s">
        <v>43</v>
      </c>
      <c r="AC14" s="229"/>
      <c r="AD14" s="229"/>
      <c r="AE14" s="229"/>
      <c r="AF14" s="102"/>
      <c r="AG14" s="102"/>
      <c r="AH14" s="228" t="s">
        <v>44</v>
      </c>
      <c r="AI14" s="228"/>
      <c r="AJ14" s="228"/>
      <c r="AK14" s="228"/>
      <c r="AL14" s="82"/>
      <c r="AM14" s="82"/>
      <c r="AN14" s="229" t="s">
        <v>45</v>
      </c>
      <c r="AO14" s="229"/>
      <c r="AP14" s="229"/>
      <c r="AQ14" s="229"/>
      <c r="AR14" s="102"/>
      <c r="AS14" s="102"/>
      <c r="AT14" s="228" t="s">
        <v>46</v>
      </c>
      <c r="AU14" s="228"/>
      <c r="AV14" s="228"/>
      <c r="AW14" s="228"/>
      <c r="AX14" s="82"/>
      <c r="AY14" s="82"/>
      <c r="AZ14" s="229" t="s">
        <v>47</v>
      </c>
      <c r="BA14" s="229"/>
      <c r="BB14" s="229"/>
      <c r="BC14" s="229"/>
      <c r="BD14" s="102"/>
      <c r="BE14" s="102"/>
      <c r="BF14" s="228" t="s">
        <v>48</v>
      </c>
      <c r="BG14" s="228"/>
      <c r="BH14" s="228"/>
      <c r="BI14" s="228"/>
      <c r="BJ14" s="82"/>
      <c r="BK14" s="82"/>
      <c r="BL14" s="82"/>
      <c r="BM14" s="83"/>
      <c r="BN14" s="81"/>
      <c r="BO14" s="82"/>
      <c r="BP14" s="82"/>
      <c r="BQ14" s="82"/>
      <c r="BR14" s="228" t="s">
        <v>40</v>
      </c>
      <c r="BS14" s="228"/>
      <c r="BT14" s="228"/>
      <c r="BU14" s="228"/>
      <c r="BV14" s="82"/>
      <c r="BW14" s="82"/>
      <c r="BX14" s="229" t="s">
        <v>41</v>
      </c>
      <c r="BY14" s="229"/>
      <c r="BZ14" s="229"/>
      <c r="CA14" s="229"/>
      <c r="CB14" s="102"/>
      <c r="CC14" s="102"/>
      <c r="CD14" s="228" t="s">
        <v>42</v>
      </c>
      <c r="CE14" s="228"/>
      <c r="CF14" s="228"/>
      <c r="CG14" s="228"/>
      <c r="CH14" s="82"/>
      <c r="CI14" s="82"/>
      <c r="CJ14" s="229" t="s">
        <v>43</v>
      </c>
      <c r="CK14" s="229"/>
      <c r="CL14" s="229"/>
      <c r="CM14" s="229"/>
      <c r="CN14" s="102"/>
      <c r="CO14" s="102"/>
      <c r="CP14" s="228" t="s">
        <v>44</v>
      </c>
      <c r="CQ14" s="228"/>
      <c r="CR14" s="228"/>
      <c r="CS14" s="228"/>
      <c r="CT14" s="82"/>
      <c r="CU14" s="82"/>
      <c r="CV14" s="229" t="s">
        <v>45</v>
      </c>
      <c r="CW14" s="229"/>
      <c r="CX14" s="229"/>
      <c r="CY14" s="229"/>
      <c r="CZ14" s="102"/>
      <c r="DA14" s="102"/>
      <c r="DB14" s="228" t="s">
        <v>46</v>
      </c>
      <c r="DC14" s="228"/>
      <c r="DD14" s="228"/>
      <c r="DE14" s="228"/>
      <c r="DF14" s="82"/>
      <c r="DG14" s="82"/>
      <c r="DH14" s="229" t="s">
        <v>47</v>
      </c>
      <c r="DI14" s="229"/>
      <c r="DJ14" s="229"/>
      <c r="DK14" s="229"/>
      <c r="DL14" s="102"/>
      <c r="DM14" s="102"/>
      <c r="DN14" s="228" t="s">
        <v>48</v>
      </c>
      <c r="DO14" s="228"/>
      <c r="DP14" s="228"/>
      <c r="DQ14" s="228"/>
      <c r="DR14" s="82"/>
      <c r="DS14" s="82"/>
      <c r="DT14" s="82"/>
      <c r="DU14" s="83"/>
      <c r="DV14" s="81"/>
      <c r="DW14" s="82"/>
      <c r="DX14" s="82"/>
      <c r="DY14" s="82"/>
      <c r="DZ14" s="228" t="s">
        <v>40</v>
      </c>
      <c r="EA14" s="228"/>
      <c r="EB14" s="228"/>
      <c r="EC14" s="228"/>
      <c r="ED14" s="82"/>
      <c r="EE14" s="82"/>
      <c r="EF14" s="229" t="s">
        <v>41</v>
      </c>
      <c r="EG14" s="229"/>
      <c r="EH14" s="229"/>
      <c r="EI14" s="229"/>
      <c r="EJ14" s="102"/>
      <c r="EK14" s="102"/>
      <c r="EL14" s="228" t="s">
        <v>42</v>
      </c>
      <c r="EM14" s="228"/>
      <c r="EN14" s="228"/>
      <c r="EO14" s="228"/>
      <c r="EP14" s="82"/>
      <c r="EQ14" s="82"/>
      <c r="ER14" s="229" t="s">
        <v>43</v>
      </c>
      <c r="ES14" s="229"/>
      <c r="ET14" s="229"/>
      <c r="EU14" s="229"/>
      <c r="EV14" s="102"/>
      <c r="EW14" s="102"/>
      <c r="EX14" s="228" t="s">
        <v>44</v>
      </c>
      <c r="EY14" s="228"/>
      <c r="EZ14" s="228"/>
      <c r="FA14" s="228"/>
      <c r="FB14" s="82"/>
      <c r="FC14" s="82"/>
      <c r="FD14" s="229" t="s">
        <v>45</v>
      </c>
      <c r="FE14" s="229"/>
      <c r="FF14" s="229"/>
      <c r="FG14" s="229"/>
      <c r="FH14" s="102"/>
      <c r="FI14" s="102"/>
      <c r="FJ14" s="228" t="s">
        <v>46</v>
      </c>
      <c r="FK14" s="228"/>
      <c r="FL14" s="228"/>
      <c r="FM14" s="228"/>
      <c r="FN14" s="82"/>
      <c r="FO14" s="82"/>
      <c r="FP14" s="229" t="s">
        <v>47</v>
      </c>
      <c r="FQ14" s="229"/>
      <c r="FR14" s="229"/>
      <c r="FS14" s="229"/>
      <c r="FT14" s="102"/>
      <c r="FU14" s="102"/>
      <c r="FV14" s="228" t="s">
        <v>48</v>
      </c>
      <c r="FW14" s="228"/>
      <c r="FX14" s="228"/>
      <c r="FY14" s="228"/>
      <c r="FZ14" s="82"/>
      <c r="GA14" s="82"/>
      <c r="GB14" s="82"/>
      <c r="GC14" s="83"/>
      <c r="GD14" s="81"/>
      <c r="GE14" s="82"/>
      <c r="GF14" s="82"/>
      <c r="GG14" s="82"/>
      <c r="GH14" s="228" t="s">
        <v>40</v>
      </c>
      <c r="GI14" s="228"/>
      <c r="GJ14" s="228"/>
      <c r="GK14" s="228"/>
      <c r="GL14" s="82"/>
      <c r="GM14" s="82"/>
      <c r="GN14" s="229" t="s">
        <v>41</v>
      </c>
      <c r="GO14" s="229"/>
      <c r="GP14" s="229"/>
      <c r="GQ14" s="229"/>
      <c r="GR14" s="102"/>
      <c r="GS14" s="102"/>
      <c r="GT14" s="228" t="s">
        <v>42</v>
      </c>
      <c r="GU14" s="228"/>
      <c r="GV14" s="228"/>
      <c r="GW14" s="228"/>
      <c r="GX14" s="82"/>
      <c r="GY14" s="82"/>
      <c r="GZ14" s="229" t="s">
        <v>43</v>
      </c>
      <c r="HA14" s="229"/>
      <c r="HB14" s="229"/>
      <c r="HC14" s="229"/>
      <c r="HD14" s="102"/>
      <c r="HE14" s="102"/>
      <c r="HF14" s="228" t="s">
        <v>44</v>
      </c>
      <c r="HG14" s="228"/>
      <c r="HH14" s="228"/>
      <c r="HI14" s="228"/>
      <c r="HJ14" s="82"/>
      <c r="HK14" s="82"/>
      <c r="HL14" s="229" t="s">
        <v>45</v>
      </c>
      <c r="HM14" s="229"/>
      <c r="HN14" s="229"/>
      <c r="HO14" s="229"/>
      <c r="HP14" s="102"/>
      <c r="HQ14" s="102"/>
      <c r="HR14" s="228" t="s">
        <v>46</v>
      </c>
      <c r="HS14" s="228"/>
      <c r="HT14" s="228"/>
      <c r="HU14" s="228"/>
      <c r="HV14" s="82"/>
      <c r="HW14" s="82"/>
      <c r="HX14" s="229" t="s">
        <v>47</v>
      </c>
      <c r="HY14" s="229"/>
      <c r="HZ14" s="229"/>
      <c r="IA14" s="229"/>
      <c r="IB14" s="102"/>
      <c r="IC14" s="102"/>
      <c r="ID14" s="228" t="s">
        <v>48</v>
      </c>
      <c r="IE14" s="228"/>
      <c r="IF14" s="228"/>
      <c r="IG14" s="228"/>
      <c r="IH14" s="82"/>
      <c r="II14" s="82"/>
      <c r="IJ14" s="82"/>
      <c r="IK14" s="83"/>
      <c r="IL14" s="81"/>
      <c r="IM14" s="82"/>
      <c r="IN14" s="82"/>
      <c r="IO14" s="82"/>
      <c r="IP14" s="228" t="s">
        <v>40</v>
      </c>
      <c r="IQ14" s="228"/>
      <c r="IR14" s="228"/>
      <c r="IS14" s="228"/>
      <c r="IT14" s="82"/>
      <c r="IU14" s="82"/>
      <c r="IV14" s="229" t="s">
        <v>41</v>
      </c>
      <c r="IW14" s="229"/>
      <c r="IX14" s="229"/>
      <c r="IY14" s="229"/>
      <c r="IZ14" s="102"/>
      <c r="JA14" s="102"/>
      <c r="JB14" s="228" t="s">
        <v>42</v>
      </c>
      <c r="JC14" s="228"/>
      <c r="JD14" s="228"/>
      <c r="JE14" s="228"/>
      <c r="JF14" s="82"/>
      <c r="JG14" s="82"/>
      <c r="JH14" s="229" t="s">
        <v>43</v>
      </c>
      <c r="JI14" s="229"/>
      <c r="JJ14" s="229"/>
      <c r="JK14" s="229"/>
      <c r="JL14" s="102"/>
      <c r="JM14" s="102"/>
      <c r="JN14" s="228" t="s">
        <v>44</v>
      </c>
      <c r="JO14" s="228"/>
      <c r="JP14" s="228"/>
      <c r="JQ14" s="228"/>
      <c r="JR14" s="82"/>
      <c r="JS14" s="82"/>
      <c r="JT14" s="229" t="s">
        <v>45</v>
      </c>
      <c r="JU14" s="229"/>
      <c r="JV14" s="229"/>
      <c r="JW14" s="229"/>
      <c r="JX14" s="102"/>
      <c r="JY14" s="102"/>
      <c r="JZ14" s="228" t="s">
        <v>46</v>
      </c>
      <c r="KA14" s="228"/>
      <c r="KB14" s="228"/>
      <c r="KC14" s="228"/>
      <c r="KD14" s="82"/>
      <c r="KE14" s="82"/>
      <c r="KF14" s="229" t="s">
        <v>47</v>
      </c>
      <c r="KG14" s="229"/>
      <c r="KH14" s="229"/>
      <c r="KI14" s="229"/>
      <c r="KJ14" s="102"/>
      <c r="KK14" s="102"/>
      <c r="KL14" s="228" t="s">
        <v>48</v>
      </c>
      <c r="KM14" s="228"/>
      <c r="KN14" s="228"/>
      <c r="KO14" s="228"/>
      <c r="KP14" s="82"/>
      <c r="KQ14" s="82"/>
      <c r="KR14" s="82"/>
      <c r="KS14" s="83"/>
      <c r="KT14" s="81"/>
      <c r="KU14" s="82"/>
      <c r="KV14" s="82"/>
      <c r="KW14" s="82"/>
      <c r="KX14" s="228" t="s">
        <v>40</v>
      </c>
      <c r="KY14" s="228"/>
      <c r="KZ14" s="228"/>
      <c r="LA14" s="228"/>
      <c r="LB14" s="82"/>
      <c r="LC14" s="82"/>
      <c r="LD14" s="229" t="s">
        <v>41</v>
      </c>
      <c r="LE14" s="229"/>
      <c r="LF14" s="229"/>
      <c r="LG14" s="229"/>
      <c r="LH14" s="102"/>
      <c r="LI14" s="102"/>
      <c r="LJ14" s="228" t="s">
        <v>42</v>
      </c>
      <c r="LK14" s="228"/>
      <c r="LL14" s="228"/>
      <c r="LM14" s="228"/>
      <c r="LN14" s="82"/>
      <c r="LO14" s="82"/>
      <c r="LP14" s="229" t="s">
        <v>43</v>
      </c>
      <c r="LQ14" s="229"/>
      <c r="LR14" s="229"/>
      <c r="LS14" s="229"/>
      <c r="LT14" s="102"/>
      <c r="LU14" s="102"/>
      <c r="LV14" s="228" t="s">
        <v>44</v>
      </c>
      <c r="LW14" s="228"/>
      <c r="LX14" s="228"/>
      <c r="LY14" s="228"/>
      <c r="LZ14" s="82"/>
      <c r="MA14" s="82"/>
      <c r="MB14" s="229" t="s">
        <v>45</v>
      </c>
      <c r="MC14" s="229"/>
      <c r="MD14" s="229"/>
      <c r="ME14" s="229"/>
      <c r="MF14" s="102"/>
      <c r="MG14" s="102"/>
      <c r="MH14" s="228" t="s">
        <v>46</v>
      </c>
      <c r="MI14" s="228"/>
      <c r="MJ14" s="228"/>
      <c r="MK14" s="228"/>
      <c r="ML14" s="82"/>
      <c r="MM14" s="82"/>
      <c r="MN14" s="229" t="s">
        <v>47</v>
      </c>
      <c r="MO14" s="229"/>
      <c r="MP14" s="229"/>
      <c r="MQ14" s="229"/>
      <c r="MR14" s="102"/>
      <c r="MS14" s="102"/>
      <c r="MT14" s="228" t="s">
        <v>48</v>
      </c>
      <c r="MU14" s="228"/>
      <c r="MV14" s="228"/>
      <c r="MW14" s="228"/>
      <c r="MX14" s="82"/>
      <c r="MY14" s="82"/>
      <c r="MZ14" s="82"/>
      <c r="NA14" s="83"/>
      <c r="NB14" s="81"/>
      <c r="NC14" s="82"/>
      <c r="ND14" s="82"/>
      <c r="NE14" s="82"/>
      <c r="NF14" s="228" t="s">
        <v>40</v>
      </c>
      <c r="NG14" s="228"/>
      <c r="NH14" s="228"/>
      <c r="NI14" s="228"/>
      <c r="NJ14" s="82"/>
      <c r="NK14" s="82"/>
      <c r="NL14" s="229" t="s">
        <v>41</v>
      </c>
      <c r="NM14" s="229"/>
      <c r="NN14" s="229"/>
      <c r="NO14" s="229"/>
      <c r="NP14" s="102"/>
      <c r="NQ14" s="102"/>
      <c r="NR14" s="228" t="s">
        <v>42</v>
      </c>
      <c r="NS14" s="228"/>
      <c r="NT14" s="228"/>
      <c r="NU14" s="228"/>
      <c r="NV14" s="82"/>
      <c r="NW14" s="82"/>
      <c r="NX14" s="229" t="s">
        <v>43</v>
      </c>
      <c r="NY14" s="229"/>
      <c r="NZ14" s="229"/>
      <c r="OA14" s="229"/>
      <c r="OB14" s="102"/>
      <c r="OC14" s="102"/>
      <c r="OD14" s="228" t="s">
        <v>44</v>
      </c>
      <c r="OE14" s="228"/>
      <c r="OF14" s="228"/>
      <c r="OG14" s="228"/>
      <c r="OH14" s="82"/>
      <c r="OI14" s="82"/>
      <c r="OJ14" s="229" t="s">
        <v>45</v>
      </c>
      <c r="OK14" s="229"/>
      <c r="OL14" s="229"/>
      <c r="OM14" s="229"/>
      <c r="ON14" s="102"/>
      <c r="OO14" s="102"/>
      <c r="OP14" s="228" t="s">
        <v>46</v>
      </c>
      <c r="OQ14" s="228"/>
      <c r="OR14" s="228"/>
      <c r="OS14" s="228"/>
      <c r="OT14" s="82"/>
      <c r="OU14" s="82"/>
      <c r="OV14" s="229" t="s">
        <v>47</v>
      </c>
      <c r="OW14" s="229"/>
      <c r="OX14" s="229"/>
      <c r="OY14" s="229"/>
      <c r="OZ14" s="102"/>
      <c r="PA14" s="102"/>
      <c r="PB14" s="228" t="s">
        <v>48</v>
      </c>
      <c r="PC14" s="228"/>
      <c r="PD14" s="228"/>
      <c r="PE14" s="228"/>
      <c r="PF14" s="82"/>
      <c r="PG14" s="82"/>
      <c r="PH14" s="82"/>
      <c r="PI14" s="83"/>
      <c r="PJ14" s="81"/>
      <c r="PK14" s="82"/>
      <c r="PL14" s="82"/>
      <c r="PM14" s="82"/>
      <c r="PN14" s="228" t="s">
        <v>40</v>
      </c>
      <c r="PO14" s="228"/>
      <c r="PP14" s="228"/>
      <c r="PQ14" s="228"/>
      <c r="PR14" s="82"/>
      <c r="PS14" s="82"/>
      <c r="PT14" s="229" t="s">
        <v>41</v>
      </c>
      <c r="PU14" s="229"/>
      <c r="PV14" s="229"/>
      <c r="PW14" s="229"/>
      <c r="PX14" s="102"/>
      <c r="PY14" s="102"/>
      <c r="PZ14" s="228" t="s">
        <v>42</v>
      </c>
      <c r="QA14" s="228"/>
      <c r="QB14" s="228"/>
      <c r="QC14" s="228"/>
      <c r="QD14" s="82"/>
      <c r="QE14" s="82"/>
      <c r="QF14" s="229" t="s">
        <v>43</v>
      </c>
      <c r="QG14" s="229"/>
      <c r="QH14" s="229"/>
      <c r="QI14" s="229"/>
      <c r="QJ14" s="102"/>
      <c r="QK14" s="102"/>
      <c r="QL14" s="228" t="s">
        <v>44</v>
      </c>
      <c r="QM14" s="228"/>
      <c r="QN14" s="228"/>
      <c r="QO14" s="228"/>
      <c r="QP14" s="82"/>
      <c r="QQ14" s="82"/>
      <c r="QR14" s="229" t="s">
        <v>45</v>
      </c>
      <c r="QS14" s="229"/>
      <c r="QT14" s="229"/>
      <c r="QU14" s="229"/>
      <c r="QV14" s="102"/>
      <c r="QW14" s="102"/>
      <c r="QX14" s="228" t="s">
        <v>46</v>
      </c>
      <c r="QY14" s="228"/>
      <c r="QZ14" s="228"/>
      <c r="RA14" s="228"/>
      <c r="RB14" s="82"/>
      <c r="RC14" s="82"/>
      <c r="RD14" s="229" t="s">
        <v>47</v>
      </c>
      <c r="RE14" s="229"/>
      <c r="RF14" s="229"/>
      <c r="RG14" s="229"/>
      <c r="RH14" s="102"/>
      <c r="RI14" s="102"/>
      <c r="RJ14" s="228" t="s">
        <v>48</v>
      </c>
      <c r="RK14" s="228"/>
      <c r="RL14" s="228"/>
      <c r="RM14" s="228"/>
      <c r="RN14" s="82"/>
      <c r="RO14" s="82"/>
      <c r="RP14" s="82"/>
      <c r="RQ14" s="83"/>
      <c r="RR14" s="81"/>
      <c r="RS14" s="82"/>
      <c r="RT14" s="82"/>
      <c r="RU14" s="82"/>
      <c r="RV14" s="228" t="s">
        <v>40</v>
      </c>
      <c r="RW14" s="228"/>
      <c r="RX14" s="228"/>
      <c r="RY14" s="228"/>
      <c r="RZ14" s="82"/>
      <c r="SA14" s="82"/>
      <c r="SB14" s="229" t="s">
        <v>41</v>
      </c>
      <c r="SC14" s="229"/>
      <c r="SD14" s="229"/>
      <c r="SE14" s="229"/>
      <c r="SF14" s="102"/>
      <c r="SG14" s="102"/>
      <c r="SH14" s="228" t="s">
        <v>42</v>
      </c>
      <c r="SI14" s="228"/>
      <c r="SJ14" s="228"/>
      <c r="SK14" s="228"/>
      <c r="SL14" s="82"/>
      <c r="SM14" s="82"/>
      <c r="SN14" s="229" t="s">
        <v>43</v>
      </c>
      <c r="SO14" s="229"/>
      <c r="SP14" s="229"/>
      <c r="SQ14" s="229"/>
      <c r="SR14" s="102"/>
      <c r="SS14" s="102"/>
      <c r="ST14" s="228" t="s">
        <v>44</v>
      </c>
      <c r="SU14" s="228"/>
      <c r="SV14" s="228"/>
      <c r="SW14" s="228"/>
      <c r="SX14" s="82"/>
      <c r="SY14" s="82"/>
      <c r="SZ14" s="229" t="s">
        <v>45</v>
      </c>
      <c r="TA14" s="229"/>
      <c r="TB14" s="229"/>
      <c r="TC14" s="229"/>
      <c r="TD14" s="102"/>
      <c r="TE14" s="102"/>
      <c r="TF14" s="228" t="s">
        <v>46</v>
      </c>
      <c r="TG14" s="228"/>
      <c r="TH14" s="228"/>
      <c r="TI14" s="228"/>
      <c r="TJ14" s="82"/>
      <c r="TK14" s="82"/>
      <c r="TL14" s="229" t="s">
        <v>47</v>
      </c>
      <c r="TM14" s="229"/>
      <c r="TN14" s="229"/>
      <c r="TO14" s="229"/>
      <c r="TP14" s="102"/>
      <c r="TQ14" s="102"/>
      <c r="TR14" s="228" t="s">
        <v>48</v>
      </c>
      <c r="TS14" s="228"/>
      <c r="TT14" s="228"/>
      <c r="TU14" s="228"/>
      <c r="TV14" s="82"/>
      <c r="TW14" s="82"/>
      <c r="TX14" s="82"/>
      <c r="TY14" s="83"/>
      <c r="TZ14" s="81"/>
      <c r="UA14" s="82"/>
      <c r="UB14" s="82"/>
      <c r="UC14" s="82"/>
      <c r="UD14" s="228" t="s">
        <v>40</v>
      </c>
      <c r="UE14" s="228"/>
      <c r="UF14" s="228"/>
      <c r="UG14" s="228"/>
      <c r="UH14" s="82"/>
      <c r="UI14" s="82"/>
      <c r="UJ14" s="229" t="s">
        <v>41</v>
      </c>
      <c r="UK14" s="229"/>
      <c r="UL14" s="229"/>
      <c r="UM14" s="229"/>
      <c r="UN14" s="102"/>
      <c r="UO14" s="102"/>
      <c r="UP14" s="228" t="s">
        <v>42</v>
      </c>
      <c r="UQ14" s="228"/>
      <c r="UR14" s="228"/>
      <c r="US14" s="228"/>
      <c r="UT14" s="82"/>
      <c r="UU14" s="82"/>
      <c r="UV14" s="229" t="s">
        <v>43</v>
      </c>
      <c r="UW14" s="229"/>
      <c r="UX14" s="229"/>
      <c r="UY14" s="229"/>
      <c r="UZ14" s="102"/>
      <c r="VA14" s="102"/>
      <c r="VB14" s="228" t="s">
        <v>44</v>
      </c>
      <c r="VC14" s="228"/>
      <c r="VD14" s="228"/>
      <c r="VE14" s="228"/>
      <c r="VF14" s="82"/>
      <c r="VG14" s="82"/>
      <c r="VH14" s="229" t="s">
        <v>45</v>
      </c>
      <c r="VI14" s="229"/>
      <c r="VJ14" s="229"/>
      <c r="VK14" s="229"/>
      <c r="VL14" s="102"/>
      <c r="VM14" s="102"/>
      <c r="VN14" s="228" t="s">
        <v>46</v>
      </c>
      <c r="VO14" s="228"/>
      <c r="VP14" s="228"/>
      <c r="VQ14" s="228"/>
      <c r="VR14" s="82"/>
      <c r="VS14" s="82"/>
      <c r="VT14" s="229" t="s">
        <v>47</v>
      </c>
      <c r="VU14" s="229"/>
      <c r="VV14" s="229"/>
      <c r="VW14" s="229"/>
      <c r="VX14" s="102"/>
      <c r="VY14" s="102"/>
      <c r="VZ14" s="228" t="s">
        <v>48</v>
      </c>
      <c r="WA14" s="228"/>
      <c r="WB14" s="228"/>
      <c r="WC14" s="228"/>
      <c r="WD14" s="82"/>
      <c r="WE14" s="82"/>
      <c r="WF14" s="82"/>
      <c r="WG14" s="83"/>
      <c r="WH14" s="81"/>
      <c r="WI14" s="82"/>
      <c r="WJ14" s="82"/>
      <c r="WK14" s="82"/>
      <c r="WL14" s="228" t="s">
        <v>40</v>
      </c>
      <c r="WM14" s="228"/>
      <c r="WN14" s="228"/>
      <c r="WO14" s="228"/>
      <c r="WP14" s="82"/>
      <c r="WQ14" s="82"/>
      <c r="WR14" s="229" t="s">
        <v>41</v>
      </c>
      <c r="WS14" s="229"/>
      <c r="WT14" s="229"/>
      <c r="WU14" s="229"/>
      <c r="WV14" s="102"/>
      <c r="WW14" s="102"/>
      <c r="WX14" s="228" t="s">
        <v>42</v>
      </c>
      <c r="WY14" s="228"/>
      <c r="WZ14" s="228"/>
      <c r="XA14" s="228"/>
      <c r="XB14" s="82"/>
      <c r="XC14" s="82"/>
      <c r="XD14" s="229" t="s">
        <v>43</v>
      </c>
      <c r="XE14" s="229"/>
      <c r="XF14" s="229"/>
      <c r="XG14" s="229"/>
      <c r="XH14" s="102"/>
      <c r="XI14" s="102"/>
      <c r="XJ14" s="228" t="s">
        <v>44</v>
      </c>
      <c r="XK14" s="228"/>
      <c r="XL14" s="228"/>
      <c r="XM14" s="228"/>
      <c r="XN14" s="82"/>
      <c r="XO14" s="82"/>
      <c r="XP14" s="229" t="s">
        <v>45</v>
      </c>
      <c r="XQ14" s="229"/>
      <c r="XR14" s="229"/>
      <c r="XS14" s="229"/>
      <c r="XT14" s="102"/>
      <c r="XU14" s="102"/>
      <c r="XV14" s="228" t="s">
        <v>46</v>
      </c>
      <c r="XW14" s="228"/>
      <c r="XX14" s="228"/>
      <c r="XY14" s="228"/>
      <c r="XZ14" s="82"/>
      <c r="YA14" s="82"/>
      <c r="YB14" s="229" t="s">
        <v>47</v>
      </c>
      <c r="YC14" s="229"/>
      <c r="YD14" s="229"/>
      <c r="YE14" s="229"/>
      <c r="YF14" s="102"/>
      <c r="YG14" s="102"/>
      <c r="YH14" s="228" t="s">
        <v>48</v>
      </c>
      <c r="YI14" s="228"/>
      <c r="YJ14" s="228"/>
      <c r="YK14" s="228"/>
      <c r="YL14" s="82"/>
      <c r="YM14" s="82"/>
      <c r="YN14" s="82"/>
      <c r="YO14" s="83"/>
      <c r="YP14" s="81"/>
      <c r="YQ14" s="82"/>
      <c r="YR14" s="82"/>
      <c r="YS14" s="82"/>
      <c r="YT14" s="228" t="s">
        <v>40</v>
      </c>
      <c r="YU14" s="228"/>
      <c r="YV14" s="228"/>
      <c r="YW14" s="228"/>
      <c r="YX14" s="82"/>
      <c r="YY14" s="82"/>
      <c r="YZ14" s="229" t="s">
        <v>41</v>
      </c>
      <c r="ZA14" s="229"/>
      <c r="ZB14" s="229"/>
      <c r="ZC14" s="229"/>
      <c r="ZD14" s="102"/>
      <c r="ZE14" s="102"/>
      <c r="ZF14" s="228" t="s">
        <v>42</v>
      </c>
      <c r="ZG14" s="228"/>
      <c r="ZH14" s="228"/>
      <c r="ZI14" s="228"/>
      <c r="ZJ14" s="82"/>
      <c r="ZK14" s="82"/>
      <c r="ZL14" s="229" t="s">
        <v>43</v>
      </c>
      <c r="ZM14" s="229"/>
      <c r="ZN14" s="229"/>
      <c r="ZO14" s="229"/>
      <c r="ZP14" s="102"/>
      <c r="ZQ14" s="102"/>
      <c r="ZR14" s="228" t="s">
        <v>44</v>
      </c>
      <c r="ZS14" s="228"/>
      <c r="ZT14" s="228"/>
      <c r="ZU14" s="228"/>
      <c r="ZV14" s="82"/>
      <c r="ZW14" s="82"/>
      <c r="ZX14" s="229" t="s">
        <v>45</v>
      </c>
      <c r="ZY14" s="229"/>
      <c r="ZZ14" s="229"/>
      <c r="AAA14" s="229"/>
      <c r="AAB14" s="102"/>
      <c r="AAC14" s="102"/>
      <c r="AAD14" s="228" t="s">
        <v>46</v>
      </c>
      <c r="AAE14" s="228"/>
      <c r="AAF14" s="228"/>
      <c r="AAG14" s="228"/>
      <c r="AAH14" s="82"/>
      <c r="AAI14" s="82"/>
      <c r="AAJ14" s="229" t="s">
        <v>47</v>
      </c>
      <c r="AAK14" s="229"/>
      <c r="AAL14" s="229"/>
      <c r="AAM14" s="229"/>
      <c r="AAN14" s="102"/>
      <c r="AAO14" s="102"/>
      <c r="AAP14" s="228" t="s">
        <v>48</v>
      </c>
      <c r="AAQ14" s="228"/>
      <c r="AAR14" s="228"/>
      <c r="AAS14" s="228"/>
      <c r="AAT14" s="82"/>
      <c r="AAU14" s="82"/>
      <c r="AAV14" s="82"/>
      <c r="AAW14" s="83"/>
      <c r="AAX14" s="81"/>
      <c r="AAY14" s="82"/>
      <c r="AAZ14" s="82"/>
      <c r="ABA14" s="82"/>
      <c r="ABB14" s="228" t="s">
        <v>40</v>
      </c>
      <c r="ABC14" s="228"/>
      <c r="ABD14" s="228"/>
      <c r="ABE14" s="228"/>
      <c r="ABF14" s="82"/>
      <c r="ABG14" s="82"/>
      <c r="ABH14" s="229" t="s">
        <v>41</v>
      </c>
      <c r="ABI14" s="229"/>
      <c r="ABJ14" s="229"/>
      <c r="ABK14" s="229"/>
      <c r="ABL14" s="102"/>
      <c r="ABM14" s="102"/>
      <c r="ABN14" s="228" t="s">
        <v>42</v>
      </c>
      <c r="ABO14" s="228"/>
      <c r="ABP14" s="228"/>
      <c r="ABQ14" s="228"/>
      <c r="ABR14" s="82"/>
      <c r="ABS14" s="82"/>
      <c r="ABT14" s="229" t="s">
        <v>43</v>
      </c>
      <c r="ABU14" s="229"/>
      <c r="ABV14" s="229"/>
      <c r="ABW14" s="229"/>
      <c r="ABX14" s="102"/>
      <c r="ABY14" s="102"/>
      <c r="ABZ14" s="228" t="s">
        <v>44</v>
      </c>
      <c r="ACA14" s="228"/>
      <c r="ACB14" s="228"/>
      <c r="ACC14" s="228"/>
      <c r="ACD14" s="82"/>
      <c r="ACE14" s="82"/>
      <c r="ACF14" s="229" t="s">
        <v>45</v>
      </c>
      <c r="ACG14" s="229"/>
      <c r="ACH14" s="229"/>
      <c r="ACI14" s="229"/>
      <c r="ACJ14" s="102"/>
      <c r="ACK14" s="102"/>
      <c r="ACL14" s="228" t="s">
        <v>46</v>
      </c>
      <c r="ACM14" s="228"/>
      <c r="ACN14" s="228"/>
      <c r="ACO14" s="228"/>
      <c r="ACP14" s="82"/>
      <c r="ACQ14" s="82"/>
      <c r="ACR14" s="229" t="s">
        <v>47</v>
      </c>
      <c r="ACS14" s="229"/>
      <c r="ACT14" s="229"/>
      <c r="ACU14" s="229"/>
      <c r="ACV14" s="102"/>
      <c r="ACW14" s="102"/>
      <c r="ACX14" s="228" t="s">
        <v>48</v>
      </c>
      <c r="ACY14" s="228"/>
      <c r="ACZ14" s="228"/>
      <c r="ADA14" s="228"/>
      <c r="ADB14" s="82"/>
      <c r="ADC14" s="82"/>
      <c r="ADD14" s="82"/>
      <c r="ADE14" s="83"/>
      <c r="ADF14" s="81"/>
      <c r="ADG14" s="82"/>
      <c r="ADH14" s="82"/>
      <c r="ADI14" s="82"/>
      <c r="ADJ14" s="228" t="s">
        <v>40</v>
      </c>
      <c r="ADK14" s="228"/>
      <c r="ADL14" s="228"/>
      <c r="ADM14" s="228"/>
      <c r="ADN14" s="82"/>
      <c r="ADO14" s="82"/>
      <c r="ADP14" s="229" t="s">
        <v>41</v>
      </c>
      <c r="ADQ14" s="229"/>
      <c r="ADR14" s="229"/>
      <c r="ADS14" s="229"/>
      <c r="ADT14" s="102"/>
      <c r="ADU14" s="102"/>
      <c r="ADV14" s="228" t="s">
        <v>42</v>
      </c>
      <c r="ADW14" s="228"/>
      <c r="ADX14" s="228"/>
      <c r="ADY14" s="228"/>
      <c r="ADZ14" s="82"/>
      <c r="AEA14" s="82"/>
      <c r="AEB14" s="229" t="s">
        <v>43</v>
      </c>
      <c r="AEC14" s="229"/>
      <c r="AED14" s="229"/>
      <c r="AEE14" s="229"/>
      <c r="AEF14" s="102"/>
      <c r="AEG14" s="102"/>
      <c r="AEH14" s="228" t="s">
        <v>44</v>
      </c>
      <c r="AEI14" s="228"/>
      <c r="AEJ14" s="228"/>
      <c r="AEK14" s="228"/>
      <c r="AEL14" s="82"/>
      <c r="AEM14" s="82"/>
      <c r="AEN14" s="229" t="s">
        <v>45</v>
      </c>
      <c r="AEO14" s="229"/>
      <c r="AEP14" s="229"/>
      <c r="AEQ14" s="229"/>
      <c r="AER14" s="102"/>
      <c r="AES14" s="102"/>
      <c r="AET14" s="228" t="s">
        <v>46</v>
      </c>
      <c r="AEU14" s="228"/>
      <c r="AEV14" s="228"/>
      <c r="AEW14" s="228"/>
      <c r="AEX14" s="82"/>
      <c r="AEY14" s="82"/>
      <c r="AEZ14" s="229" t="s">
        <v>47</v>
      </c>
      <c r="AFA14" s="229"/>
      <c r="AFB14" s="229"/>
      <c r="AFC14" s="229"/>
      <c r="AFD14" s="102"/>
      <c r="AFE14" s="102"/>
      <c r="AFF14" s="228" t="s">
        <v>48</v>
      </c>
      <c r="AFG14" s="228"/>
      <c r="AFH14" s="228"/>
      <c r="AFI14" s="228"/>
      <c r="AFJ14" s="82"/>
      <c r="AFK14" s="82"/>
      <c r="AFL14" s="82"/>
      <c r="AFM14" s="83"/>
      <c r="AFN14" s="81"/>
      <c r="AFO14" s="82"/>
      <c r="AFP14" s="82"/>
      <c r="AFQ14" s="82"/>
      <c r="AFR14" s="228" t="s">
        <v>40</v>
      </c>
      <c r="AFS14" s="228"/>
      <c r="AFT14" s="228"/>
      <c r="AFU14" s="228"/>
      <c r="AFV14" s="82"/>
      <c r="AFW14" s="82"/>
      <c r="AFX14" s="229" t="s">
        <v>41</v>
      </c>
      <c r="AFY14" s="229"/>
      <c r="AFZ14" s="229"/>
      <c r="AGA14" s="229"/>
      <c r="AGB14" s="102"/>
      <c r="AGC14" s="102"/>
      <c r="AGD14" s="228" t="s">
        <v>42</v>
      </c>
      <c r="AGE14" s="228"/>
      <c r="AGF14" s="228"/>
      <c r="AGG14" s="228"/>
      <c r="AGH14" s="82"/>
      <c r="AGI14" s="82"/>
      <c r="AGJ14" s="229" t="s">
        <v>43</v>
      </c>
      <c r="AGK14" s="229"/>
      <c r="AGL14" s="229"/>
      <c r="AGM14" s="229"/>
      <c r="AGN14" s="102"/>
      <c r="AGO14" s="102"/>
      <c r="AGP14" s="228" t="s">
        <v>44</v>
      </c>
      <c r="AGQ14" s="228"/>
      <c r="AGR14" s="228"/>
      <c r="AGS14" s="228"/>
      <c r="AGT14" s="82"/>
      <c r="AGU14" s="82"/>
      <c r="AGV14" s="229" t="s">
        <v>45</v>
      </c>
      <c r="AGW14" s="229"/>
      <c r="AGX14" s="229"/>
      <c r="AGY14" s="229"/>
      <c r="AGZ14" s="102"/>
      <c r="AHA14" s="102"/>
      <c r="AHB14" s="228" t="s">
        <v>46</v>
      </c>
      <c r="AHC14" s="228"/>
      <c r="AHD14" s="228"/>
      <c r="AHE14" s="228"/>
      <c r="AHF14" s="82"/>
      <c r="AHG14" s="82"/>
      <c r="AHH14" s="229" t="s">
        <v>47</v>
      </c>
      <c r="AHI14" s="229"/>
      <c r="AHJ14" s="229"/>
      <c r="AHK14" s="229"/>
      <c r="AHL14" s="102"/>
      <c r="AHM14" s="102"/>
      <c r="AHN14" s="228" t="s">
        <v>48</v>
      </c>
      <c r="AHO14" s="228"/>
      <c r="AHP14" s="228"/>
      <c r="AHQ14" s="228"/>
      <c r="AHR14" s="82"/>
      <c r="AHS14" s="82"/>
      <c r="AHT14" s="82"/>
      <c r="AHU14" s="83"/>
      <c r="AHV14" s="81"/>
      <c r="AHW14" s="82"/>
      <c r="AHX14" s="82"/>
      <c r="AHY14" s="82"/>
      <c r="AHZ14" s="228" t="s">
        <v>40</v>
      </c>
      <c r="AIA14" s="228"/>
      <c r="AIB14" s="228"/>
      <c r="AIC14" s="228"/>
      <c r="AID14" s="82"/>
      <c r="AIE14" s="82"/>
      <c r="AIF14" s="229" t="s">
        <v>41</v>
      </c>
      <c r="AIG14" s="229"/>
      <c r="AIH14" s="229"/>
      <c r="AII14" s="229"/>
      <c r="AIJ14" s="102"/>
      <c r="AIK14" s="102"/>
      <c r="AIL14" s="228" t="s">
        <v>42</v>
      </c>
      <c r="AIM14" s="228"/>
      <c r="AIN14" s="228"/>
      <c r="AIO14" s="228"/>
      <c r="AIP14" s="82"/>
      <c r="AIQ14" s="82"/>
      <c r="AIR14" s="229" t="s">
        <v>43</v>
      </c>
      <c r="AIS14" s="229"/>
      <c r="AIT14" s="229"/>
      <c r="AIU14" s="229"/>
      <c r="AIV14" s="102"/>
      <c r="AIW14" s="102"/>
      <c r="AIX14" s="228" t="s">
        <v>44</v>
      </c>
      <c r="AIY14" s="228"/>
      <c r="AIZ14" s="228"/>
      <c r="AJA14" s="228"/>
      <c r="AJB14" s="82"/>
      <c r="AJC14" s="82"/>
      <c r="AJD14" s="229" t="s">
        <v>45</v>
      </c>
      <c r="AJE14" s="229"/>
      <c r="AJF14" s="229"/>
      <c r="AJG14" s="229"/>
      <c r="AJH14" s="102"/>
      <c r="AJI14" s="102"/>
      <c r="AJJ14" s="228" t="s">
        <v>46</v>
      </c>
      <c r="AJK14" s="228"/>
      <c r="AJL14" s="228"/>
      <c r="AJM14" s="228"/>
      <c r="AJN14" s="82"/>
      <c r="AJO14" s="82"/>
      <c r="AJP14" s="229" t="s">
        <v>47</v>
      </c>
      <c r="AJQ14" s="229"/>
      <c r="AJR14" s="229"/>
      <c r="AJS14" s="229"/>
      <c r="AJT14" s="102"/>
      <c r="AJU14" s="102"/>
      <c r="AJV14" s="228" t="s">
        <v>48</v>
      </c>
      <c r="AJW14" s="228"/>
      <c r="AJX14" s="228"/>
      <c r="AJY14" s="228"/>
      <c r="AJZ14" s="82"/>
      <c r="AKA14" s="82"/>
      <c r="AKB14" s="82"/>
      <c r="AKC14" s="83"/>
      <c r="AKD14" s="81"/>
      <c r="AKE14" s="82"/>
      <c r="AKF14" s="82"/>
      <c r="AKG14" s="82"/>
      <c r="AKH14" s="228" t="s">
        <v>40</v>
      </c>
      <c r="AKI14" s="228"/>
      <c r="AKJ14" s="228"/>
      <c r="AKK14" s="228"/>
      <c r="AKL14" s="82"/>
      <c r="AKM14" s="82"/>
      <c r="AKN14" s="229" t="s">
        <v>41</v>
      </c>
      <c r="AKO14" s="229"/>
      <c r="AKP14" s="229"/>
      <c r="AKQ14" s="229"/>
      <c r="AKR14" s="102"/>
      <c r="AKS14" s="102"/>
      <c r="AKT14" s="228" t="s">
        <v>42</v>
      </c>
      <c r="AKU14" s="228"/>
      <c r="AKV14" s="228"/>
      <c r="AKW14" s="228"/>
      <c r="AKX14" s="82"/>
      <c r="AKY14" s="82"/>
      <c r="AKZ14" s="229" t="s">
        <v>43</v>
      </c>
      <c r="ALA14" s="229"/>
      <c r="ALB14" s="229"/>
      <c r="ALC14" s="229"/>
      <c r="ALD14" s="102"/>
      <c r="ALE14" s="102"/>
      <c r="ALF14" s="228" t="s">
        <v>44</v>
      </c>
      <c r="ALG14" s="228"/>
      <c r="ALH14" s="228"/>
      <c r="ALI14" s="228"/>
      <c r="ALJ14" s="82"/>
      <c r="ALK14" s="82"/>
      <c r="ALL14" s="229" t="s">
        <v>45</v>
      </c>
      <c r="ALM14" s="229"/>
      <c r="ALN14" s="229"/>
      <c r="ALO14" s="229"/>
      <c r="ALP14" s="102"/>
      <c r="ALQ14" s="102"/>
      <c r="ALR14" s="228" t="s">
        <v>46</v>
      </c>
      <c r="ALS14" s="228"/>
      <c r="ALT14" s="228"/>
      <c r="ALU14" s="228"/>
      <c r="ALV14" s="82"/>
      <c r="ALW14" s="82"/>
      <c r="ALX14" s="229" t="s">
        <v>47</v>
      </c>
      <c r="ALY14" s="229"/>
      <c r="ALZ14" s="229"/>
      <c r="AMA14" s="229"/>
      <c r="AMB14" s="102"/>
      <c r="AMC14" s="102"/>
      <c r="AMD14" s="228" t="s">
        <v>48</v>
      </c>
      <c r="AME14" s="228"/>
      <c r="AMF14" s="228"/>
      <c r="AMG14" s="228"/>
      <c r="AMH14" s="82"/>
      <c r="AMI14" s="82"/>
      <c r="AMJ14" s="82"/>
      <c r="AMK14" s="83"/>
      <c r="AML14" s="81"/>
      <c r="AMM14" s="82"/>
      <c r="AMN14" s="82"/>
      <c r="AMO14" s="82"/>
      <c r="AMP14" s="228" t="s">
        <v>40</v>
      </c>
      <c r="AMQ14" s="228"/>
      <c r="AMR14" s="228"/>
      <c r="AMS14" s="228"/>
      <c r="AMT14" s="82"/>
      <c r="AMU14" s="82"/>
      <c r="AMV14" s="229" t="s">
        <v>41</v>
      </c>
      <c r="AMW14" s="229"/>
      <c r="AMX14" s="229"/>
      <c r="AMY14" s="229"/>
      <c r="AMZ14" s="102"/>
      <c r="ANA14" s="102"/>
      <c r="ANB14" s="228" t="s">
        <v>42</v>
      </c>
      <c r="ANC14" s="228"/>
      <c r="AND14" s="228"/>
      <c r="ANE14" s="228"/>
      <c r="ANF14" s="82"/>
      <c r="ANG14" s="82"/>
      <c r="ANH14" s="229" t="s">
        <v>43</v>
      </c>
      <c r="ANI14" s="229"/>
      <c r="ANJ14" s="229"/>
      <c r="ANK14" s="229"/>
      <c r="ANL14" s="102"/>
      <c r="ANM14" s="102"/>
      <c r="ANN14" s="228" t="s">
        <v>44</v>
      </c>
      <c r="ANO14" s="228"/>
      <c r="ANP14" s="228"/>
      <c r="ANQ14" s="228"/>
      <c r="ANR14" s="82"/>
      <c r="ANS14" s="82"/>
      <c r="ANT14" s="229" t="s">
        <v>45</v>
      </c>
      <c r="ANU14" s="229"/>
      <c r="ANV14" s="229"/>
      <c r="ANW14" s="229"/>
      <c r="ANX14" s="102"/>
      <c r="ANY14" s="102"/>
      <c r="ANZ14" s="228" t="s">
        <v>46</v>
      </c>
      <c r="AOA14" s="228"/>
      <c r="AOB14" s="228"/>
      <c r="AOC14" s="228"/>
      <c r="AOD14" s="82"/>
      <c r="AOE14" s="82"/>
      <c r="AOF14" s="229" t="s">
        <v>47</v>
      </c>
      <c r="AOG14" s="229"/>
      <c r="AOH14" s="229"/>
      <c r="AOI14" s="229"/>
      <c r="AOJ14" s="102"/>
      <c r="AOK14" s="102"/>
      <c r="AOL14" s="228" t="s">
        <v>48</v>
      </c>
      <c r="AOM14" s="228"/>
      <c r="AON14" s="228"/>
      <c r="AOO14" s="228"/>
      <c r="AOP14" s="82"/>
      <c r="AOQ14" s="82"/>
      <c r="AOR14" s="82"/>
      <c r="AOS14" s="83"/>
      <c r="AOT14" s="81"/>
      <c r="AOU14" s="82"/>
      <c r="AOV14" s="82"/>
      <c r="AOW14" s="82"/>
      <c r="AOX14" s="228" t="s">
        <v>40</v>
      </c>
      <c r="AOY14" s="228"/>
      <c r="AOZ14" s="228"/>
      <c r="APA14" s="228"/>
      <c r="APB14" s="82"/>
      <c r="APC14" s="82"/>
      <c r="APD14" s="229" t="s">
        <v>41</v>
      </c>
      <c r="APE14" s="229"/>
      <c r="APF14" s="229"/>
      <c r="APG14" s="229"/>
      <c r="APH14" s="102"/>
      <c r="API14" s="102"/>
      <c r="APJ14" s="228" t="s">
        <v>42</v>
      </c>
      <c r="APK14" s="228"/>
      <c r="APL14" s="228"/>
      <c r="APM14" s="228"/>
      <c r="APN14" s="82"/>
      <c r="APO14" s="82"/>
      <c r="APP14" s="229" t="s">
        <v>43</v>
      </c>
      <c r="APQ14" s="229"/>
      <c r="APR14" s="229"/>
      <c r="APS14" s="229"/>
      <c r="APT14" s="102"/>
      <c r="APU14" s="102"/>
      <c r="APV14" s="228" t="s">
        <v>44</v>
      </c>
      <c r="APW14" s="228"/>
      <c r="APX14" s="228"/>
      <c r="APY14" s="228"/>
      <c r="APZ14" s="82"/>
      <c r="AQA14" s="82"/>
      <c r="AQB14" s="229" t="s">
        <v>45</v>
      </c>
      <c r="AQC14" s="229"/>
      <c r="AQD14" s="229"/>
      <c r="AQE14" s="229"/>
      <c r="AQF14" s="102"/>
      <c r="AQG14" s="102"/>
      <c r="AQH14" s="228" t="s">
        <v>46</v>
      </c>
      <c r="AQI14" s="228"/>
      <c r="AQJ14" s="228"/>
      <c r="AQK14" s="228"/>
      <c r="AQL14" s="82"/>
      <c r="AQM14" s="82"/>
      <c r="AQN14" s="229" t="s">
        <v>47</v>
      </c>
      <c r="AQO14" s="229"/>
      <c r="AQP14" s="229"/>
      <c r="AQQ14" s="229"/>
      <c r="AQR14" s="102"/>
      <c r="AQS14" s="102"/>
      <c r="AQT14" s="228" t="s">
        <v>48</v>
      </c>
      <c r="AQU14" s="228"/>
      <c r="AQV14" s="228"/>
      <c r="AQW14" s="228"/>
      <c r="AQX14" s="82"/>
      <c r="AQY14" s="82"/>
      <c r="AQZ14" s="82"/>
      <c r="ARA14" s="83"/>
      <c r="ARB14" s="81"/>
      <c r="ARC14" s="82"/>
      <c r="ARD14" s="82"/>
      <c r="ARE14" s="82"/>
      <c r="ARF14" s="228" t="s">
        <v>40</v>
      </c>
      <c r="ARG14" s="228"/>
      <c r="ARH14" s="228"/>
      <c r="ARI14" s="228"/>
      <c r="ARJ14" s="82"/>
      <c r="ARK14" s="82"/>
      <c r="ARL14" s="229" t="s">
        <v>41</v>
      </c>
      <c r="ARM14" s="229"/>
      <c r="ARN14" s="229"/>
      <c r="ARO14" s="229"/>
      <c r="ARP14" s="102"/>
      <c r="ARQ14" s="102"/>
      <c r="ARR14" s="228" t="s">
        <v>42</v>
      </c>
      <c r="ARS14" s="228"/>
      <c r="ART14" s="228"/>
      <c r="ARU14" s="228"/>
      <c r="ARV14" s="82"/>
      <c r="ARW14" s="82"/>
      <c r="ARX14" s="229" t="s">
        <v>43</v>
      </c>
      <c r="ARY14" s="229"/>
      <c r="ARZ14" s="229"/>
      <c r="ASA14" s="229"/>
      <c r="ASB14" s="102"/>
      <c r="ASC14" s="102"/>
      <c r="ASD14" s="228" t="s">
        <v>44</v>
      </c>
      <c r="ASE14" s="228"/>
      <c r="ASF14" s="228"/>
      <c r="ASG14" s="228"/>
      <c r="ASH14" s="82"/>
      <c r="ASI14" s="82"/>
      <c r="ASJ14" s="229" t="s">
        <v>45</v>
      </c>
      <c r="ASK14" s="229"/>
      <c r="ASL14" s="229"/>
      <c r="ASM14" s="229"/>
      <c r="ASN14" s="102"/>
      <c r="ASO14" s="102"/>
      <c r="ASP14" s="228" t="s">
        <v>46</v>
      </c>
      <c r="ASQ14" s="228"/>
      <c r="ASR14" s="228"/>
      <c r="ASS14" s="228"/>
      <c r="AST14" s="82"/>
      <c r="ASU14" s="82"/>
      <c r="ASV14" s="229" t="s">
        <v>47</v>
      </c>
      <c r="ASW14" s="229"/>
      <c r="ASX14" s="229"/>
      <c r="ASY14" s="229"/>
      <c r="ASZ14" s="102"/>
      <c r="ATA14" s="102"/>
      <c r="ATB14" s="228" t="s">
        <v>48</v>
      </c>
      <c r="ATC14" s="228"/>
      <c r="ATD14" s="228"/>
      <c r="ATE14" s="228"/>
      <c r="ATF14" s="82"/>
      <c r="ATG14" s="82"/>
      <c r="ATH14" s="82"/>
      <c r="ATI14" s="83"/>
      <c r="ATJ14" s="81"/>
      <c r="ATK14" s="82"/>
      <c r="ATL14" s="82"/>
      <c r="ATM14" s="82"/>
      <c r="ATN14" s="228" t="s">
        <v>40</v>
      </c>
      <c r="ATO14" s="228"/>
      <c r="ATP14" s="228"/>
      <c r="ATQ14" s="228"/>
      <c r="ATR14" s="82"/>
      <c r="ATS14" s="82"/>
      <c r="ATT14" s="229" t="s">
        <v>41</v>
      </c>
      <c r="ATU14" s="229"/>
      <c r="ATV14" s="229"/>
      <c r="ATW14" s="229"/>
      <c r="ATX14" s="102"/>
      <c r="ATY14" s="102"/>
      <c r="ATZ14" s="228" t="s">
        <v>42</v>
      </c>
      <c r="AUA14" s="228"/>
      <c r="AUB14" s="228"/>
      <c r="AUC14" s="228"/>
      <c r="AUD14" s="82"/>
      <c r="AUE14" s="82"/>
      <c r="AUF14" s="229" t="s">
        <v>43</v>
      </c>
      <c r="AUG14" s="229"/>
      <c r="AUH14" s="229"/>
      <c r="AUI14" s="229"/>
      <c r="AUJ14" s="102"/>
      <c r="AUK14" s="102"/>
      <c r="AUL14" s="228" t="s">
        <v>44</v>
      </c>
      <c r="AUM14" s="228"/>
      <c r="AUN14" s="228"/>
      <c r="AUO14" s="228"/>
      <c r="AUP14" s="82"/>
      <c r="AUQ14" s="82"/>
      <c r="AUR14" s="229" t="s">
        <v>45</v>
      </c>
      <c r="AUS14" s="229"/>
      <c r="AUT14" s="229"/>
      <c r="AUU14" s="229"/>
      <c r="AUV14" s="102"/>
      <c r="AUW14" s="102"/>
      <c r="AUX14" s="228" t="s">
        <v>46</v>
      </c>
      <c r="AUY14" s="228"/>
      <c r="AUZ14" s="228"/>
      <c r="AVA14" s="228"/>
      <c r="AVB14" s="82"/>
      <c r="AVC14" s="82"/>
      <c r="AVD14" s="229" t="s">
        <v>47</v>
      </c>
      <c r="AVE14" s="229"/>
      <c r="AVF14" s="229"/>
      <c r="AVG14" s="229"/>
      <c r="AVH14" s="102"/>
      <c r="AVI14" s="102"/>
      <c r="AVJ14" s="228" t="s">
        <v>48</v>
      </c>
      <c r="AVK14" s="228"/>
      <c r="AVL14" s="228"/>
      <c r="AVM14" s="228"/>
      <c r="AVN14" s="82"/>
      <c r="AVO14" s="82"/>
      <c r="AVP14" s="82"/>
      <c r="AVQ14" s="83"/>
      <c r="AVR14" s="81"/>
      <c r="AVS14" s="82"/>
      <c r="AVT14" s="82"/>
      <c r="AVU14" s="82"/>
      <c r="AVV14" s="228" t="s">
        <v>40</v>
      </c>
      <c r="AVW14" s="228"/>
      <c r="AVX14" s="228"/>
      <c r="AVY14" s="228"/>
      <c r="AVZ14" s="82"/>
      <c r="AWA14" s="82"/>
      <c r="AWB14" s="229" t="s">
        <v>41</v>
      </c>
      <c r="AWC14" s="229"/>
      <c r="AWD14" s="229"/>
      <c r="AWE14" s="229"/>
      <c r="AWF14" s="102"/>
      <c r="AWG14" s="102"/>
      <c r="AWH14" s="228" t="s">
        <v>42</v>
      </c>
      <c r="AWI14" s="228"/>
      <c r="AWJ14" s="228"/>
      <c r="AWK14" s="228"/>
      <c r="AWL14" s="82"/>
      <c r="AWM14" s="82"/>
      <c r="AWN14" s="229" t="s">
        <v>43</v>
      </c>
      <c r="AWO14" s="229"/>
      <c r="AWP14" s="229"/>
      <c r="AWQ14" s="229"/>
      <c r="AWR14" s="102"/>
      <c r="AWS14" s="102"/>
      <c r="AWT14" s="228" t="s">
        <v>44</v>
      </c>
      <c r="AWU14" s="228"/>
      <c r="AWV14" s="228"/>
      <c r="AWW14" s="228"/>
      <c r="AWX14" s="82"/>
      <c r="AWY14" s="82"/>
      <c r="AWZ14" s="229" t="s">
        <v>45</v>
      </c>
      <c r="AXA14" s="229"/>
      <c r="AXB14" s="229"/>
      <c r="AXC14" s="229"/>
      <c r="AXD14" s="102"/>
      <c r="AXE14" s="102"/>
      <c r="AXF14" s="228" t="s">
        <v>46</v>
      </c>
      <c r="AXG14" s="228"/>
      <c r="AXH14" s="228"/>
      <c r="AXI14" s="228"/>
      <c r="AXJ14" s="82"/>
      <c r="AXK14" s="82"/>
      <c r="AXL14" s="229" t="s">
        <v>47</v>
      </c>
      <c r="AXM14" s="229"/>
      <c r="AXN14" s="229"/>
      <c r="AXO14" s="229"/>
      <c r="AXP14" s="102"/>
      <c r="AXQ14" s="102"/>
      <c r="AXR14" s="228" t="s">
        <v>48</v>
      </c>
      <c r="AXS14" s="228"/>
      <c r="AXT14" s="228"/>
      <c r="AXU14" s="228"/>
      <c r="AXV14" s="82"/>
      <c r="AXW14" s="82"/>
      <c r="AXX14" s="82"/>
      <c r="AXY14" s="83"/>
      <c r="AXZ14" s="81"/>
      <c r="AYA14" s="82"/>
      <c r="AYB14" s="82"/>
      <c r="AYC14" s="82"/>
      <c r="AYD14" s="228" t="s">
        <v>40</v>
      </c>
      <c r="AYE14" s="228"/>
      <c r="AYF14" s="228"/>
      <c r="AYG14" s="228"/>
      <c r="AYH14" s="82"/>
      <c r="AYI14" s="82"/>
      <c r="AYJ14" s="229" t="s">
        <v>41</v>
      </c>
      <c r="AYK14" s="229"/>
      <c r="AYL14" s="229"/>
      <c r="AYM14" s="229"/>
      <c r="AYN14" s="102"/>
      <c r="AYO14" s="102"/>
      <c r="AYP14" s="228" t="s">
        <v>42</v>
      </c>
      <c r="AYQ14" s="228"/>
      <c r="AYR14" s="228"/>
      <c r="AYS14" s="228"/>
      <c r="AYT14" s="82"/>
      <c r="AYU14" s="82"/>
      <c r="AYV14" s="229" t="s">
        <v>43</v>
      </c>
      <c r="AYW14" s="229"/>
      <c r="AYX14" s="229"/>
      <c r="AYY14" s="229"/>
      <c r="AYZ14" s="102"/>
      <c r="AZA14" s="102"/>
      <c r="AZB14" s="228" t="s">
        <v>44</v>
      </c>
      <c r="AZC14" s="228"/>
      <c r="AZD14" s="228"/>
      <c r="AZE14" s="228"/>
      <c r="AZF14" s="82"/>
      <c r="AZG14" s="82"/>
      <c r="AZH14" s="229" t="s">
        <v>45</v>
      </c>
      <c r="AZI14" s="229"/>
      <c r="AZJ14" s="229"/>
      <c r="AZK14" s="229"/>
      <c r="AZL14" s="102"/>
      <c r="AZM14" s="102"/>
      <c r="AZN14" s="228" t="s">
        <v>46</v>
      </c>
      <c r="AZO14" s="228"/>
      <c r="AZP14" s="228"/>
      <c r="AZQ14" s="228"/>
      <c r="AZR14" s="82"/>
      <c r="AZS14" s="82"/>
      <c r="AZT14" s="229" t="s">
        <v>47</v>
      </c>
      <c r="AZU14" s="229"/>
      <c r="AZV14" s="229"/>
      <c r="AZW14" s="229"/>
      <c r="AZX14" s="102"/>
      <c r="AZY14" s="102"/>
      <c r="AZZ14" s="228" t="s">
        <v>48</v>
      </c>
      <c r="BAA14" s="228"/>
      <c r="BAB14" s="228"/>
      <c r="BAC14" s="228"/>
      <c r="BAD14" s="82"/>
      <c r="BAE14" s="82"/>
      <c r="BAF14" s="82"/>
      <c r="BAG14" s="83"/>
      <c r="BAH14" s="81"/>
      <c r="BAI14" s="82"/>
      <c r="BAJ14" s="82"/>
      <c r="BAK14" s="82"/>
      <c r="BAL14" s="228" t="s">
        <v>40</v>
      </c>
      <c r="BAM14" s="228"/>
      <c r="BAN14" s="228"/>
      <c r="BAO14" s="228"/>
      <c r="BAP14" s="82"/>
      <c r="BAQ14" s="82"/>
      <c r="BAR14" s="229" t="s">
        <v>41</v>
      </c>
      <c r="BAS14" s="229"/>
      <c r="BAT14" s="229"/>
      <c r="BAU14" s="229"/>
      <c r="BAV14" s="102"/>
      <c r="BAW14" s="102"/>
      <c r="BAX14" s="228" t="s">
        <v>42</v>
      </c>
      <c r="BAY14" s="228"/>
      <c r="BAZ14" s="228"/>
      <c r="BBA14" s="228"/>
      <c r="BBB14" s="82"/>
      <c r="BBC14" s="82"/>
      <c r="BBD14" s="229" t="s">
        <v>43</v>
      </c>
      <c r="BBE14" s="229"/>
      <c r="BBF14" s="229"/>
      <c r="BBG14" s="229"/>
      <c r="BBH14" s="102"/>
      <c r="BBI14" s="102"/>
      <c r="BBJ14" s="228" t="s">
        <v>44</v>
      </c>
      <c r="BBK14" s="228"/>
      <c r="BBL14" s="228"/>
      <c r="BBM14" s="228"/>
      <c r="BBN14" s="82"/>
      <c r="BBO14" s="82"/>
      <c r="BBP14" s="229" t="s">
        <v>45</v>
      </c>
      <c r="BBQ14" s="229"/>
      <c r="BBR14" s="229"/>
      <c r="BBS14" s="229"/>
      <c r="BBT14" s="102"/>
      <c r="BBU14" s="102"/>
      <c r="BBV14" s="228" t="s">
        <v>46</v>
      </c>
      <c r="BBW14" s="228"/>
      <c r="BBX14" s="228"/>
      <c r="BBY14" s="228"/>
      <c r="BBZ14" s="82"/>
      <c r="BCA14" s="82"/>
      <c r="BCB14" s="229" t="s">
        <v>47</v>
      </c>
      <c r="BCC14" s="229"/>
      <c r="BCD14" s="229"/>
      <c r="BCE14" s="229"/>
      <c r="BCF14" s="102"/>
      <c r="BCG14" s="102"/>
      <c r="BCH14" s="228" t="s">
        <v>48</v>
      </c>
      <c r="BCI14" s="228"/>
      <c r="BCJ14" s="228"/>
      <c r="BCK14" s="228"/>
      <c r="BCL14" s="82"/>
      <c r="BCM14" s="82"/>
      <c r="BCN14" s="82"/>
      <c r="BCO14" s="83"/>
      <c r="BCP14" s="81"/>
      <c r="BCQ14" s="82"/>
      <c r="BCR14" s="82"/>
      <c r="BCS14" s="82"/>
      <c r="BCT14" s="228" t="s">
        <v>40</v>
      </c>
      <c r="BCU14" s="228"/>
      <c r="BCV14" s="228"/>
      <c r="BCW14" s="228"/>
      <c r="BCX14" s="82"/>
      <c r="BCY14" s="82"/>
      <c r="BCZ14" s="229" t="s">
        <v>41</v>
      </c>
      <c r="BDA14" s="229"/>
      <c r="BDB14" s="229"/>
      <c r="BDC14" s="229"/>
      <c r="BDD14" s="102"/>
      <c r="BDE14" s="102"/>
      <c r="BDF14" s="228" t="s">
        <v>42</v>
      </c>
      <c r="BDG14" s="228"/>
      <c r="BDH14" s="228"/>
      <c r="BDI14" s="228"/>
      <c r="BDJ14" s="82"/>
      <c r="BDK14" s="82"/>
      <c r="BDL14" s="229" t="s">
        <v>43</v>
      </c>
      <c r="BDM14" s="229"/>
      <c r="BDN14" s="229"/>
      <c r="BDO14" s="229"/>
      <c r="BDP14" s="102"/>
      <c r="BDQ14" s="102"/>
      <c r="BDR14" s="228" t="s">
        <v>44</v>
      </c>
      <c r="BDS14" s="228"/>
      <c r="BDT14" s="228"/>
      <c r="BDU14" s="228"/>
      <c r="BDV14" s="82"/>
      <c r="BDW14" s="82"/>
      <c r="BDX14" s="229" t="s">
        <v>45</v>
      </c>
      <c r="BDY14" s="229"/>
      <c r="BDZ14" s="229"/>
      <c r="BEA14" s="229"/>
      <c r="BEB14" s="102"/>
      <c r="BEC14" s="102"/>
      <c r="BED14" s="228" t="s">
        <v>46</v>
      </c>
      <c r="BEE14" s="228"/>
      <c r="BEF14" s="228"/>
      <c r="BEG14" s="228"/>
      <c r="BEH14" s="82"/>
      <c r="BEI14" s="82"/>
      <c r="BEJ14" s="229" t="s">
        <v>47</v>
      </c>
      <c r="BEK14" s="229"/>
      <c r="BEL14" s="229"/>
      <c r="BEM14" s="229"/>
      <c r="BEN14" s="102"/>
      <c r="BEO14" s="102"/>
      <c r="BEP14" s="228" t="s">
        <v>48</v>
      </c>
      <c r="BEQ14" s="228"/>
      <c r="BER14" s="228"/>
      <c r="BES14" s="228"/>
      <c r="BET14" s="82"/>
      <c r="BEU14" s="82"/>
      <c r="BEV14" s="82"/>
      <c r="BEW14" s="83"/>
      <c r="BEX14" s="81"/>
      <c r="BEY14" s="82"/>
      <c r="BEZ14" s="82"/>
      <c r="BFA14" s="82"/>
      <c r="BFB14" s="228" t="s">
        <v>40</v>
      </c>
      <c r="BFC14" s="228"/>
      <c r="BFD14" s="228"/>
      <c r="BFE14" s="228"/>
      <c r="BFF14" s="82"/>
      <c r="BFG14" s="82"/>
      <c r="BFH14" s="229" t="s">
        <v>41</v>
      </c>
      <c r="BFI14" s="229"/>
      <c r="BFJ14" s="229"/>
      <c r="BFK14" s="229"/>
      <c r="BFL14" s="102"/>
      <c r="BFM14" s="102"/>
      <c r="BFN14" s="228" t="s">
        <v>42</v>
      </c>
      <c r="BFO14" s="228"/>
      <c r="BFP14" s="228"/>
      <c r="BFQ14" s="228"/>
      <c r="BFR14" s="82"/>
      <c r="BFS14" s="82"/>
      <c r="BFT14" s="229" t="s">
        <v>43</v>
      </c>
      <c r="BFU14" s="229"/>
      <c r="BFV14" s="229"/>
      <c r="BFW14" s="229"/>
      <c r="BFX14" s="102"/>
      <c r="BFY14" s="102"/>
      <c r="BFZ14" s="228" t="s">
        <v>44</v>
      </c>
      <c r="BGA14" s="228"/>
      <c r="BGB14" s="228"/>
      <c r="BGC14" s="228"/>
      <c r="BGD14" s="82"/>
      <c r="BGE14" s="82"/>
      <c r="BGF14" s="229" t="s">
        <v>45</v>
      </c>
      <c r="BGG14" s="229"/>
      <c r="BGH14" s="229"/>
      <c r="BGI14" s="229"/>
      <c r="BGJ14" s="102"/>
      <c r="BGK14" s="102"/>
      <c r="BGL14" s="228" t="s">
        <v>46</v>
      </c>
      <c r="BGM14" s="228"/>
      <c r="BGN14" s="228"/>
      <c r="BGO14" s="228"/>
      <c r="BGP14" s="82"/>
      <c r="BGQ14" s="82"/>
      <c r="BGR14" s="229" t="s">
        <v>47</v>
      </c>
      <c r="BGS14" s="229"/>
      <c r="BGT14" s="229"/>
      <c r="BGU14" s="229"/>
      <c r="BGV14" s="102"/>
      <c r="BGW14" s="102"/>
      <c r="BGX14" s="228" t="s">
        <v>48</v>
      </c>
      <c r="BGY14" s="228"/>
      <c r="BGZ14" s="228"/>
      <c r="BHA14" s="228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>Analyse - Cahier des charges</v>
      </c>
      <c r="C15" s="246" t="s">
        <v>71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83"/>
      <c r="BEY15" s="184"/>
      <c r="BEZ15" s="184"/>
      <c r="BFA15" s="184"/>
      <c r="BFB15" s="184"/>
      <c r="BFC15" s="185"/>
      <c r="BFD15" s="184"/>
      <c r="BFE15" s="184"/>
      <c r="BFF15" s="184"/>
      <c r="BFG15" s="184"/>
      <c r="BFH15" s="184"/>
      <c r="BFI15" s="186"/>
      <c r="BFJ15" s="184"/>
      <c r="BFK15" s="18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81"/>
      <c r="BHG15" s="182"/>
      <c r="BHH15" s="182"/>
      <c r="BHI15" s="182"/>
      <c r="BHJ15" s="182"/>
      <c r="BHK15" s="182"/>
      <c r="BHL15" s="182"/>
      <c r="BHM15" s="182"/>
      <c r="BHN15" s="182"/>
      <c r="BHO15" s="182"/>
      <c r="BHP15" s="182"/>
      <c r="BHQ15" s="182"/>
      <c r="BHR15" s="182"/>
      <c r="BHS15" s="182"/>
      <c r="BHT15" s="188"/>
      <c r="BHU15" s="188"/>
      <c r="BHV15" s="188"/>
      <c r="BHW15" s="188"/>
      <c r="BHX15" s="188"/>
      <c r="BHY15" s="188"/>
      <c r="BHZ15" s="188"/>
      <c r="BIA15" s="188"/>
      <c r="BIB15" s="188"/>
      <c r="BIC15" s="188"/>
      <c r="BID15" s="188"/>
      <c r="BIE15" s="188"/>
      <c r="BIF15" s="188"/>
      <c r="BIG15" s="188"/>
      <c r="BIH15" s="188"/>
      <c r="BII15" s="188"/>
      <c r="BIJ15" s="188"/>
      <c r="BIK15" s="188"/>
      <c r="BIL15" s="188"/>
      <c r="BIM15" s="188"/>
      <c r="BIN15" s="188"/>
      <c r="BIO15" s="188"/>
      <c r="BIP15" s="188"/>
    </row>
    <row r="16" spans="1:1602" ht="20.100000000000001" customHeight="1" x14ac:dyDescent="0.25">
      <c r="A16" s="78" t="s">
        <v>50</v>
      </c>
      <c r="B16" s="51" t="str">
        <f>IF(LEN(C17)=0,"",C17)</f>
        <v>Analyse - Planification initiale</v>
      </c>
      <c r="C16" s="236"/>
      <c r="D16" s="120" t="str">
        <f t="shared" ref="D16:D79" si="0">setValueToTime(E16)</f>
        <v/>
      </c>
      <c r="E16" s="30">
        <v>0</v>
      </c>
      <c r="F16" s="189"/>
      <c r="G16" s="190"/>
      <c r="H16" s="190"/>
      <c r="I16" s="190"/>
      <c r="J16" s="190"/>
      <c r="K16" s="191"/>
      <c r="L16" s="190"/>
      <c r="M16" s="190"/>
      <c r="N16" s="190"/>
      <c r="O16" s="190"/>
      <c r="P16" s="190"/>
      <c r="Q16" s="192"/>
      <c r="R16" s="190"/>
      <c r="S16" s="190"/>
      <c r="T16" s="190"/>
      <c r="U16" s="190"/>
      <c r="V16" s="190"/>
      <c r="W16" s="193"/>
      <c r="X16" s="190"/>
      <c r="Y16" s="190"/>
      <c r="Z16" s="190"/>
      <c r="AA16" s="190"/>
      <c r="AB16" s="190"/>
      <c r="AC16" s="192"/>
      <c r="AD16" s="190"/>
      <c r="AE16" s="190"/>
      <c r="AF16" s="190"/>
      <c r="AG16" s="190"/>
      <c r="AH16" s="190"/>
      <c r="AI16" s="193"/>
      <c r="AJ16" s="190"/>
      <c r="AK16" s="190"/>
      <c r="AL16" s="190"/>
      <c r="AM16" s="190"/>
      <c r="AN16" s="190"/>
      <c r="AO16" s="192"/>
      <c r="AP16" s="190"/>
      <c r="AQ16" s="190"/>
      <c r="AR16" s="190"/>
      <c r="AS16" s="190"/>
      <c r="AT16" s="190"/>
      <c r="AU16" s="193"/>
      <c r="AV16" s="190"/>
      <c r="AW16" s="190"/>
      <c r="AX16" s="190"/>
      <c r="AY16" s="190"/>
      <c r="AZ16" s="190"/>
      <c r="BA16" s="192"/>
      <c r="BB16" s="190"/>
      <c r="BC16" s="190"/>
      <c r="BD16" s="190"/>
      <c r="BE16" s="190"/>
      <c r="BF16" s="190"/>
      <c r="BG16" s="193"/>
      <c r="BH16" s="190"/>
      <c r="BI16" s="190"/>
      <c r="BJ16" s="190"/>
      <c r="BK16" s="190"/>
      <c r="BL16" s="190"/>
      <c r="BM16" s="194"/>
      <c r="BN16" s="189"/>
      <c r="BO16" s="190"/>
      <c r="BP16" s="190"/>
      <c r="BQ16" s="190"/>
      <c r="BR16" s="190"/>
      <c r="BS16" s="191"/>
      <c r="BT16" s="190"/>
      <c r="BU16" s="190"/>
      <c r="BV16" s="190"/>
      <c r="BW16" s="190"/>
      <c r="BX16" s="190"/>
      <c r="BY16" s="192"/>
      <c r="BZ16" s="190"/>
      <c r="CA16" s="190"/>
      <c r="CB16" s="190"/>
      <c r="CC16" s="190"/>
      <c r="CD16" s="190"/>
      <c r="CE16" s="193"/>
      <c r="CF16" s="190"/>
      <c r="CG16" s="190"/>
      <c r="CH16" s="190"/>
      <c r="CI16" s="190"/>
      <c r="CJ16" s="190"/>
      <c r="CK16" s="192"/>
      <c r="CL16" s="190"/>
      <c r="CM16" s="190"/>
      <c r="CN16" s="190"/>
      <c r="CO16" s="190"/>
      <c r="CP16" s="190"/>
      <c r="CQ16" s="193"/>
      <c r="CR16" s="190"/>
      <c r="CS16" s="190"/>
      <c r="CT16" s="190"/>
      <c r="CU16" s="190"/>
      <c r="CV16" s="190"/>
      <c r="CW16" s="192"/>
      <c r="CX16" s="190"/>
      <c r="CY16" s="190"/>
      <c r="CZ16" s="190"/>
      <c r="DA16" s="190"/>
      <c r="DB16" s="190"/>
      <c r="DC16" s="193"/>
      <c r="DD16" s="190"/>
      <c r="DE16" s="190"/>
      <c r="DF16" s="190"/>
      <c r="DG16" s="190"/>
      <c r="DH16" s="190"/>
      <c r="DI16" s="192"/>
      <c r="DJ16" s="190"/>
      <c r="DK16" s="190"/>
      <c r="DL16" s="190"/>
      <c r="DM16" s="190"/>
      <c r="DN16" s="190"/>
      <c r="DO16" s="193"/>
      <c r="DP16" s="190"/>
      <c r="DQ16" s="190"/>
      <c r="DR16" s="190"/>
      <c r="DS16" s="190"/>
      <c r="DT16" s="190"/>
      <c r="DU16" s="194"/>
      <c r="DV16" s="189"/>
      <c r="DW16" s="190"/>
      <c r="DX16" s="190"/>
      <c r="DY16" s="190"/>
      <c r="DZ16" s="190"/>
      <c r="EA16" s="191"/>
      <c r="EB16" s="190"/>
      <c r="EC16" s="190"/>
      <c r="ED16" s="190"/>
      <c r="EE16" s="190"/>
      <c r="EF16" s="190"/>
      <c r="EG16" s="192"/>
      <c r="EH16" s="190"/>
      <c r="EI16" s="190"/>
      <c r="EJ16" s="190"/>
      <c r="EK16" s="190"/>
      <c r="EL16" s="190"/>
      <c r="EM16" s="193"/>
      <c r="EN16" s="190"/>
      <c r="EO16" s="190"/>
      <c r="EP16" s="190"/>
      <c r="EQ16" s="190"/>
      <c r="ER16" s="190"/>
      <c r="ES16" s="192"/>
      <c r="ET16" s="190"/>
      <c r="EU16" s="190"/>
      <c r="EV16" s="190"/>
      <c r="EW16" s="190"/>
      <c r="EX16" s="190"/>
      <c r="EY16" s="193"/>
      <c r="EZ16" s="190"/>
      <c r="FA16" s="190"/>
      <c r="FB16" s="190"/>
      <c r="FC16" s="190"/>
      <c r="FD16" s="190"/>
      <c r="FE16" s="192"/>
      <c r="FF16" s="190"/>
      <c r="FG16" s="190"/>
      <c r="FH16" s="190"/>
      <c r="FI16" s="190"/>
      <c r="FJ16" s="190"/>
      <c r="FK16" s="193"/>
      <c r="FL16" s="190"/>
      <c r="FM16" s="190"/>
      <c r="FN16" s="190"/>
      <c r="FO16" s="190"/>
      <c r="FP16" s="190"/>
      <c r="FQ16" s="192"/>
      <c r="FR16" s="190"/>
      <c r="FS16" s="190"/>
      <c r="FT16" s="190"/>
      <c r="FU16" s="190"/>
      <c r="FV16" s="190"/>
      <c r="FW16" s="193"/>
      <c r="FX16" s="190"/>
      <c r="FY16" s="190"/>
      <c r="FZ16" s="190"/>
      <c r="GA16" s="190"/>
      <c r="GB16" s="190"/>
      <c r="GC16" s="194"/>
      <c r="GD16" s="189"/>
      <c r="GE16" s="190"/>
      <c r="GF16" s="190"/>
      <c r="GG16" s="190"/>
      <c r="GH16" s="190"/>
      <c r="GI16" s="191"/>
      <c r="GJ16" s="190"/>
      <c r="GK16" s="190"/>
      <c r="GL16" s="190"/>
      <c r="GM16" s="190"/>
      <c r="GN16" s="190"/>
      <c r="GO16" s="192"/>
      <c r="GP16" s="190"/>
      <c r="GQ16" s="190"/>
      <c r="GR16" s="190"/>
      <c r="GS16" s="190"/>
      <c r="GT16" s="190"/>
      <c r="GU16" s="193"/>
      <c r="GV16" s="190"/>
      <c r="GW16" s="190"/>
      <c r="GX16" s="190"/>
      <c r="GY16" s="190"/>
      <c r="GZ16" s="190"/>
      <c r="HA16" s="192"/>
      <c r="HB16" s="190"/>
      <c r="HC16" s="190"/>
      <c r="HD16" s="190"/>
      <c r="HE16" s="190"/>
      <c r="HF16" s="190"/>
      <c r="HG16" s="193"/>
      <c r="HH16" s="190"/>
      <c r="HI16" s="190"/>
      <c r="HJ16" s="190"/>
      <c r="HK16" s="190"/>
      <c r="HL16" s="190"/>
      <c r="HM16" s="192"/>
      <c r="HN16" s="190"/>
      <c r="HO16" s="190"/>
      <c r="HP16" s="190"/>
      <c r="HQ16" s="190"/>
      <c r="HR16" s="190"/>
      <c r="HS16" s="193"/>
      <c r="HT16" s="190"/>
      <c r="HU16" s="190"/>
      <c r="HV16" s="190"/>
      <c r="HW16" s="190"/>
      <c r="HX16" s="190"/>
      <c r="HY16" s="192"/>
      <c r="HZ16" s="190"/>
      <c r="IA16" s="190"/>
      <c r="IB16" s="190"/>
      <c r="IC16" s="190"/>
      <c r="ID16" s="190"/>
      <c r="IE16" s="193"/>
      <c r="IF16" s="190"/>
      <c r="IG16" s="190"/>
      <c r="IH16" s="190"/>
      <c r="II16" s="190"/>
      <c r="IJ16" s="190"/>
      <c r="IK16" s="194"/>
      <c r="IL16" s="189"/>
      <c r="IM16" s="190"/>
      <c r="IN16" s="190"/>
      <c r="IO16" s="190"/>
      <c r="IP16" s="190"/>
      <c r="IQ16" s="191"/>
      <c r="IR16" s="190"/>
      <c r="IS16" s="190"/>
      <c r="IT16" s="190"/>
      <c r="IU16" s="190"/>
      <c r="IV16" s="190"/>
      <c r="IW16" s="192"/>
      <c r="IX16" s="190"/>
      <c r="IY16" s="190"/>
      <c r="IZ16" s="190"/>
      <c r="JA16" s="190"/>
      <c r="JB16" s="190"/>
      <c r="JC16" s="193"/>
      <c r="JD16" s="190"/>
      <c r="JE16" s="190"/>
      <c r="JF16" s="190"/>
      <c r="JG16" s="190"/>
      <c r="JH16" s="190"/>
      <c r="JI16" s="192"/>
      <c r="JJ16" s="190"/>
      <c r="JK16" s="190"/>
      <c r="JL16" s="190"/>
      <c r="JM16" s="190"/>
      <c r="JN16" s="190"/>
      <c r="JO16" s="193"/>
      <c r="JP16" s="190"/>
      <c r="JQ16" s="190"/>
      <c r="JR16" s="190"/>
      <c r="JS16" s="190"/>
      <c r="JT16" s="190"/>
      <c r="JU16" s="192"/>
      <c r="JV16" s="190"/>
      <c r="JW16" s="190"/>
      <c r="JX16" s="190"/>
      <c r="JY16" s="190"/>
      <c r="JZ16" s="190"/>
      <c r="KA16" s="193"/>
      <c r="KB16" s="190"/>
      <c r="KC16" s="190"/>
      <c r="KD16" s="190"/>
      <c r="KE16" s="190"/>
      <c r="KF16" s="190"/>
      <c r="KG16" s="192"/>
      <c r="KH16" s="190"/>
      <c r="KI16" s="190"/>
      <c r="KJ16" s="190"/>
      <c r="KK16" s="190"/>
      <c r="KL16" s="190"/>
      <c r="KM16" s="193"/>
      <c r="KN16" s="190"/>
      <c r="KO16" s="190"/>
      <c r="KP16" s="190"/>
      <c r="KQ16" s="190"/>
      <c r="KR16" s="190"/>
      <c r="KS16" s="194"/>
      <c r="KT16" s="189"/>
      <c r="KU16" s="190"/>
      <c r="KV16" s="190"/>
      <c r="KW16" s="190"/>
      <c r="KX16" s="190"/>
      <c r="KY16" s="191"/>
      <c r="KZ16" s="190"/>
      <c r="LA16" s="190"/>
      <c r="LB16" s="190"/>
      <c r="LC16" s="190"/>
      <c r="LD16" s="190"/>
      <c r="LE16" s="192"/>
      <c r="LF16" s="190"/>
      <c r="LG16" s="190"/>
      <c r="LH16" s="190"/>
      <c r="LI16" s="190"/>
      <c r="LJ16" s="190"/>
      <c r="LK16" s="193"/>
      <c r="LL16" s="190"/>
      <c r="LM16" s="190"/>
      <c r="LN16" s="190"/>
      <c r="LO16" s="190"/>
      <c r="LP16" s="190"/>
      <c r="LQ16" s="192"/>
      <c r="LR16" s="190"/>
      <c r="LS16" s="190"/>
      <c r="LT16" s="190"/>
      <c r="LU16" s="190"/>
      <c r="LV16" s="190"/>
      <c r="LW16" s="193"/>
      <c r="LX16" s="190"/>
      <c r="LY16" s="190"/>
      <c r="LZ16" s="190"/>
      <c r="MA16" s="190"/>
      <c r="MB16" s="190"/>
      <c r="MC16" s="192"/>
      <c r="MD16" s="190"/>
      <c r="ME16" s="190"/>
      <c r="MF16" s="190"/>
      <c r="MG16" s="190"/>
      <c r="MH16" s="190"/>
      <c r="MI16" s="193"/>
      <c r="MJ16" s="190"/>
      <c r="MK16" s="190"/>
      <c r="ML16" s="190"/>
      <c r="MM16" s="190"/>
      <c r="MN16" s="190"/>
      <c r="MO16" s="192"/>
      <c r="MP16" s="190"/>
      <c r="MQ16" s="190"/>
      <c r="MR16" s="190"/>
      <c r="MS16" s="190"/>
      <c r="MT16" s="190"/>
      <c r="MU16" s="193"/>
      <c r="MV16" s="190"/>
      <c r="MW16" s="190"/>
      <c r="MX16" s="190"/>
      <c r="MY16" s="190"/>
      <c r="MZ16" s="190"/>
      <c r="NA16" s="194"/>
      <c r="NB16" s="189"/>
      <c r="NC16" s="190"/>
      <c r="ND16" s="190"/>
      <c r="NE16" s="190"/>
      <c r="NF16" s="190"/>
      <c r="NG16" s="191"/>
      <c r="NH16" s="190"/>
      <c r="NI16" s="190"/>
      <c r="NJ16" s="190"/>
      <c r="NK16" s="190"/>
      <c r="NL16" s="190"/>
      <c r="NM16" s="192"/>
      <c r="NN16" s="190"/>
      <c r="NO16" s="190"/>
      <c r="NP16" s="190"/>
      <c r="NQ16" s="190"/>
      <c r="NR16" s="190"/>
      <c r="NS16" s="193"/>
      <c r="NT16" s="190"/>
      <c r="NU16" s="190"/>
      <c r="NV16" s="190"/>
      <c r="NW16" s="190"/>
      <c r="NX16" s="190"/>
      <c r="NY16" s="192"/>
      <c r="NZ16" s="190"/>
      <c r="OA16" s="190"/>
      <c r="OB16" s="190"/>
      <c r="OC16" s="190"/>
      <c r="OD16" s="190"/>
      <c r="OE16" s="193"/>
      <c r="OF16" s="190"/>
      <c r="OG16" s="190"/>
      <c r="OH16" s="190"/>
      <c r="OI16" s="190"/>
      <c r="OJ16" s="190"/>
      <c r="OK16" s="192"/>
      <c r="OL16" s="190"/>
      <c r="OM16" s="190"/>
      <c r="ON16" s="190"/>
      <c r="OO16" s="190"/>
      <c r="OP16" s="190"/>
      <c r="OQ16" s="193"/>
      <c r="OR16" s="190"/>
      <c r="OS16" s="190"/>
      <c r="OT16" s="190"/>
      <c r="OU16" s="190"/>
      <c r="OV16" s="190"/>
      <c r="OW16" s="192"/>
      <c r="OX16" s="190"/>
      <c r="OY16" s="190"/>
      <c r="OZ16" s="190"/>
      <c r="PA16" s="190"/>
      <c r="PB16" s="190"/>
      <c r="PC16" s="193"/>
      <c r="PD16" s="190"/>
      <c r="PE16" s="190"/>
      <c r="PF16" s="190"/>
      <c r="PG16" s="190"/>
      <c r="PH16" s="190"/>
      <c r="PI16" s="194"/>
      <c r="PJ16" s="189"/>
      <c r="PK16" s="190"/>
      <c r="PL16" s="190"/>
      <c r="PM16" s="190"/>
      <c r="PN16" s="190"/>
      <c r="PO16" s="191"/>
      <c r="PP16" s="190"/>
      <c r="PQ16" s="190"/>
      <c r="PR16" s="190"/>
      <c r="PS16" s="190"/>
      <c r="PT16" s="190"/>
      <c r="PU16" s="192"/>
      <c r="PV16" s="190"/>
      <c r="PW16" s="190"/>
      <c r="PX16" s="190"/>
      <c r="PY16" s="190"/>
      <c r="PZ16" s="190"/>
      <c r="QA16" s="193"/>
      <c r="QB16" s="190"/>
      <c r="QC16" s="190"/>
      <c r="QD16" s="190"/>
      <c r="QE16" s="190"/>
      <c r="QF16" s="190"/>
      <c r="QG16" s="192"/>
      <c r="QH16" s="190"/>
      <c r="QI16" s="190"/>
      <c r="QJ16" s="190"/>
      <c r="QK16" s="190"/>
      <c r="QL16" s="190"/>
      <c r="QM16" s="193"/>
      <c r="QN16" s="190"/>
      <c r="QO16" s="190"/>
      <c r="QP16" s="190"/>
      <c r="QQ16" s="190"/>
      <c r="QR16" s="190"/>
      <c r="QS16" s="192"/>
      <c r="QT16" s="190"/>
      <c r="QU16" s="190"/>
      <c r="QV16" s="190"/>
      <c r="QW16" s="190"/>
      <c r="QX16" s="190"/>
      <c r="QY16" s="193"/>
      <c r="QZ16" s="190"/>
      <c r="RA16" s="190"/>
      <c r="RB16" s="190"/>
      <c r="RC16" s="190"/>
      <c r="RD16" s="190"/>
      <c r="RE16" s="192"/>
      <c r="RF16" s="190"/>
      <c r="RG16" s="190"/>
      <c r="RH16" s="190"/>
      <c r="RI16" s="190"/>
      <c r="RJ16" s="190"/>
      <c r="RK16" s="193"/>
      <c r="RL16" s="190"/>
      <c r="RM16" s="190"/>
      <c r="RN16" s="190"/>
      <c r="RO16" s="190"/>
      <c r="RP16" s="190"/>
      <c r="RQ16" s="194"/>
      <c r="RR16" s="189"/>
      <c r="RS16" s="190"/>
      <c r="RT16" s="190"/>
      <c r="RU16" s="190"/>
      <c r="RV16" s="190"/>
      <c r="RW16" s="191"/>
      <c r="RX16" s="190"/>
      <c r="RY16" s="190"/>
      <c r="RZ16" s="190"/>
      <c r="SA16" s="190"/>
      <c r="SB16" s="190"/>
      <c r="SC16" s="192"/>
      <c r="SD16" s="190"/>
      <c r="SE16" s="190"/>
      <c r="SF16" s="190"/>
      <c r="SG16" s="190"/>
      <c r="SH16" s="190"/>
      <c r="SI16" s="193"/>
      <c r="SJ16" s="190"/>
      <c r="SK16" s="190"/>
      <c r="SL16" s="190"/>
      <c r="SM16" s="190"/>
      <c r="SN16" s="190"/>
      <c r="SO16" s="192"/>
      <c r="SP16" s="190"/>
      <c r="SQ16" s="190"/>
      <c r="SR16" s="190"/>
      <c r="SS16" s="190"/>
      <c r="ST16" s="190"/>
      <c r="SU16" s="193"/>
      <c r="SV16" s="190"/>
      <c r="SW16" s="190"/>
      <c r="SX16" s="190"/>
      <c r="SY16" s="190"/>
      <c r="SZ16" s="190"/>
      <c r="TA16" s="192"/>
      <c r="TB16" s="190"/>
      <c r="TC16" s="190"/>
      <c r="TD16" s="190"/>
      <c r="TE16" s="190"/>
      <c r="TF16" s="190"/>
      <c r="TG16" s="193"/>
      <c r="TH16" s="190"/>
      <c r="TI16" s="190"/>
      <c r="TJ16" s="190"/>
      <c r="TK16" s="190"/>
      <c r="TL16" s="190"/>
      <c r="TM16" s="192"/>
      <c r="TN16" s="190"/>
      <c r="TO16" s="190"/>
      <c r="TP16" s="190"/>
      <c r="TQ16" s="190"/>
      <c r="TR16" s="190"/>
      <c r="TS16" s="193"/>
      <c r="TT16" s="190"/>
      <c r="TU16" s="190"/>
      <c r="TV16" s="190"/>
      <c r="TW16" s="190"/>
      <c r="TX16" s="190"/>
      <c r="TY16" s="194"/>
      <c r="TZ16" s="189"/>
      <c r="UA16" s="190"/>
      <c r="UB16" s="190"/>
      <c r="UC16" s="190"/>
      <c r="UD16" s="190"/>
      <c r="UE16" s="191"/>
      <c r="UF16" s="190"/>
      <c r="UG16" s="190"/>
      <c r="UH16" s="190"/>
      <c r="UI16" s="190"/>
      <c r="UJ16" s="190"/>
      <c r="UK16" s="192"/>
      <c r="UL16" s="190"/>
      <c r="UM16" s="190"/>
      <c r="UN16" s="190"/>
      <c r="UO16" s="190"/>
      <c r="UP16" s="190"/>
      <c r="UQ16" s="193"/>
      <c r="UR16" s="190"/>
      <c r="US16" s="190"/>
      <c r="UT16" s="190"/>
      <c r="UU16" s="190"/>
      <c r="UV16" s="190"/>
      <c r="UW16" s="192"/>
      <c r="UX16" s="190"/>
      <c r="UY16" s="190"/>
      <c r="UZ16" s="190"/>
      <c r="VA16" s="190"/>
      <c r="VB16" s="190"/>
      <c r="VC16" s="193"/>
      <c r="VD16" s="190"/>
      <c r="VE16" s="190"/>
      <c r="VF16" s="190"/>
      <c r="VG16" s="190"/>
      <c r="VH16" s="190"/>
      <c r="VI16" s="192"/>
      <c r="VJ16" s="190"/>
      <c r="VK16" s="190"/>
      <c r="VL16" s="190"/>
      <c r="VM16" s="190"/>
      <c r="VN16" s="190"/>
      <c r="VO16" s="193"/>
      <c r="VP16" s="190"/>
      <c r="VQ16" s="190"/>
      <c r="VR16" s="190"/>
      <c r="VS16" s="190"/>
      <c r="VT16" s="190"/>
      <c r="VU16" s="192"/>
      <c r="VV16" s="190"/>
      <c r="VW16" s="190"/>
      <c r="VX16" s="190"/>
      <c r="VY16" s="190"/>
      <c r="VZ16" s="190"/>
      <c r="WA16" s="193"/>
      <c r="WB16" s="190"/>
      <c r="WC16" s="190"/>
      <c r="WD16" s="190"/>
      <c r="WE16" s="190"/>
      <c r="WF16" s="190"/>
      <c r="WG16" s="194"/>
      <c r="WH16" s="189"/>
      <c r="WI16" s="190"/>
      <c r="WJ16" s="190"/>
      <c r="WK16" s="190"/>
      <c r="WL16" s="190"/>
      <c r="WM16" s="191"/>
      <c r="WN16" s="190"/>
      <c r="WO16" s="190"/>
      <c r="WP16" s="190"/>
      <c r="WQ16" s="190"/>
      <c r="WR16" s="190"/>
      <c r="WS16" s="192"/>
      <c r="WT16" s="190"/>
      <c r="WU16" s="190"/>
      <c r="WV16" s="190"/>
      <c r="WW16" s="190"/>
      <c r="WX16" s="190"/>
      <c r="WY16" s="193"/>
      <c r="WZ16" s="190"/>
      <c r="XA16" s="190"/>
      <c r="XB16" s="190"/>
      <c r="XC16" s="190"/>
      <c r="XD16" s="190"/>
      <c r="XE16" s="192"/>
      <c r="XF16" s="190"/>
      <c r="XG16" s="190"/>
      <c r="XH16" s="190"/>
      <c r="XI16" s="190"/>
      <c r="XJ16" s="190"/>
      <c r="XK16" s="193"/>
      <c r="XL16" s="190"/>
      <c r="XM16" s="190"/>
      <c r="XN16" s="190"/>
      <c r="XO16" s="190"/>
      <c r="XP16" s="190"/>
      <c r="XQ16" s="192"/>
      <c r="XR16" s="190"/>
      <c r="XS16" s="190"/>
      <c r="XT16" s="190"/>
      <c r="XU16" s="190"/>
      <c r="XV16" s="190"/>
      <c r="XW16" s="193"/>
      <c r="XX16" s="190"/>
      <c r="XY16" s="190"/>
      <c r="XZ16" s="190"/>
      <c r="YA16" s="190"/>
      <c r="YB16" s="190"/>
      <c r="YC16" s="192"/>
      <c r="YD16" s="190"/>
      <c r="YE16" s="190"/>
      <c r="YF16" s="190"/>
      <c r="YG16" s="190"/>
      <c r="YH16" s="190"/>
      <c r="YI16" s="193"/>
      <c r="YJ16" s="190"/>
      <c r="YK16" s="190"/>
      <c r="YL16" s="190"/>
      <c r="YM16" s="190"/>
      <c r="YN16" s="190"/>
      <c r="YO16" s="194"/>
      <c r="YP16" s="189"/>
      <c r="YQ16" s="190"/>
      <c r="YR16" s="190"/>
      <c r="YS16" s="190"/>
      <c r="YT16" s="190"/>
      <c r="YU16" s="191"/>
      <c r="YV16" s="190"/>
      <c r="YW16" s="190"/>
      <c r="YX16" s="190"/>
      <c r="YY16" s="190"/>
      <c r="YZ16" s="190"/>
      <c r="ZA16" s="192"/>
      <c r="ZB16" s="190"/>
      <c r="ZC16" s="190"/>
      <c r="ZD16" s="190"/>
      <c r="ZE16" s="190"/>
      <c r="ZF16" s="190"/>
      <c r="ZG16" s="193"/>
      <c r="ZH16" s="190"/>
      <c r="ZI16" s="190"/>
      <c r="ZJ16" s="190"/>
      <c r="ZK16" s="190"/>
      <c r="ZL16" s="190"/>
      <c r="ZM16" s="192"/>
      <c r="ZN16" s="190"/>
      <c r="ZO16" s="190"/>
      <c r="ZP16" s="190"/>
      <c r="ZQ16" s="190"/>
      <c r="ZR16" s="190"/>
      <c r="ZS16" s="193"/>
      <c r="ZT16" s="190"/>
      <c r="ZU16" s="190"/>
      <c r="ZV16" s="190"/>
      <c r="ZW16" s="190"/>
      <c r="ZX16" s="190"/>
      <c r="ZY16" s="192"/>
      <c r="ZZ16" s="190"/>
      <c r="AAA16" s="190"/>
      <c r="AAB16" s="190"/>
      <c r="AAC16" s="190"/>
      <c r="AAD16" s="190"/>
      <c r="AAE16" s="193"/>
      <c r="AAF16" s="190"/>
      <c r="AAG16" s="190"/>
      <c r="AAH16" s="190"/>
      <c r="AAI16" s="190"/>
      <c r="AAJ16" s="190"/>
      <c r="AAK16" s="192"/>
      <c r="AAL16" s="190"/>
      <c r="AAM16" s="190"/>
      <c r="AAN16" s="190"/>
      <c r="AAO16" s="190"/>
      <c r="AAP16" s="190"/>
      <c r="AAQ16" s="193"/>
      <c r="AAR16" s="190"/>
      <c r="AAS16" s="190"/>
      <c r="AAT16" s="190"/>
      <c r="AAU16" s="190"/>
      <c r="AAV16" s="190"/>
      <c r="AAW16" s="194"/>
      <c r="AAX16" s="189"/>
      <c r="AAY16" s="190"/>
      <c r="AAZ16" s="190"/>
      <c r="ABA16" s="190"/>
      <c r="ABB16" s="190"/>
      <c r="ABC16" s="191"/>
      <c r="ABD16" s="190"/>
      <c r="ABE16" s="190"/>
      <c r="ABF16" s="190"/>
      <c r="ABG16" s="190"/>
      <c r="ABH16" s="190"/>
      <c r="ABI16" s="192"/>
      <c r="ABJ16" s="190"/>
      <c r="ABK16" s="190"/>
      <c r="ABL16" s="190"/>
      <c r="ABM16" s="190"/>
      <c r="ABN16" s="190"/>
      <c r="ABO16" s="193"/>
      <c r="ABP16" s="190"/>
      <c r="ABQ16" s="190"/>
      <c r="ABR16" s="190"/>
      <c r="ABS16" s="190"/>
      <c r="ABT16" s="190"/>
      <c r="ABU16" s="192"/>
      <c r="ABV16" s="190"/>
      <c r="ABW16" s="190"/>
      <c r="ABX16" s="190"/>
      <c r="ABY16" s="190"/>
      <c r="ABZ16" s="190"/>
      <c r="ACA16" s="193"/>
      <c r="ACB16" s="190"/>
      <c r="ACC16" s="190"/>
      <c r="ACD16" s="190"/>
      <c r="ACE16" s="190"/>
      <c r="ACF16" s="190"/>
      <c r="ACG16" s="192"/>
      <c r="ACH16" s="190"/>
      <c r="ACI16" s="190"/>
      <c r="ACJ16" s="190"/>
      <c r="ACK16" s="190"/>
      <c r="ACL16" s="190"/>
      <c r="ACM16" s="193"/>
      <c r="ACN16" s="190"/>
      <c r="ACO16" s="190"/>
      <c r="ACP16" s="190"/>
      <c r="ACQ16" s="190"/>
      <c r="ACR16" s="190"/>
      <c r="ACS16" s="192"/>
      <c r="ACT16" s="190"/>
      <c r="ACU16" s="190"/>
      <c r="ACV16" s="190"/>
      <c r="ACW16" s="190"/>
      <c r="ACX16" s="190"/>
      <c r="ACY16" s="193"/>
      <c r="ACZ16" s="190"/>
      <c r="ADA16" s="190"/>
      <c r="ADB16" s="190"/>
      <c r="ADC16" s="190"/>
      <c r="ADD16" s="190"/>
      <c r="ADE16" s="194"/>
      <c r="ADF16" s="189"/>
      <c r="ADG16" s="190"/>
      <c r="ADH16" s="190"/>
      <c r="ADI16" s="190"/>
      <c r="ADJ16" s="190"/>
      <c r="ADK16" s="191"/>
      <c r="ADL16" s="190"/>
      <c r="ADM16" s="190"/>
      <c r="ADN16" s="190"/>
      <c r="ADO16" s="190"/>
      <c r="ADP16" s="190"/>
      <c r="ADQ16" s="192"/>
      <c r="ADR16" s="190"/>
      <c r="ADS16" s="190"/>
      <c r="ADT16" s="190"/>
      <c r="ADU16" s="190"/>
      <c r="ADV16" s="190"/>
      <c r="ADW16" s="193"/>
      <c r="ADX16" s="190"/>
      <c r="ADY16" s="190"/>
      <c r="ADZ16" s="190"/>
      <c r="AEA16" s="190"/>
      <c r="AEB16" s="190"/>
      <c r="AEC16" s="192"/>
      <c r="AED16" s="190"/>
      <c r="AEE16" s="190"/>
      <c r="AEF16" s="190"/>
      <c r="AEG16" s="190"/>
      <c r="AEH16" s="190"/>
      <c r="AEI16" s="193"/>
      <c r="AEJ16" s="190"/>
      <c r="AEK16" s="190"/>
      <c r="AEL16" s="190"/>
      <c r="AEM16" s="190"/>
      <c r="AEN16" s="190"/>
      <c r="AEO16" s="192"/>
      <c r="AEP16" s="190"/>
      <c r="AEQ16" s="190"/>
      <c r="AER16" s="190"/>
      <c r="AES16" s="190"/>
      <c r="AET16" s="190"/>
      <c r="AEU16" s="193"/>
      <c r="AEV16" s="190"/>
      <c r="AEW16" s="190"/>
      <c r="AEX16" s="190"/>
      <c r="AEY16" s="190"/>
      <c r="AEZ16" s="190"/>
      <c r="AFA16" s="192"/>
      <c r="AFB16" s="190"/>
      <c r="AFC16" s="190"/>
      <c r="AFD16" s="190"/>
      <c r="AFE16" s="190"/>
      <c r="AFF16" s="190"/>
      <c r="AFG16" s="193"/>
      <c r="AFH16" s="190"/>
      <c r="AFI16" s="190"/>
      <c r="AFJ16" s="190"/>
      <c r="AFK16" s="190"/>
      <c r="AFL16" s="190"/>
      <c r="AFM16" s="194"/>
      <c r="AFN16" s="189"/>
      <c r="AFO16" s="190"/>
      <c r="AFP16" s="190"/>
      <c r="AFQ16" s="190"/>
      <c r="AFR16" s="190"/>
      <c r="AFS16" s="191"/>
      <c r="AFT16" s="190"/>
      <c r="AFU16" s="190"/>
      <c r="AFV16" s="190"/>
      <c r="AFW16" s="190"/>
      <c r="AFX16" s="190"/>
      <c r="AFY16" s="192"/>
      <c r="AFZ16" s="190"/>
      <c r="AGA16" s="190"/>
      <c r="AGB16" s="190"/>
      <c r="AGC16" s="190"/>
      <c r="AGD16" s="190"/>
      <c r="AGE16" s="193"/>
      <c r="AGF16" s="190"/>
      <c r="AGG16" s="190"/>
      <c r="AGH16" s="190"/>
      <c r="AGI16" s="190"/>
      <c r="AGJ16" s="190"/>
      <c r="AGK16" s="192"/>
      <c r="AGL16" s="190"/>
      <c r="AGM16" s="190"/>
      <c r="AGN16" s="190"/>
      <c r="AGO16" s="190"/>
      <c r="AGP16" s="190"/>
      <c r="AGQ16" s="193"/>
      <c r="AGR16" s="190"/>
      <c r="AGS16" s="190"/>
      <c r="AGT16" s="190"/>
      <c r="AGU16" s="190"/>
      <c r="AGV16" s="190"/>
      <c r="AGW16" s="192"/>
      <c r="AGX16" s="190"/>
      <c r="AGY16" s="190"/>
      <c r="AGZ16" s="190"/>
      <c r="AHA16" s="190"/>
      <c r="AHB16" s="190"/>
      <c r="AHC16" s="193"/>
      <c r="AHD16" s="190"/>
      <c r="AHE16" s="190"/>
      <c r="AHF16" s="190"/>
      <c r="AHG16" s="190"/>
      <c r="AHH16" s="190"/>
      <c r="AHI16" s="192"/>
      <c r="AHJ16" s="190"/>
      <c r="AHK16" s="190"/>
      <c r="AHL16" s="190"/>
      <c r="AHM16" s="190"/>
      <c r="AHN16" s="190"/>
      <c r="AHO16" s="193"/>
      <c r="AHP16" s="190"/>
      <c r="AHQ16" s="190"/>
      <c r="AHR16" s="190"/>
      <c r="AHS16" s="190"/>
      <c r="AHT16" s="190"/>
      <c r="AHU16" s="194"/>
      <c r="AHV16" s="189"/>
      <c r="AHW16" s="190"/>
      <c r="AHX16" s="190"/>
      <c r="AHY16" s="190"/>
      <c r="AHZ16" s="190"/>
      <c r="AIA16" s="191"/>
      <c r="AIB16" s="190"/>
      <c r="AIC16" s="190"/>
      <c r="AID16" s="190"/>
      <c r="AIE16" s="190"/>
      <c r="AIF16" s="190"/>
      <c r="AIG16" s="192"/>
      <c r="AIH16" s="190"/>
      <c r="AII16" s="190"/>
      <c r="AIJ16" s="190"/>
      <c r="AIK16" s="190"/>
      <c r="AIL16" s="190"/>
      <c r="AIM16" s="193"/>
      <c r="AIN16" s="190"/>
      <c r="AIO16" s="190"/>
      <c r="AIP16" s="190"/>
      <c r="AIQ16" s="190"/>
      <c r="AIR16" s="190"/>
      <c r="AIS16" s="192"/>
      <c r="AIT16" s="190"/>
      <c r="AIU16" s="190"/>
      <c r="AIV16" s="190"/>
      <c r="AIW16" s="190"/>
      <c r="AIX16" s="190"/>
      <c r="AIY16" s="193"/>
      <c r="AIZ16" s="190"/>
      <c r="AJA16" s="190"/>
      <c r="AJB16" s="190"/>
      <c r="AJC16" s="190"/>
      <c r="AJD16" s="190"/>
      <c r="AJE16" s="192"/>
      <c r="AJF16" s="190"/>
      <c r="AJG16" s="190"/>
      <c r="AJH16" s="190"/>
      <c r="AJI16" s="190"/>
      <c r="AJJ16" s="190"/>
      <c r="AJK16" s="193"/>
      <c r="AJL16" s="190"/>
      <c r="AJM16" s="190"/>
      <c r="AJN16" s="190"/>
      <c r="AJO16" s="190"/>
      <c r="AJP16" s="190"/>
      <c r="AJQ16" s="192"/>
      <c r="AJR16" s="190"/>
      <c r="AJS16" s="190"/>
      <c r="AJT16" s="190"/>
      <c r="AJU16" s="190"/>
      <c r="AJV16" s="190"/>
      <c r="AJW16" s="193"/>
      <c r="AJX16" s="190"/>
      <c r="AJY16" s="190"/>
      <c r="AJZ16" s="190"/>
      <c r="AKA16" s="190"/>
      <c r="AKB16" s="190"/>
      <c r="AKC16" s="194"/>
      <c r="AKD16" s="189"/>
      <c r="AKE16" s="190"/>
      <c r="AKF16" s="190"/>
      <c r="AKG16" s="190"/>
      <c r="AKH16" s="190"/>
      <c r="AKI16" s="191"/>
      <c r="AKJ16" s="190"/>
      <c r="AKK16" s="190"/>
      <c r="AKL16" s="190"/>
      <c r="AKM16" s="190"/>
      <c r="AKN16" s="190"/>
      <c r="AKO16" s="192"/>
      <c r="AKP16" s="190"/>
      <c r="AKQ16" s="190"/>
      <c r="AKR16" s="190"/>
      <c r="AKS16" s="190"/>
      <c r="AKT16" s="190"/>
      <c r="AKU16" s="193"/>
      <c r="AKV16" s="190"/>
      <c r="AKW16" s="190"/>
      <c r="AKX16" s="190"/>
      <c r="AKY16" s="190"/>
      <c r="AKZ16" s="190"/>
      <c r="ALA16" s="192"/>
      <c r="ALB16" s="190"/>
      <c r="ALC16" s="190"/>
      <c r="ALD16" s="190"/>
      <c r="ALE16" s="190"/>
      <c r="ALF16" s="190"/>
      <c r="ALG16" s="193"/>
      <c r="ALH16" s="190"/>
      <c r="ALI16" s="190"/>
      <c r="ALJ16" s="190"/>
      <c r="ALK16" s="190"/>
      <c r="ALL16" s="190"/>
      <c r="ALM16" s="192"/>
      <c r="ALN16" s="190"/>
      <c r="ALO16" s="190"/>
      <c r="ALP16" s="190"/>
      <c r="ALQ16" s="190"/>
      <c r="ALR16" s="190"/>
      <c r="ALS16" s="193"/>
      <c r="ALT16" s="190"/>
      <c r="ALU16" s="190"/>
      <c r="ALV16" s="190"/>
      <c r="ALW16" s="190"/>
      <c r="ALX16" s="190"/>
      <c r="ALY16" s="192"/>
      <c r="ALZ16" s="190"/>
      <c r="AMA16" s="190"/>
      <c r="AMB16" s="190"/>
      <c r="AMC16" s="190"/>
      <c r="AMD16" s="190"/>
      <c r="AME16" s="193"/>
      <c r="AMF16" s="190"/>
      <c r="AMG16" s="190"/>
      <c r="AMH16" s="190"/>
      <c r="AMI16" s="190"/>
      <c r="AMJ16" s="190"/>
      <c r="AMK16" s="194"/>
      <c r="AML16" s="189"/>
      <c r="AMM16" s="190"/>
      <c r="AMN16" s="190"/>
      <c r="AMO16" s="190"/>
      <c r="AMP16" s="190"/>
      <c r="AMQ16" s="191"/>
      <c r="AMR16" s="190"/>
      <c r="AMS16" s="190"/>
      <c r="AMT16" s="190"/>
      <c r="AMU16" s="190"/>
      <c r="AMV16" s="190"/>
      <c r="AMW16" s="192"/>
      <c r="AMX16" s="190"/>
      <c r="AMY16" s="190"/>
      <c r="AMZ16" s="190"/>
      <c r="ANA16" s="190"/>
      <c r="ANB16" s="190"/>
      <c r="ANC16" s="193"/>
      <c r="AND16" s="190"/>
      <c r="ANE16" s="190"/>
      <c r="ANF16" s="190"/>
      <c r="ANG16" s="190"/>
      <c r="ANH16" s="190"/>
      <c r="ANI16" s="192"/>
      <c r="ANJ16" s="190"/>
      <c r="ANK16" s="190"/>
      <c r="ANL16" s="190"/>
      <c r="ANM16" s="190"/>
      <c r="ANN16" s="190"/>
      <c r="ANO16" s="193"/>
      <c r="ANP16" s="190"/>
      <c r="ANQ16" s="190"/>
      <c r="ANR16" s="190"/>
      <c r="ANS16" s="190"/>
      <c r="ANT16" s="190"/>
      <c r="ANU16" s="192"/>
      <c r="ANV16" s="190"/>
      <c r="ANW16" s="190"/>
      <c r="ANX16" s="190"/>
      <c r="ANY16" s="190"/>
      <c r="ANZ16" s="190"/>
      <c r="AOA16" s="193"/>
      <c r="AOB16" s="190"/>
      <c r="AOC16" s="190"/>
      <c r="AOD16" s="190"/>
      <c r="AOE16" s="190"/>
      <c r="AOF16" s="190"/>
      <c r="AOG16" s="192"/>
      <c r="AOH16" s="190"/>
      <c r="AOI16" s="190"/>
      <c r="AOJ16" s="190"/>
      <c r="AOK16" s="190"/>
      <c r="AOL16" s="190"/>
      <c r="AOM16" s="193"/>
      <c r="AON16" s="190"/>
      <c r="AOO16" s="190"/>
      <c r="AOP16" s="190"/>
      <c r="AOQ16" s="190"/>
      <c r="AOR16" s="190"/>
      <c r="AOS16" s="194"/>
      <c r="AOT16" s="189"/>
      <c r="AOU16" s="190"/>
      <c r="AOV16" s="190"/>
      <c r="AOW16" s="190"/>
      <c r="AOX16" s="190"/>
      <c r="AOY16" s="191"/>
      <c r="AOZ16" s="190"/>
      <c r="APA16" s="190"/>
      <c r="APB16" s="190"/>
      <c r="APC16" s="190"/>
      <c r="APD16" s="190"/>
      <c r="APE16" s="192"/>
      <c r="APF16" s="190"/>
      <c r="APG16" s="190"/>
      <c r="APH16" s="190"/>
      <c r="API16" s="190"/>
      <c r="APJ16" s="190"/>
      <c r="APK16" s="193"/>
      <c r="APL16" s="190"/>
      <c r="APM16" s="190"/>
      <c r="APN16" s="190"/>
      <c r="APO16" s="190"/>
      <c r="APP16" s="190"/>
      <c r="APQ16" s="192"/>
      <c r="APR16" s="190"/>
      <c r="APS16" s="190"/>
      <c r="APT16" s="190"/>
      <c r="APU16" s="190"/>
      <c r="APV16" s="190"/>
      <c r="APW16" s="193"/>
      <c r="APX16" s="190"/>
      <c r="APY16" s="190"/>
      <c r="APZ16" s="190"/>
      <c r="AQA16" s="190"/>
      <c r="AQB16" s="190"/>
      <c r="AQC16" s="192"/>
      <c r="AQD16" s="190"/>
      <c r="AQE16" s="190"/>
      <c r="AQF16" s="190"/>
      <c r="AQG16" s="190"/>
      <c r="AQH16" s="190"/>
      <c r="AQI16" s="193"/>
      <c r="AQJ16" s="190"/>
      <c r="AQK16" s="190"/>
      <c r="AQL16" s="190"/>
      <c r="AQM16" s="190"/>
      <c r="AQN16" s="190"/>
      <c r="AQO16" s="192"/>
      <c r="AQP16" s="190"/>
      <c r="AQQ16" s="190"/>
      <c r="AQR16" s="190"/>
      <c r="AQS16" s="190"/>
      <c r="AQT16" s="190"/>
      <c r="AQU16" s="193"/>
      <c r="AQV16" s="190"/>
      <c r="AQW16" s="190"/>
      <c r="AQX16" s="190"/>
      <c r="AQY16" s="190"/>
      <c r="AQZ16" s="190"/>
      <c r="ARA16" s="194"/>
      <c r="ARB16" s="189"/>
      <c r="ARC16" s="190"/>
      <c r="ARD16" s="190"/>
      <c r="ARE16" s="190"/>
      <c r="ARF16" s="190"/>
      <c r="ARG16" s="191"/>
      <c r="ARH16" s="190"/>
      <c r="ARI16" s="190"/>
      <c r="ARJ16" s="190"/>
      <c r="ARK16" s="190"/>
      <c r="ARL16" s="190"/>
      <c r="ARM16" s="192"/>
      <c r="ARN16" s="190"/>
      <c r="ARO16" s="190"/>
      <c r="ARP16" s="190"/>
      <c r="ARQ16" s="190"/>
      <c r="ARR16" s="190"/>
      <c r="ARS16" s="193"/>
      <c r="ART16" s="190"/>
      <c r="ARU16" s="190"/>
      <c r="ARV16" s="190"/>
      <c r="ARW16" s="190"/>
      <c r="ARX16" s="190"/>
      <c r="ARY16" s="192"/>
      <c r="ARZ16" s="190"/>
      <c r="ASA16" s="190"/>
      <c r="ASB16" s="190"/>
      <c r="ASC16" s="190"/>
      <c r="ASD16" s="190"/>
      <c r="ASE16" s="193"/>
      <c r="ASF16" s="190"/>
      <c r="ASG16" s="190"/>
      <c r="ASH16" s="190"/>
      <c r="ASI16" s="190"/>
      <c r="ASJ16" s="190"/>
      <c r="ASK16" s="192"/>
      <c r="ASL16" s="190"/>
      <c r="ASM16" s="190"/>
      <c r="ASN16" s="190"/>
      <c r="ASO16" s="190"/>
      <c r="ASP16" s="190"/>
      <c r="ASQ16" s="193"/>
      <c r="ASR16" s="190"/>
      <c r="ASS16" s="190"/>
      <c r="AST16" s="190"/>
      <c r="ASU16" s="190"/>
      <c r="ASV16" s="190"/>
      <c r="ASW16" s="192"/>
      <c r="ASX16" s="190"/>
      <c r="ASY16" s="190"/>
      <c r="ASZ16" s="190"/>
      <c r="ATA16" s="190"/>
      <c r="ATB16" s="190"/>
      <c r="ATC16" s="193"/>
      <c r="ATD16" s="190"/>
      <c r="ATE16" s="190"/>
      <c r="ATF16" s="190"/>
      <c r="ATG16" s="190"/>
      <c r="ATH16" s="190"/>
      <c r="ATI16" s="194"/>
      <c r="ATJ16" s="189"/>
      <c r="ATK16" s="190"/>
      <c r="ATL16" s="190"/>
      <c r="ATM16" s="190"/>
      <c r="ATN16" s="190"/>
      <c r="ATO16" s="191"/>
      <c r="ATP16" s="190"/>
      <c r="ATQ16" s="190"/>
      <c r="ATR16" s="190"/>
      <c r="ATS16" s="190"/>
      <c r="ATT16" s="190"/>
      <c r="ATU16" s="192"/>
      <c r="ATV16" s="190"/>
      <c r="ATW16" s="190"/>
      <c r="ATX16" s="190"/>
      <c r="ATY16" s="190"/>
      <c r="ATZ16" s="190"/>
      <c r="AUA16" s="193"/>
      <c r="AUB16" s="190"/>
      <c r="AUC16" s="190"/>
      <c r="AUD16" s="190"/>
      <c r="AUE16" s="190"/>
      <c r="AUF16" s="190"/>
      <c r="AUG16" s="192"/>
      <c r="AUH16" s="190"/>
      <c r="AUI16" s="190"/>
      <c r="AUJ16" s="190"/>
      <c r="AUK16" s="190"/>
      <c r="AUL16" s="190"/>
      <c r="AUM16" s="193"/>
      <c r="AUN16" s="190"/>
      <c r="AUO16" s="190"/>
      <c r="AUP16" s="190"/>
      <c r="AUQ16" s="190"/>
      <c r="AUR16" s="190"/>
      <c r="AUS16" s="192"/>
      <c r="AUT16" s="190"/>
      <c r="AUU16" s="190"/>
      <c r="AUV16" s="190"/>
      <c r="AUW16" s="190"/>
      <c r="AUX16" s="190"/>
      <c r="AUY16" s="193"/>
      <c r="AUZ16" s="190"/>
      <c r="AVA16" s="190"/>
      <c r="AVB16" s="190"/>
      <c r="AVC16" s="190"/>
      <c r="AVD16" s="190"/>
      <c r="AVE16" s="192"/>
      <c r="AVF16" s="190"/>
      <c r="AVG16" s="190"/>
      <c r="AVH16" s="190"/>
      <c r="AVI16" s="190"/>
      <c r="AVJ16" s="190"/>
      <c r="AVK16" s="193"/>
      <c r="AVL16" s="190"/>
      <c r="AVM16" s="190"/>
      <c r="AVN16" s="190"/>
      <c r="AVO16" s="190"/>
      <c r="AVP16" s="190"/>
      <c r="AVQ16" s="194"/>
      <c r="AVR16" s="189"/>
      <c r="AVS16" s="190"/>
      <c r="AVT16" s="190"/>
      <c r="AVU16" s="190"/>
      <c r="AVV16" s="190"/>
      <c r="AVW16" s="191"/>
      <c r="AVX16" s="190"/>
      <c r="AVY16" s="190"/>
      <c r="AVZ16" s="190"/>
      <c r="AWA16" s="190"/>
      <c r="AWB16" s="190"/>
      <c r="AWC16" s="192"/>
      <c r="AWD16" s="190"/>
      <c r="AWE16" s="190"/>
      <c r="AWF16" s="190"/>
      <c r="AWG16" s="190"/>
      <c r="AWH16" s="190"/>
      <c r="AWI16" s="193"/>
      <c r="AWJ16" s="190"/>
      <c r="AWK16" s="190"/>
      <c r="AWL16" s="190"/>
      <c r="AWM16" s="190"/>
      <c r="AWN16" s="190"/>
      <c r="AWO16" s="192"/>
      <c r="AWP16" s="190"/>
      <c r="AWQ16" s="190"/>
      <c r="AWR16" s="190"/>
      <c r="AWS16" s="190"/>
      <c r="AWT16" s="190"/>
      <c r="AWU16" s="193"/>
      <c r="AWV16" s="190"/>
      <c r="AWW16" s="190"/>
      <c r="AWX16" s="190"/>
      <c r="AWY16" s="190"/>
      <c r="AWZ16" s="190"/>
      <c r="AXA16" s="192"/>
      <c r="AXB16" s="190"/>
      <c r="AXC16" s="190"/>
      <c r="AXD16" s="190"/>
      <c r="AXE16" s="190"/>
      <c r="AXF16" s="190"/>
      <c r="AXG16" s="193"/>
      <c r="AXH16" s="190"/>
      <c r="AXI16" s="190"/>
      <c r="AXJ16" s="190"/>
      <c r="AXK16" s="190"/>
      <c r="AXL16" s="190"/>
      <c r="AXM16" s="192"/>
      <c r="AXN16" s="190"/>
      <c r="AXO16" s="190"/>
      <c r="AXP16" s="190"/>
      <c r="AXQ16" s="190"/>
      <c r="AXR16" s="190"/>
      <c r="AXS16" s="193"/>
      <c r="AXT16" s="190"/>
      <c r="AXU16" s="190"/>
      <c r="AXV16" s="190"/>
      <c r="AXW16" s="190"/>
      <c r="AXX16" s="190"/>
      <c r="AXY16" s="194"/>
      <c r="AXZ16" s="189"/>
      <c r="AYA16" s="190"/>
      <c r="AYB16" s="190"/>
      <c r="AYC16" s="190"/>
      <c r="AYD16" s="190"/>
      <c r="AYE16" s="191"/>
      <c r="AYF16" s="190"/>
      <c r="AYG16" s="190"/>
      <c r="AYH16" s="190"/>
      <c r="AYI16" s="190"/>
      <c r="AYJ16" s="190"/>
      <c r="AYK16" s="192"/>
      <c r="AYL16" s="190"/>
      <c r="AYM16" s="190"/>
      <c r="AYN16" s="190"/>
      <c r="AYO16" s="190"/>
      <c r="AYP16" s="190"/>
      <c r="AYQ16" s="193"/>
      <c r="AYR16" s="190"/>
      <c r="AYS16" s="190"/>
      <c r="AYT16" s="190"/>
      <c r="AYU16" s="190"/>
      <c r="AYV16" s="190"/>
      <c r="AYW16" s="192"/>
      <c r="AYX16" s="190"/>
      <c r="AYY16" s="190"/>
      <c r="AYZ16" s="190"/>
      <c r="AZA16" s="190"/>
      <c r="AZB16" s="190"/>
      <c r="AZC16" s="193"/>
      <c r="AZD16" s="190"/>
      <c r="AZE16" s="190"/>
      <c r="AZF16" s="190"/>
      <c r="AZG16" s="190"/>
      <c r="AZH16" s="190"/>
      <c r="AZI16" s="192"/>
      <c r="AZJ16" s="190"/>
      <c r="AZK16" s="190"/>
      <c r="AZL16" s="190"/>
      <c r="AZM16" s="190"/>
      <c r="AZN16" s="190"/>
      <c r="AZO16" s="193"/>
      <c r="AZP16" s="190"/>
      <c r="AZQ16" s="190"/>
      <c r="AZR16" s="190"/>
      <c r="AZS16" s="190"/>
      <c r="AZT16" s="190"/>
      <c r="AZU16" s="192"/>
      <c r="AZV16" s="190"/>
      <c r="AZW16" s="190"/>
      <c r="AZX16" s="190"/>
      <c r="AZY16" s="190"/>
      <c r="AZZ16" s="190"/>
      <c r="BAA16" s="193"/>
      <c r="BAB16" s="190"/>
      <c r="BAC16" s="190"/>
      <c r="BAD16" s="190"/>
      <c r="BAE16" s="190"/>
      <c r="BAF16" s="190"/>
      <c r="BAG16" s="194"/>
      <c r="BAH16" s="189"/>
      <c r="BAI16" s="190"/>
      <c r="BAJ16" s="190"/>
      <c r="BAK16" s="190"/>
      <c r="BAL16" s="190"/>
      <c r="BAM16" s="191"/>
      <c r="BAN16" s="190"/>
      <c r="BAO16" s="190"/>
      <c r="BAP16" s="190"/>
      <c r="BAQ16" s="190"/>
      <c r="BAR16" s="190"/>
      <c r="BAS16" s="192"/>
      <c r="BAT16" s="190"/>
      <c r="BAU16" s="190"/>
      <c r="BAV16" s="190"/>
      <c r="BAW16" s="190"/>
      <c r="BAX16" s="190"/>
      <c r="BAY16" s="193"/>
      <c r="BAZ16" s="190"/>
      <c r="BBA16" s="190"/>
      <c r="BBB16" s="190"/>
      <c r="BBC16" s="190"/>
      <c r="BBD16" s="190"/>
      <c r="BBE16" s="192"/>
      <c r="BBF16" s="190"/>
      <c r="BBG16" s="190"/>
      <c r="BBH16" s="190"/>
      <c r="BBI16" s="190"/>
      <c r="BBJ16" s="190"/>
      <c r="BBK16" s="193"/>
      <c r="BBL16" s="190"/>
      <c r="BBM16" s="190"/>
      <c r="BBN16" s="190"/>
      <c r="BBO16" s="190"/>
      <c r="BBP16" s="190"/>
      <c r="BBQ16" s="192"/>
      <c r="BBR16" s="190"/>
      <c r="BBS16" s="190"/>
      <c r="BBT16" s="190"/>
      <c r="BBU16" s="190"/>
      <c r="BBV16" s="190"/>
      <c r="BBW16" s="193"/>
      <c r="BBX16" s="190"/>
      <c r="BBY16" s="190"/>
      <c r="BBZ16" s="190"/>
      <c r="BCA16" s="190"/>
      <c r="BCB16" s="190"/>
      <c r="BCC16" s="192"/>
      <c r="BCD16" s="190"/>
      <c r="BCE16" s="190"/>
      <c r="BCF16" s="190"/>
      <c r="BCG16" s="190"/>
      <c r="BCH16" s="190"/>
      <c r="BCI16" s="193"/>
      <c r="BCJ16" s="190"/>
      <c r="BCK16" s="190"/>
      <c r="BCL16" s="190"/>
      <c r="BCM16" s="190"/>
      <c r="BCN16" s="190"/>
      <c r="BCO16" s="194"/>
      <c r="BCP16" s="189"/>
      <c r="BCQ16" s="190"/>
      <c r="BCR16" s="190"/>
      <c r="BCS16" s="190"/>
      <c r="BCT16" s="190"/>
      <c r="BCU16" s="191"/>
      <c r="BCV16" s="190"/>
      <c r="BCW16" s="190"/>
      <c r="BCX16" s="190"/>
      <c r="BCY16" s="190"/>
      <c r="BCZ16" s="190"/>
      <c r="BDA16" s="192"/>
      <c r="BDB16" s="190"/>
      <c r="BDC16" s="190"/>
      <c r="BDD16" s="190"/>
      <c r="BDE16" s="190"/>
      <c r="BDF16" s="190"/>
      <c r="BDG16" s="193"/>
      <c r="BDH16" s="190"/>
      <c r="BDI16" s="190"/>
      <c r="BDJ16" s="190"/>
      <c r="BDK16" s="190"/>
      <c r="BDL16" s="190"/>
      <c r="BDM16" s="192"/>
      <c r="BDN16" s="190"/>
      <c r="BDO16" s="190"/>
      <c r="BDP16" s="190"/>
      <c r="BDQ16" s="190"/>
      <c r="BDR16" s="190"/>
      <c r="BDS16" s="193"/>
      <c r="BDT16" s="190"/>
      <c r="BDU16" s="190"/>
      <c r="BDV16" s="190"/>
      <c r="BDW16" s="190"/>
      <c r="BDX16" s="190"/>
      <c r="BDY16" s="192"/>
      <c r="BDZ16" s="190"/>
      <c r="BEA16" s="190"/>
      <c r="BEB16" s="190"/>
      <c r="BEC16" s="190"/>
      <c r="BED16" s="190"/>
      <c r="BEE16" s="193"/>
      <c r="BEF16" s="190"/>
      <c r="BEG16" s="190"/>
      <c r="BEH16" s="190"/>
      <c r="BEI16" s="190"/>
      <c r="BEJ16" s="190"/>
      <c r="BEK16" s="192"/>
      <c r="BEL16" s="190"/>
      <c r="BEM16" s="190"/>
      <c r="BEN16" s="190"/>
      <c r="BEO16" s="190"/>
      <c r="BEP16" s="190"/>
      <c r="BEQ16" s="193"/>
      <c r="BER16" s="190"/>
      <c r="BES16" s="190"/>
      <c r="BET16" s="190"/>
      <c r="BEU16" s="190"/>
      <c r="BEV16" s="190"/>
      <c r="BEW16" s="194"/>
      <c r="BEX16" s="189"/>
      <c r="BEY16" s="190"/>
      <c r="BEZ16" s="190"/>
      <c r="BFA16" s="190"/>
      <c r="BFB16" s="190"/>
      <c r="BFC16" s="191"/>
      <c r="BFD16" s="190"/>
      <c r="BFE16" s="190"/>
      <c r="BFF16" s="190"/>
      <c r="BFG16" s="190"/>
      <c r="BFH16" s="190"/>
      <c r="BFI16" s="192"/>
      <c r="BFJ16" s="190"/>
      <c r="BFK16" s="190"/>
      <c r="BFL16" s="190"/>
      <c r="BFM16" s="190"/>
      <c r="BFN16" s="190"/>
      <c r="BFO16" s="193"/>
      <c r="BFP16" s="190"/>
      <c r="BFQ16" s="190"/>
      <c r="BFR16" s="190"/>
      <c r="BFS16" s="190"/>
      <c r="BFT16" s="190"/>
      <c r="BFU16" s="192"/>
      <c r="BFV16" s="190"/>
      <c r="BFW16" s="190"/>
      <c r="BFX16" s="190"/>
      <c r="BFY16" s="190"/>
      <c r="BFZ16" s="190"/>
      <c r="BGA16" s="193"/>
      <c r="BGB16" s="190"/>
      <c r="BGC16" s="190"/>
      <c r="BGD16" s="190"/>
      <c r="BGE16" s="190"/>
      <c r="BGF16" s="190"/>
      <c r="BGG16" s="192"/>
      <c r="BGH16" s="190"/>
      <c r="BGI16" s="190"/>
      <c r="BGJ16" s="190"/>
      <c r="BGK16" s="190"/>
      <c r="BGL16" s="190"/>
      <c r="BGM16" s="193"/>
      <c r="BGN16" s="190"/>
      <c r="BGO16" s="190"/>
      <c r="BGP16" s="190"/>
      <c r="BGQ16" s="190"/>
      <c r="BGR16" s="190"/>
      <c r="BGS16" s="192"/>
      <c r="BGT16" s="190"/>
      <c r="BGU16" s="190"/>
      <c r="BGV16" s="190"/>
      <c r="BGW16" s="190"/>
      <c r="BGX16" s="190"/>
      <c r="BGY16" s="193"/>
      <c r="BGZ16" s="190"/>
      <c r="BHA16" s="190"/>
      <c r="BHB16" s="190"/>
      <c r="BHC16" s="190"/>
      <c r="BHD16" s="190"/>
      <c r="BHE16" s="194"/>
      <c r="BHF16" s="187"/>
      <c r="BHG16" s="188"/>
      <c r="BHH16" s="188"/>
      <c r="BHI16" s="188"/>
      <c r="BHJ16" s="188"/>
      <c r="BHK16" s="188"/>
      <c r="BHL16" s="188"/>
      <c r="BHM16" s="188"/>
      <c r="BHN16" s="188"/>
      <c r="BHO16" s="188"/>
      <c r="BHP16" s="188"/>
      <c r="BHQ16" s="188"/>
      <c r="BHR16" s="188"/>
      <c r="BHS16" s="188"/>
      <c r="BHT16" s="188"/>
      <c r="BHU16" s="188"/>
      <c r="BHV16" s="188"/>
      <c r="BHW16" s="188"/>
      <c r="BHX16" s="188"/>
      <c r="BHY16" s="188"/>
      <c r="BHZ16" s="188"/>
      <c r="BIA16" s="188"/>
      <c r="BIB16" s="188"/>
      <c r="BIC16" s="188"/>
      <c r="BID16" s="188"/>
      <c r="BIE16" s="188"/>
      <c r="BIF16" s="188"/>
      <c r="BIG16" s="188"/>
      <c r="BIH16" s="188"/>
      <c r="BII16" s="188"/>
      <c r="BIJ16" s="188"/>
      <c r="BIK16" s="188"/>
      <c r="BIL16" s="188"/>
      <c r="BIM16" s="188"/>
      <c r="BIN16" s="188"/>
      <c r="BIO16" s="188"/>
      <c r="BIP16" s="188"/>
    </row>
    <row r="17" spans="1:1602" ht="20.100000000000001" customHeight="1" x14ac:dyDescent="0.25">
      <c r="A17" s="78" t="s">
        <v>49</v>
      </c>
      <c r="B17" s="51" t="str">
        <f>IF(LEN(C19)=0,"",C19)</f>
        <v xml:space="preserve">Autres - Absences, imprévus </v>
      </c>
      <c r="C17" s="230" t="s">
        <v>51</v>
      </c>
      <c r="D17" s="119" t="str">
        <f t="shared" si="0"/>
        <v>1h 35 min</v>
      </c>
      <c r="E17" s="26">
        <v>19</v>
      </c>
      <c r="F17" s="176"/>
      <c r="G17" s="177"/>
      <c r="H17" s="177"/>
      <c r="I17" s="177"/>
      <c r="J17" s="177"/>
      <c r="K17" s="178"/>
      <c r="L17" s="177"/>
      <c r="M17" s="177"/>
      <c r="N17" s="177"/>
      <c r="O17" s="177"/>
      <c r="P17" s="177"/>
      <c r="Q17" s="179"/>
      <c r="R17" s="177"/>
      <c r="S17" s="177"/>
      <c r="T17" s="177"/>
      <c r="U17" s="177"/>
      <c r="V17" s="177"/>
      <c r="W17" s="180"/>
      <c r="X17" s="177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87"/>
      <c r="BHG17" s="188"/>
      <c r="BHH17" s="188"/>
      <c r="BHI17" s="188"/>
      <c r="BHJ17" s="188"/>
      <c r="BHK17" s="188"/>
      <c r="BHL17" s="188"/>
      <c r="BHM17" s="188"/>
      <c r="BHN17" s="188"/>
      <c r="BHO17" s="188"/>
      <c r="BHP17" s="188"/>
      <c r="BHQ17" s="188"/>
      <c r="BHR17" s="188"/>
      <c r="BHS17" s="188"/>
      <c r="BHT17" s="188"/>
      <c r="BHU17" s="188"/>
      <c r="BHV17" s="188"/>
      <c r="BHW17" s="188"/>
      <c r="BHX17" s="188"/>
      <c r="BHY17" s="188"/>
      <c r="BHZ17" s="188"/>
      <c r="BIA17" s="188"/>
      <c r="BIB17" s="188"/>
      <c r="BIC17" s="188"/>
      <c r="BID17" s="188"/>
      <c r="BIE17" s="188"/>
      <c r="BIF17" s="188"/>
      <c r="BIG17" s="188"/>
      <c r="BIH17" s="188"/>
      <c r="BII17" s="188"/>
      <c r="BIJ17" s="188"/>
      <c r="BIK17" s="188"/>
      <c r="BIL17" s="188"/>
      <c r="BIM17" s="188"/>
      <c r="BIN17" s="188"/>
      <c r="BIO17" s="188"/>
      <c r="BIP17" s="188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231"/>
      <c r="D18" s="121" t="str">
        <f t="shared" si="0"/>
        <v>1h 35 min</v>
      </c>
      <c r="E18" s="30">
        <v>19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05"/>
      <c r="X18" s="207"/>
      <c r="Y18" s="196"/>
      <c r="Z18" s="196"/>
      <c r="AA18" s="196"/>
      <c r="AB18" s="196"/>
      <c r="AC18" s="198"/>
      <c r="AD18" s="196"/>
      <c r="AE18" s="196"/>
      <c r="AF18" s="196"/>
      <c r="AG18" s="196"/>
      <c r="AH18" s="196"/>
      <c r="AI18" s="199"/>
      <c r="AJ18" s="196"/>
      <c r="AK18" s="196"/>
      <c r="AL18" s="196"/>
      <c r="AM18" s="196"/>
      <c r="AN18" s="196"/>
      <c r="AO18" s="198"/>
      <c r="AP18" s="196"/>
      <c r="AQ18" s="196"/>
      <c r="AR18" s="196"/>
      <c r="AS18" s="196"/>
      <c r="AT18" s="196"/>
      <c r="AU18" s="199"/>
      <c r="AV18" s="196"/>
      <c r="AW18" s="196"/>
      <c r="AX18" s="196"/>
      <c r="AY18" s="196"/>
      <c r="AZ18" s="196"/>
      <c r="BA18" s="198"/>
      <c r="BB18" s="196"/>
      <c r="BC18" s="196"/>
      <c r="BD18" s="196"/>
      <c r="BE18" s="196"/>
      <c r="BF18" s="196"/>
      <c r="BG18" s="199"/>
      <c r="BH18" s="196"/>
      <c r="BI18" s="196"/>
      <c r="BJ18" s="196"/>
      <c r="BK18" s="196"/>
      <c r="BL18" s="196"/>
      <c r="BM18" s="200"/>
      <c r="BN18" s="195"/>
      <c r="BO18" s="196"/>
      <c r="BP18" s="196"/>
      <c r="BQ18" s="196"/>
      <c r="BR18" s="196"/>
      <c r="BS18" s="197"/>
      <c r="BT18" s="196"/>
      <c r="BU18" s="196"/>
      <c r="BV18" s="196"/>
      <c r="BW18" s="196"/>
      <c r="BX18" s="196"/>
      <c r="BY18" s="198"/>
      <c r="BZ18" s="196"/>
      <c r="CA18" s="196"/>
      <c r="CB18" s="196"/>
      <c r="CC18" s="196"/>
      <c r="CD18" s="196"/>
      <c r="CE18" s="199"/>
      <c r="CF18" s="196"/>
      <c r="CG18" s="196"/>
      <c r="CH18" s="196"/>
      <c r="CI18" s="196"/>
      <c r="CJ18" s="196"/>
      <c r="CK18" s="198"/>
      <c r="CL18" s="196"/>
      <c r="CM18" s="196"/>
      <c r="CN18" s="196"/>
      <c r="CO18" s="196"/>
      <c r="CP18" s="196"/>
      <c r="CQ18" s="199"/>
      <c r="CR18" s="196"/>
      <c r="CS18" s="196"/>
      <c r="CT18" s="196"/>
      <c r="CU18" s="196"/>
      <c r="CV18" s="196"/>
      <c r="CW18" s="198"/>
      <c r="CX18" s="196"/>
      <c r="CY18" s="196"/>
      <c r="CZ18" s="196"/>
      <c r="DA18" s="196"/>
      <c r="DB18" s="196"/>
      <c r="DC18" s="199"/>
      <c r="DD18" s="196"/>
      <c r="DE18" s="196"/>
      <c r="DF18" s="196"/>
      <c r="DG18" s="196"/>
      <c r="DH18" s="196"/>
      <c r="DI18" s="198"/>
      <c r="DJ18" s="196"/>
      <c r="DK18" s="196"/>
      <c r="DL18" s="196"/>
      <c r="DM18" s="196"/>
      <c r="DN18" s="196"/>
      <c r="DO18" s="199"/>
      <c r="DP18" s="196"/>
      <c r="DQ18" s="196"/>
      <c r="DR18" s="196"/>
      <c r="DS18" s="196"/>
      <c r="DT18" s="196"/>
      <c r="DU18" s="200"/>
      <c r="DV18" s="195"/>
      <c r="DW18" s="196"/>
      <c r="DX18" s="196"/>
      <c r="DY18" s="196"/>
      <c r="DZ18" s="196"/>
      <c r="EA18" s="197"/>
      <c r="EB18" s="196"/>
      <c r="EC18" s="196"/>
      <c r="ED18" s="196"/>
      <c r="EE18" s="196"/>
      <c r="EF18" s="196"/>
      <c r="EG18" s="198"/>
      <c r="EH18" s="196"/>
      <c r="EI18" s="196"/>
      <c r="EJ18" s="196"/>
      <c r="EK18" s="196"/>
      <c r="EL18" s="196"/>
      <c r="EM18" s="199"/>
      <c r="EN18" s="196"/>
      <c r="EO18" s="196"/>
      <c r="EP18" s="196"/>
      <c r="EQ18" s="196"/>
      <c r="ER18" s="196"/>
      <c r="ES18" s="198"/>
      <c r="ET18" s="196"/>
      <c r="EU18" s="196"/>
      <c r="EV18" s="196"/>
      <c r="EW18" s="196"/>
      <c r="EX18" s="196"/>
      <c r="EY18" s="199"/>
      <c r="EZ18" s="196"/>
      <c r="FA18" s="196"/>
      <c r="FB18" s="196"/>
      <c r="FC18" s="196"/>
      <c r="FD18" s="196"/>
      <c r="FE18" s="198"/>
      <c r="FF18" s="196"/>
      <c r="FG18" s="196"/>
      <c r="FH18" s="196"/>
      <c r="FI18" s="196"/>
      <c r="FJ18" s="196"/>
      <c r="FK18" s="199"/>
      <c r="FL18" s="196"/>
      <c r="FM18" s="196"/>
      <c r="FN18" s="196"/>
      <c r="FO18" s="196"/>
      <c r="FP18" s="196"/>
      <c r="FQ18" s="198"/>
      <c r="FR18" s="196"/>
      <c r="FS18" s="196"/>
      <c r="FT18" s="196"/>
      <c r="FU18" s="196"/>
      <c r="FV18" s="196"/>
      <c r="FW18" s="199"/>
      <c r="FX18" s="196"/>
      <c r="FY18" s="196"/>
      <c r="FZ18" s="196"/>
      <c r="GA18" s="196"/>
      <c r="GB18" s="196"/>
      <c r="GC18" s="200"/>
      <c r="GD18" s="195"/>
      <c r="GE18" s="196"/>
      <c r="GF18" s="196"/>
      <c r="GG18" s="196"/>
      <c r="GH18" s="196"/>
      <c r="GI18" s="197"/>
      <c r="GJ18" s="196"/>
      <c r="GK18" s="196"/>
      <c r="GL18" s="196"/>
      <c r="GM18" s="196"/>
      <c r="GN18" s="196"/>
      <c r="GO18" s="198"/>
      <c r="GP18" s="196"/>
      <c r="GQ18" s="196"/>
      <c r="GR18" s="196"/>
      <c r="GS18" s="196"/>
      <c r="GT18" s="196"/>
      <c r="GU18" s="199"/>
      <c r="GV18" s="196"/>
      <c r="GW18" s="196"/>
      <c r="GX18" s="196"/>
      <c r="GY18" s="196"/>
      <c r="GZ18" s="196"/>
      <c r="HA18" s="198"/>
      <c r="HB18" s="196"/>
      <c r="HC18" s="196"/>
      <c r="HD18" s="196"/>
      <c r="HE18" s="196"/>
      <c r="HF18" s="196"/>
      <c r="HG18" s="199"/>
      <c r="HH18" s="196"/>
      <c r="HI18" s="196"/>
      <c r="HJ18" s="196"/>
      <c r="HK18" s="196"/>
      <c r="HL18" s="196"/>
      <c r="HM18" s="198"/>
      <c r="HN18" s="196"/>
      <c r="HO18" s="196"/>
      <c r="HP18" s="196"/>
      <c r="HQ18" s="196"/>
      <c r="HR18" s="196"/>
      <c r="HS18" s="199"/>
      <c r="HT18" s="196"/>
      <c r="HU18" s="196"/>
      <c r="HV18" s="196"/>
      <c r="HW18" s="196"/>
      <c r="HX18" s="196"/>
      <c r="HY18" s="198"/>
      <c r="HZ18" s="196"/>
      <c r="IA18" s="196"/>
      <c r="IB18" s="196"/>
      <c r="IC18" s="196"/>
      <c r="ID18" s="196"/>
      <c r="IE18" s="199"/>
      <c r="IF18" s="196"/>
      <c r="IG18" s="196"/>
      <c r="IH18" s="196"/>
      <c r="II18" s="196"/>
      <c r="IJ18" s="196"/>
      <c r="IK18" s="200"/>
      <c r="IL18" s="195"/>
      <c r="IM18" s="196"/>
      <c r="IN18" s="196"/>
      <c r="IO18" s="196"/>
      <c r="IP18" s="196"/>
      <c r="IQ18" s="197"/>
      <c r="IR18" s="196"/>
      <c r="IS18" s="196"/>
      <c r="IT18" s="196"/>
      <c r="IU18" s="196"/>
      <c r="IV18" s="196"/>
      <c r="IW18" s="198"/>
      <c r="IX18" s="196"/>
      <c r="IY18" s="196"/>
      <c r="IZ18" s="196"/>
      <c r="JA18" s="196"/>
      <c r="JB18" s="196"/>
      <c r="JC18" s="199"/>
      <c r="JD18" s="196"/>
      <c r="JE18" s="196"/>
      <c r="JF18" s="196"/>
      <c r="JG18" s="196"/>
      <c r="JH18" s="196"/>
      <c r="JI18" s="198"/>
      <c r="JJ18" s="196"/>
      <c r="JK18" s="196"/>
      <c r="JL18" s="196"/>
      <c r="JM18" s="196"/>
      <c r="JN18" s="196"/>
      <c r="JO18" s="199"/>
      <c r="JP18" s="196"/>
      <c r="JQ18" s="196"/>
      <c r="JR18" s="196"/>
      <c r="JS18" s="196"/>
      <c r="JT18" s="196"/>
      <c r="JU18" s="198"/>
      <c r="JV18" s="196"/>
      <c r="JW18" s="196"/>
      <c r="JX18" s="196"/>
      <c r="JY18" s="196"/>
      <c r="JZ18" s="196"/>
      <c r="KA18" s="199"/>
      <c r="KB18" s="196"/>
      <c r="KC18" s="196"/>
      <c r="KD18" s="196"/>
      <c r="KE18" s="196"/>
      <c r="KF18" s="196"/>
      <c r="KG18" s="198"/>
      <c r="KH18" s="196"/>
      <c r="KI18" s="196"/>
      <c r="KJ18" s="196"/>
      <c r="KK18" s="196"/>
      <c r="KL18" s="196"/>
      <c r="KM18" s="199"/>
      <c r="KN18" s="196"/>
      <c r="KO18" s="196"/>
      <c r="KP18" s="196"/>
      <c r="KQ18" s="196"/>
      <c r="KR18" s="196"/>
      <c r="KS18" s="200"/>
      <c r="KT18" s="195"/>
      <c r="KU18" s="196"/>
      <c r="KV18" s="196"/>
      <c r="KW18" s="196"/>
      <c r="KX18" s="196"/>
      <c r="KY18" s="197"/>
      <c r="KZ18" s="196"/>
      <c r="LA18" s="196"/>
      <c r="LB18" s="196"/>
      <c r="LC18" s="196"/>
      <c r="LD18" s="196"/>
      <c r="LE18" s="198"/>
      <c r="LF18" s="196"/>
      <c r="LG18" s="196"/>
      <c r="LH18" s="196"/>
      <c r="LI18" s="196"/>
      <c r="LJ18" s="196"/>
      <c r="LK18" s="199"/>
      <c r="LL18" s="196"/>
      <c r="LM18" s="196"/>
      <c r="LN18" s="196"/>
      <c r="LO18" s="196"/>
      <c r="LP18" s="196"/>
      <c r="LQ18" s="198"/>
      <c r="LR18" s="196"/>
      <c r="LS18" s="196"/>
      <c r="LT18" s="196"/>
      <c r="LU18" s="196"/>
      <c r="LV18" s="196"/>
      <c r="LW18" s="199"/>
      <c r="LX18" s="196"/>
      <c r="LY18" s="196"/>
      <c r="LZ18" s="196"/>
      <c r="MA18" s="196"/>
      <c r="MB18" s="196"/>
      <c r="MC18" s="198"/>
      <c r="MD18" s="196"/>
      <c r="ME18" s="196"/>
      <c r="MF18" s="196"/>
      <c r="MG18" s="196"/>
      <c r="MH18" s="196"/>
      <c r="MI18" s="199"/>
      <c r="MJ18" s="196"/>
      <c r="MK18" s="196"/>
      <c r="ML18" s="196"/>
      <c r="MM18" s="196"/>
      <c r="MN18" s="196"/>
      <c r="MO18" s="198"/>
      <c r="MP18" s="196"/>
      <c r="MQ18" s="196"/>
      <c r="MR18" s="196"/>
      <c r="MS18" s="196"/>
      <c r="MT18" s="196"/>
      <c r="MU18" s="199"/>
      <c r="MV18" s="196"/>
      <c r="MW18" s="196"/>
      <c r="MX18" s="196"/>
      <c r="MY18" s="196"/>
      <c r="MZ18" s="196"/>
      <c r="NA18" s="200"/>
      <c r="NB18" s="195"/>
      <c r="NC18" s="196"/>
      <c r="ND18" s="196"/>
      <c r="NE18" s="196"/>
      <c r="NF18" s="196"/>
      <c r="NG18" s="197"/>
      <c r="NH18" s="196"/>
      <c r="NI18" s="196"/>
      <c r="NJ18" s="196"/>
      <c r="NK18" s="196"/>
      <c r="NL18" s="196"/>
      <c r="NM18" s="198"/>
      <c r="NN18" s="196"/>
      <c r="NO18" s="196"/>
      <c r="NP18" s="196"/>
      <c r="NQ18" s="196"/>
      <c r="NR18" s="196"/>
      <c r="NS18" s="199"/>
      <c r="NT18" s="196"/>
      <c r="NU18" s="196"/>
      <c r="NV18" s="196"/>
      <c r="NW18" s="196"/>
      <c r="NX18" s="196"/>
      <c r="NY18" s="198"/>
      <c r="NZ18" s="196"/>
      <c r="OA18" s="196"/>
      <c r="OB18" s="196"/>
      <c r="OC18" s="196"/>
      <c r="OD18" s="196"/>
      <c r="OE18" s="199"/>
      <c r="OF18" s="196"/>
      <c r="OG18" s="196"/>
      <c r="OH18" s="196"/>
      <c r="OI18" s="196"/>
      <c r="OJ18" s="196"/>
      <c r="OK18" s="198"/>
      <c r="OL18" s="196"/>
      <c r="OM18" s="196"/>
      <c r="ON18" s="196"/>
      <c r="OO18" s="196"/>
      <c r="OP18" s="196"/>
      <c r="OQ18" s="199"/>
      <c r="OR18" s="196"/>
      <c r="OS18" s="196"/>
      <c r="OT18" s="196"/>
      <c r="OU18" s="196"/>
      <c r="OV18" s="196"/>
      <c r="OW18" s="198"/>
      <c r="OX18" s="196"/>
      <c r="OY18" s="196"/>
      <c r="OZ18" s="196"/>
      <c r="PA18" s="196"/>
      <c r="PB18" s="196"/>
      <c r="PC18" s="199"/>
      <c r="PD18" s="196"/>
      <c r="PE18" s="196"/>
      <c r="PF18" s="196"/>
      <c r="PG18" s="196"/>
      <c r="PH18" s="196"/>
      <c r="PI18" s="200"/>
      <c r="PJ18" s="195"/>
      <c r="PK18" s="196"/>
      <c r="PL18" s="196"/>
      <c r="PM18" s="196"/>
      <c r="PN18" s="196"/>
      <c r="PO18" s="197"/>
      <c r="PP18" s="196"/>
      <c r="PQ18" s="196"/>
      <c r="PR18" s="196"/>
      <c r="PS18" s="196"/>
      <c r="PT18" s="196"/>
      <c r="PU18" s="198"/>
      <c r="PV18" s="196"/>
      <c r="PW18" s="196"/>
      <c r="PX18" s="196"/>
      <c r="PY18" s="196"/>
      <c r="PZ18" s="196"/>
      <c r="QA18" s="199"/>
      <c r="QB18" s="196"/>
      <c r="QC18" s="196"/>
      <c r="QD18" s="196"/>
      <c r="QE18" s="196"/>
      <c r="QF18" s="196"/>
      <c r="QG18" s="198"/>
      <c r="QH18" s="196"/>
      <c r="QI18" s="196"/>
      <c r="QJ18" s="196"/>
      <c r="QK18" s="196"/>
      <c r="QL18" s="196"/>
      <c r="QM18" s="199"/>
      <c r="QN18" s="196"/>
      <c r="QO18" s="196"/>
      <c r="QP18" s="196"/>
      <c r="QQ18" s="196"/>
      <c r="QR18" s="196"/>
      <c r="QS18" s="198"/>
      <c r="QT18" s="196"/>
      <c r="QU18" s="196"/>
      <c r="QV18" s="196"/>
      <c r="QW18" s="196"/>
      <c r="QX18" s="196"/>
      <c r="QY18" s="199"/>
      <c r="QZ18" s="196"/>
      <c r="RA18" s="196"/>
      <c r="RB18" s="196"/>
      <c r="RC18" s="196"/>
      <c r="RD18" s="196"/>
      <c r="RE18" s="198"/>
      <c r="RF18" s="196"/>
      <c r="RG18" s="196"/>
      <c r="RH18" s="196"/>
      <c r="RI18" s="196"/>
      <c r="RJ18" s="196"/>
      <c r="RK18" s="199"/>
      <c r="RL18" s="196"/>
      <c r="RM18" s="196"/>
      <c r="RN18" s="196"/>
      <c r="RO18" s="196"/>
      <c r="RP18" s="196"/>
      <c r="RQ18" s="200"/>
      <c r="RR18" s="195"/>
      <c r="RS18" s="196"/>
      <c r="RT18" s="196"/>
      <c r="RU18" s="196"/>
      <c r="RV18" s="196"/>
      <c r="RW18" s="197"/>
      <c r="RX18" s="196"/>
      <c r="RY18" s="196"/>
      <c r="RZ18" s="196"/>
      <c r="SA18" s="196"/>
      <c r="SB18" s="196"/>
      <c r="SC18" s="198"/>
      <c r="SD18" s="196"/>
      <c r="SE18" s="196"/>
      <c r="SF18" s="196"/>
      <c r="SG18" s="196"/>
      <c r="SH18" s="196"/>
      <c r="SI18" s="199"/>
      <c r="SJ18" s="196"/>
      <c r="SK18" s="196"/>
      <c r="SL18" s="196"/>
      <c r="SM18" s="196"/>
      <c r="SN18" s="196"/>
      <c r="SO18" s="198"/>
      <c r="SP18" s="196"/>
      <c r="SQ18" s="196"/>
      <c r="SR18" s="196"/>
      <c r="SS18" s="196"/>
      <c r="ST18" s="196"/>
      <c r="SU18" s="199"/>
      <c r="SV18" s="196"/>
      <c r="SW18" s="196"/>
      <c r="SX18" s="196"/>
      <c r="SY18" s="196"/>
      <c r="SZ18" s="196"/>
      <c r="TA18" s="198"/>
      <c r="TB18" s="196"/>
      <c r="TC18" s="196"/>
      <c r="TD18" s="196"/>
      <c r="TE18" s="196"/>
      <c r="TF18" s="196"/>
      <c r="TG18" s="199"/>
      <c r="TH18" s="196"/>
      <c r="TI18" s="196"/>
      <c r="TJ18" s="196"/>
      <c r="TK18" s="196"/>
      <c r="TL18" s="196"/>
      <c r="TM18" s="198"/>
      <c r="TN18" s="196"/>
      <c r="TO18" s="196"/>
      <c r="TP18" s="196"/>
      <c r="TQ18" s="196"/>
      <c r="TR18" s="196"/>
      <c r="TS18" s="199"/>
      <c r="TT18" s="196"/>
      <c r="TU18" s="196"/>
      <c r="TV18" s="196"/>
      <c r="TW18" s="196"/>
      <c r="TX18" s="196"/>
      <c r="TY18" s="200"/>
      <c r="TZ18" s="195"/>
      <c r="UA18" s="196"/>
      <c r="UB18" s="196"/>
      <c r="UC18" s="196"/>
      <c r="UD18" s="196"/>
      <c r="UE18" s="197"/>
      <c r="UF18" s="196"/>
      <c r="UG18" s="196"/>
      <c r="UH18" s="196"/>
      <c r="UI18" s="196"/>
      <c r="UJ18" s="196"/>
      <c r="UK18" s="198"/>
      <c r="UL18" s="196"/>
      <c r="UM18" s="196"/>
      <c r="UN18" s="196"/>
      <c r="UO18" s="196"/>
      <c r="UP18" s="196"/>
      <c r="UQ18" s="199"/>
      <c r="UR18" s="196"/>
      <c r="US18" s="196"/>
      <c r="UT18" s="196"/>
      <c r="UU18" s="196"/>
      <c r="UV18" s="196"/>
      <c r="UW18" s="198"/>
      <c r="UX18" s="196"/>
      <c r="UY18" s="196"/>
      <c r="UZ18" s="196"/>
      <c r="VA18" s="196"/>
      <c r="VB18" s="196"/>
      <c r="VC18" s="199"/>
      <c r="VD18" s="196"/>
      <c r="VE18" s="196"/>
      <c r="VF18" s="196"/>
      <c r="VG18" s="196"/>
      <c r="VH18" s="196"/>
      <c r="VI18" s="198"/>
      <c r="VJ18" s="196"/>
      <c r="VK18" s="196"/>
      <c r="VL18" s="196"/>
      <c r="VM18" s="196"/>
      <c r="VN18" s="196"/>
      <c r="VO18" s="199"/>
      <c r="VP18" s="196"/>
      <c r="VQ18" s="196"/>
      <c r="VR18" s="196"/>
      <c r="VS18" s="196"/>
      <c r="VT18" s="196"/>
      <c r="VU18" s="198"/>
      <c r="VV18" s="196"/>
      <c r="VW18" s="196"/>
      <c r="VX18" s="196"/>
      <c r="VY18" s="196"/>
      <c r="VZ18" s="196"/>
      <c r="WA18" s="199"/>
      <c r="WB18" s="196"/>
      <c r="WC18" s="196"/>
      <c r="WD18" s="196"/>
      <c r="WE18" s="196"/>
      <c r="WF18" s="196"/>
      <c r="WG18" s="200"/>
      <c r="WH18" s="195"/>
      <c r="WI18" s="196"/>
      <c r="WJ18" s="196"/>
      <c r="WK18" s="196"/>
      <c r="WL18" s="196"/>
      <c r="WM18" s="197"/>
      <c r="WN18" s="196"/>
      <c r="WO18" s="196"/>
      <c r="WP18" s="196"/>
      <c r="WQ18" s="196"/>
      <c r="WR18" s="196"/>
      <c r="WS18" s="198"/>
      <c r="WT18" s="196"/>
      <c r="WU18" s="196"/>
      <c r="WV18" s="196"/>
      <c r="WW18" s="196"/>
      <c r="WX18" s="196"/>
      <c r="WY18" s="199"/>
      <c r="WZ18" s="196"/>
      <c r="XA18" s="196"/>
      <c r="XB18" s="196"/>
      <c r="XC18" s="196"/>
      <c r="XD18" s="196"/>
      <c r="XE18" s="198"/>
      <c r="XF18" s="196"/>
      <c r="XG18" s="196"/>
      <c r="XH18" s="196"/>
      <c r="XI18" s="196"/>
      <c r="XJ18" s="196"/>
      <c r="XK18" s="199"/>
      <c r="XL18" s="196"/>
      <c r="XM18" s="196"/>
      <c r="XN18" s="196"/>
      <c r="XO18" s="196"/>
      <c r="XP18" s="196"/>
      <c r="XQ18" s="198"/>
      <c r="XR18" s="196"/>
      <c r="XS18" s="196"/>
      <c r="XT18" s="196"/>
      <c r="XU18" s="196"/>
      <c r="XV18" s="196"/>
      <c r="XW18" s="199"/>
      <c r="XX18" s="196"/>
      <c r="XY18" s="196"/>
      <c r="XZ18" s="196"/>
      <c r="YA18" s="196"/>
      <c r="YB18" s="196"/>
      <c r="YC18" s="198"/>
      <c r="YD18" s="196"/>
      <c r="YE18" s="196"/>
      <c r="YF18" s="196"/>
      <c r="YG18" s="196"/>
      <c r="YH18" s="196"/>
      <c r="YI18" s="199"/>
      <c r="YJ18" s="196"/>
      <c r="YK18" s="196"/>
      <c r="YL18" s="196"/>
      <c r="YM18" s="196"/>
      <c r="YN18" s="196"/>
      <c r="YO18" s="200"/>
      <c r="YP18" s="195"/>
      <c r="YQ18" s="196"/>
      <c r="YR18" s="196"/>
      <c r="YS18" s="196"/>
      <c r="YT18" s="196"/>
      <c r="YU18" s="197"/>
      <c r="YV18" s="196"/>
      <c r="YW18" s="196"/>
      <c r="YX18" s="196"/>
      <c r="YY18" s="196"/>
      <c r="YZ18" s="196"/>
      <c r="ZA18" s="198"/>
      <c r="ZB18" s="196"/>
      <c r="ZC18" s="196"/>
      <c r="ZD18" s="196"/>
      <c r="ZE18" s="196"/>
      <c r="ZF18" s="196"/>
      <c r="ZG18" s="199"/>
      <c r="ZH18" s="196"/>
      <c r="ZI18" s="196"/>
      <c r="ZJ18" s="196"/>
      <c r="ZK18" s="196"/>
      <c r="ZL18" s="196"/>
      <c r="ZM18" s="198"/>
      <c r="ZN18" s="196"/>
      <c r="ZO18" s="196"/>
      <c r="ZP18" s="196"/>
      <c r="ZQ18" s="196"/>
      <c r="ZR18" s="196"/>
      <c r="ZS18" s="199"/>
      <c r="ZT18" s="196"/>
      <c r="ZU18" s="196"/>
      <c r="ZV18" s="196"/>
      <c r="ZW18" s="196"/>
      <c r="ZX18" s="196"/>
      <c r="ZY18" s="198"/>
      <c r="ZZ18" s="196"/>
      <c r="AAA18" s="196"/>
      <c r="AAB18" s="196"/>
      <c r="AAC18" s="196"/>
      <c r="AAD18" s="196"/>
      <c r="AAE18" s="199"/>
      <c r="AAF18" s="196"/>
      <c r="AAG18" s="196"/>
      <c r="AAH18" s="196"/>
      <c r="AAI18" s="196"/>
      <c r="AAJ18" s="196"/>
      <c r="AAK18" s="198"/>
      <c r="AAL18" s="196"/>
      <c r="AAM18" s="196"/>
      <c r="AAN18" s="196"/>
      <c r="AAO18" s="196"/>
      <c r="AAP18" s="196"/>
      <c r="AAQ18" s="199"/>
      <c r="AAR18" s="196"/>
      <c r="AAS18" s="196"/>
      <c r="AAT18" s="196"/>
      <c r="AAU18" s="196"/>
      <c r="AAV18" s="196"/>
      <c r="AAW18" s="200"/>
      <c r="AAX18" s="195"/>
      <c r="AAY18" s="196"/>
      <c r="AAZ18" s="196"/>
      <c r="ABA18" s="196"/>
      <c r="ABB18" s="196"/>
      <c r="ABC18" s="197"/>
      <c r="ABD18" s="196"/>
      <c r="ABE18" s="196"/>
      <c r="ABF18" s="196"/>
      <c r="ABG18" s="196"/>
      <c r="ABH18" s="196"/>
      <c r="ABI18" s="198"/>
      <c r="ABJ18" s="196"/>
      <c r="ABK18" s="196"/>
      <c r="ABL18" s="196"/>
      <c r="ABM18" s="196"/>
      <c r="ABN18" s="196"/>
      <c r="ABO18" s="199"/>
      <c r="ABP18" s="196"/>
      <c r="ABQ18" s="196"/>
      <c r="ABR18" s="196"/>
      <c r="ABS18" s="196"/>
      <c r="ABT18" s="196"/>
      <c r="ABU18" s="198"/>
      <c r="ABV18" s="196"/>
      <c r="ABW18" s="196"/>
      <c r="ABX18" s="196"/>
      <c r="ABY18" s="196"/>
      <c r="ABZ18" s="196"/>
      <c r="ACA18" s="199"/>
      <c r="ACB18" s="196"/>
      <c r="ACC18" s="196"/>
      <c r="ACD18" s="196"/>
      <c r="ACE18" s="196"/>
      <c r="ACF18" s="196"/>
      <c r="ACG18" s="198"/>
      <c r="ACH18" s="196"/>
      <c r="ACI18" s="196"/>
      <c r="ACJ18" s="196"/>
      <c r="ACK18" s="196"/>
      <c r="ACL18" s="196"/>
      <c r="ACM18" s="199"/>
      <c r="ACN18" s="196"/>
      <c r="ACO18" s="196"/>
      <c r="ACP18" s="196"/>
      <c r="ACQ18" s="196"/>
      <c r="ACR18" s="196"/>
      <c r="ACS18" s="198"/>
      <c r="ACT18" s="196"/>
      <c r="ACU18" s="196"/>
      <c r="ACV18" s="196"/>
      <c r="ACW18" s="196"/>
      <c r="ACX18" s="196"/>
      <c r="ACY18" s="199"/>
      <c r="ACZ18" s="196"/>
      <c r="ADA18" s="196"/>
      <c r="ADB18" s="196"/>
      <c r="ADC18" s="196"/>
      <c r="ADD18" s="196"/>
      <c r="ADE18" s="200"/>
      <c r="ADF18" s="195"/>
      <c r="ADG18" s="196"/>
      <c r="ADH18" s="196"/>
      <c r="ADI18" s="196"/>
      <c r="ADJ18" s="196"/>
      <c r="ADK18" s="197"/>
      <c r="ADL18" s="196"/>
      <c r="ADM18" s="196"/>
      <c r="ADN18" s="196"/>
      <c r="ADO18" s="196"/>
      <c r="ADP18" s="196"/>
      <c r="ADQ18" s="198"/>
      <c r="ADR18" s="196"/>
      <c r="ADS18" s="196"/>
      <c r="ADT18" s="196"/>
      <c r="ADU18" s="196"/>
      <c r="ADV18" s="196"/>
      <c r="ADW18" s="199"/>
      <c r="ADX18" s="196"/>
      <c r="ADY18" s="196"/>
      <c r="ADZ18" s="196"/>
      <c r="AEA18" s="196"/>
      <c r="AEB18" s="196"/>
      <c r="AEC18" s="198"/>
      <c r="AED18" s="196"/>
      <c r="AEE18" s="196"/>
      <c r="AEF18" s="196"/>
      <c r="AEG18" s="196"/>
      <c r="AEH18" s="196"/>
      <c r="AEI18" s="199"/>
      <c r="AEJ18" s="196"/>
      <c r="AEK18" s="196"/>
      <c r="AEL18" s="196"/>
      <c r="AEM18" s="196"/>
      <c r="AEN18" s="196"/>
      <c r="AEO18" s="198"/>
      <c r="AEP18" s="196"/>
      <c r="AEQ18" s="196"/>
      <c r="AER18" s="196"/>
      <c r="AES18" s="196"/>
      <c r="AET18" s="196"/>
      <c r="AEU18" s="199"/>
      <c r="AEV18" s="196"/>
      <c r="AEW18" s="196"/>
      <c r="AEX18" s="196"/>
      <c r="AEY18" s="196"/>
      <c r="AEZ18" s="196"/>
      <c r="AFA18" s="198"/>
      <c r="AFB18" s="196"/>
      <c r="AFC18" s="196"/>
      <c r="AFD18" s="196"/>
      <c r="AFE18" s="196"/>
      <c r="AFF18" s="196"/>
      <c r="AFG18" s="199"/>
      <c r="AFH18" s="196"/>
      <c r="AFI18" s="196"/>
      <c r="AFJ18" s="196"/>
      <c r="AFK18" s="196"/>
      <c r="AFL18" s="196"/>
      <c r="AFM18" s="200"/>
      <c r="AFN18" s="195"/>
      <c r="AFO18" s="196"/>
      <c r="AFP18" s="196"/>
      <c r="AFQ18" s="196"/>
      <c r="AFR18" s="196"/>
      <c r="AFS18" s="197"/>
      <c r="AFT18" s="196"/>
      <c r="AFU18" s="196"/>
      <c r="AFV18" s="196"/>
      <c r="AFW18" s="196"/>
      <c r="AFX18" s="196"/>
      <c r="AFY18" s="198"/>
      <c r="AFZ18" s="196"/>
      <c r="AGA18" s="196"/>
      <c r="AGB18" s="196"/>
      <c r="AGC18" s="196"/>
      <c r="AGD18" s="196"/>
      <c r="AGE18" s="199"/>
      <c r="AGF18" s="196"/>
      <c r="AGG18" s="196"/>
      <c r="AGH18" s="196"/>
      <c r="AGI18" s="196"/>
      <c r="AGJ18" s="196"/>
      <c r="AGK18" s="198"/>
      <c r="AGL18" s="196"/>
      <c r="AGM18" s="196"/>
      <c r="AGN18" s="196"/>
      <c r="AGO18" s="196"/>
      <c r="AGP18" s="196"/>
      <c r="AGQ18" s="199"/>
      <c r="AGR18" s="196"/>
      <c r="AGS18" s="196"/>
      <c r="AGT18" s="196"/>
      <c r="AGU18" s="196"/>
      <c r="AGV18" s="196"/>
      <c r="AGW18" s="198"/>
      <c r="AGX18" s="196"/>
      <c r="AGY18" s="196"/>
      <c r="AGZ18" s="196"/>
      <c r="AHA18" s="196"/>
      <c r="AHB18" s="196"/>
      <c r="AHC18" s="199"/>
      <c r="AHD18" s="196"/>
      <c r="AHE18" s="196"/>
      <c r="AHF18" s="196"/>
      <c r="AHG18" s="196"/>
      <c r="AHH18" s="196"/>
      <c r="AHI18" s="198"/>
      <c r="AHJ18" s="196"/>
      <c r="AHK18" s="196"/>
      <c r="AHL18" s="196"/>
      <c r="AHM18" s="196"/>
      <c r="AHN18" s="196"/>
      <c r="AHO18" s="199"/>
      <c r="AHP18" s="196"/>
      <c r="AHQ18" s="196"/>
      <c r="AHR18" s="196"/>
      <c r="AHS18" s="196"/>
      <c r="AHT18" s="196"/>
      <c r="AHU18" s="200"/>
      <c r="AHV18" s="195"/>
      <c r="AHW18" s="196"/>
      <c r="AHX18" s="196"/>
      <c r="AHY18" s="196"/>
      <c r="AHZ18" s="196"/>
      <c r="AIA18" s="197"/>
      <c r="AIB18" s="196"/>
      <c r="AIC18" s="196"/>
      <c r="AID18" s="196"/>
      <c r="AIE18" s="196"/>
      <c r="AIF18" s="196"/>
      <c r="AIG18" s="198"/>
      <c r="AIH18" s="196"/>
      <c r="AII18" s="196"/>
      <c r="AIJ18" s="196"/>
      <c r="AIK18" s="196"/>
      <c r="AIL18" s="196"/>
      <c r="AIM18" s="199"/>
      <c r="AIN18" s="196"/>
      <c r="AIO18" s="196"/>
      <c r="AIP18" s="196"/>
      <c r="AIQ18" s="196"/>
      <c r="AIR18" s="196"/>
      <c r="AIS18" s="198"/>
      <c r="AIT18" s="196"/>
      <c r="AIU18" s="196"/>
      <c r="AIV18" s="196"/>
      <c r="AIW18" s="196"/>
      <c r="AIX18" s="196"/>
      <c r="AIY18" s="199"/>
      <c r="AIZ18" s="196"/>
      <c r="AJA18" s="196"/>
      <c r="AJB18" s="196"/>
      <c r="AJC18" s="196"/>
      <c r="AJD18" s="196"/>
      <c r="AJE18" s="198"/>
      <c r="AJF18" s="196"/>
      <c r="AJG18" s="196"/>
      <c r="AJH18" s="196"/>
      <c r="AJI18" s="196"/>
      <c r="AJJ18" s="196"/>
      <c r="AJK18" s="199"/>
      <c r="AJL18" s="196"/>
      <c r="AJM18" s="196"/>
      <c r="AJN18" s="196"/>
      <c r="AJO18" s="196"/>
      <c r="AJP18" s="196"/>
      <c r="AJQ18" s="198"/>
      <c r="AJR18" s="196"/>
      <c r="AJS18" s="196"/>
      <c r="AJT18" s="196"/>
      <c r="AJU18" s="196"/>
      <c r="AJV18" s="196"/>
      <c r="AJW18" s="199"/>
      <c r="AJX18" s="196"/>
      <c r="AJY18" s="196"/>
      <c r="AJZ18" s="196"/>
      <c r="AKA18" s="196"/>
      <c r="AKB18" s="196"/>
      <c r="AKC18" s="200"/>
      <c r="AKD18" s="195"/>
      <c r="AKE18" s="196"/>
      <c r="AKF18" s="196"/>
      <c r="AKG18" s="196"/>
      <c r="AKH18" s="196"/>
      <c r="AKI18" s="197"/>
      <c r="AKJ18" s="196"/>
      <c r="AKK18" s="196"/>
      <c r="AKL18" s="196"/>
      <c r="AKM18" s="196"/>
      <c r="AKN18" s="196"/>
      <c r="AKO18" s="198"/>
      <c r="AKP18" s="196"/>
      <c r="AKQ18" s="196"/>
      <c r="AKR18" s="196"/>
      <c r="AKS18" s="196"/>
      <c r="AKT18" s="196"/>
      <c r="AKU18" s="199"/>
      <c r="AKV18" s="196"/>
      <c r="AKW18" s="196"/>
      <c r="AKX18" s="196"/>
      <c r="AKY18" s="196"/>
      <c r="AKZ18" s="196"/>
      <c r="ALA18" s="198"/>
      <c r="ALB18" s="196"/>
      <c r="ALC18" s="196"/>
      <c r="ALD18" s="196"/>
      <c r="ALE18" s="196"/>
      <c r="ALF18" s="196"/>
      <c r="ALG18" s="199"/>
      <c r="ALH18" s="196"/>
      <c r="ALI18" s="196"/>
      <c r="ALJ18" s="196"/>
      <c r="ALK18" s="196"/>
      <c r="ALL18" s="196"/>
      <c r="ALM18" s="198"/>
      <c r="ALN18" s="196"/>
      <c r="ALO18" s="196"/>
      <c r="ALP18" s="196"/>
      <c r="ALQ18" s="196"/>
      <c r="ALR18" s="196"/>
      <c r="ALS18" s="199"/>
      <c r="ALT18" s="196"/>
      <c r="ALU18" s="196"/>
      <c r="ALV18" s="196"/>
      <c r="ALW18" s="196"/>
      <c r="ALX18" s="196"/>
      <c r="ALY18" s="198"/>
      <c r="ALZ18" s="196"/>
      <c r="AMA18" s="196"/>
      <c r="AMB18" s="196"/>
      <c r="AMC18" s="196"/>
      <c r="AMD18" s="196"/>
      <c r="AME18" s="199"/>
      <c r="AMF18" s="196"/>
      <c r="AMG18" s="196"/>
      <c r="AMH18" s="196"/>
      <c r="AMI18" s="196"/>
      <c r="AMJ18" s="196"/>
      <c r="AMK18" s="200"/>
      <c r="AML18" s="195"/>
      <c r="AMM18" s="196"/>
      <c r="AMN18" s="196"/>
      <c r="AMO18" s="196"/>
      <c r="AMP18" s="196"/>
      <c r="AMQ18" s="197"/>
      <c r="AMR18" s="196"/>
      <c r="AMS18" s="196"/>
      <c r="AMT18" s="196"/>
      <c r="AMU18" s="196"/>
      <c r="AMV18" s="196"/>
      <c r="AMW18" s="198"/>
      <c r="AMX18" s="196"/>
      <c r="AMY18" s="196"/>
      <c r="AMZ18" s="196"/>
      <c r="ANA18" s="196"/>
      <c r="ANB18" s="196"/>
      <c r="ANC18" s="199"/>
      <c r="AND18" s="196"/>
      <c r="ANE18" s="196"/>
      <c r="ANF18" s="196"/>
      <c r="ANG18" s="196"/>
      <c r="ANH18" s="196"/>
      <c r="ANI18" s="198"/>
      <c r="ANJ18" s="196"/>
      <c r="ANK18" s="196"/>
      <c r="ANL18" s="196"/>
      <c r="ANM18" s="196"/>
      <c r="ANN18" s="196"/>
      <c r="ANO18" s="199"/>
      <c r="ANP18" s="196"/>
      <c r="ANQ18" s="196"/>
      <c r="ANR18" s="196"/>
      <c r="ANS18" s="196"/>
      <c r="ANT18" s="196"/>
      <c r="ANU18" s="198"/>
      <c r="ANV18" s="196"/>
      <c r="ANW18" s="196"/>
      <c r="ANX18" s="196"/>
      <c r="ANY18" s="196"/>
      <c r="ANZ18" s="196"/>
      <c r="AOA18" s="199"/>
      <c r="AOB18" s="196"/>
      <c r="AOC18" s="196"/>
      <c r="AOD18" s="196"/>
      <c r="AOE18" s="196"/>
      <c r="AOF18" s="196"/>
      <c r="AOG18" s="198"/>
      <c r="AOH18" s="196"/>
      <c r="AOI18" s="196"/>
      <c r="AOJ18" s="196"/>
      <c r="AOK18" s="196"/>
      <c r="AOL18" s="196"/>
      <c r="AOM18" s="199"/>
      <c r="AON18" s="196"/>
      <c r="AOO18" s="196"/>
      <c r="AOP18" s="196"/>
      <c r="AOQ18" s="196"/>
      <c r="AOR18" s="196"/>
      <c r="AOS18" s="200"/>
      <c r="AOT18" s="195"/>
      <c r="AOU18" s="196"/>
      <c r="AOV18" s="196"/>
      <c r="AOW18" s="196"/>
      <c r="AOX18" s="196"/>
      <c r="AOY18" s="197"/>
      <c r="AOZ18" s="196"/>
      <c r="APA18" s="196"/>
      <c r="APB18" s="196"/>
      <c r="APC18" s="196"/>
      <c r="APD18" s="196"/>
      <c r="APE18" s="198"/>
      <c r="APF18" s="196"/>
      <c r="APG18" s="196"/>
      <c r="APH18" s="196"/>
      <c r="API18" s="196"/>
      <c r="APJ18" s="196"/>
      <c r="APK18" s="199"/>
      <c r="APL18" s="196"/>
      <c r="APM18" s="196"/>
      <c r="APN18" s="196"/>
      <c r="APO18" s="196"/>
      <c r="APP18" s="196"/>
      <c r="APQ18" s="198"/>
      <c r="APR18" s="196"/>
      <c r="APS18" s="196"/>
      <c r="APT18" s="196"/>
      <c r="APU18" s="196"/>
      <c r="APV18" s="196"/>
      <c r="APW18" s="199"/>
      <c r="APX18" s="196"/>
      <c r="APY18" s="196"/>
      <c r="APZ18" s="196"/>
      <c r="AQA18" s="196"/>
      <c r="AQB18" s="196"/>
      <c r="AQC18" s="198"/>
      <c r="AQD18" s="196"/>
      <c r="AQE18" s="196"/>
      <c r="AQF18" s="196"/>
      <c r="AQG18" s="196"/>
      <c r="AQH18" s="196"/>
      <c r="AQI18" s="199"/>
      <c r="AQJ18" s="196"/>
      <c r="AQK18" s="196"/>
      <c r="AQL18" s="196"/>
      <c r="AQM18" s="196"/>
      <c r="AQN18" s="196"/>
      <c r="AQO18" s="198"/>
      <c r="AQP18" s="196"/>
      <c r="AQQ18" s="196"/>
      <c r="AQR18" s="196"/>
      <c r="AQS18" s="196"/>
      <c r="AQT18" s="196"/>
      <c r="AQU18" s="199"/>
      <c r="AQV18" s="196"/>
      <c r="AQW18" s="196"/>
      <c r="AQX18" s="196"/>
      <c r="AQY18" s="196"/>
      <c r="AQZ18" s="196"/>
      <c r="ARA18" s="200"/>
      <c r="ARB18" s="195"/>
      <c r="ARC18" s="196"/>
      <c r="ARD18" s="196"/>
      <c r="ARE18" s="196"/>
      <c r="ARF18" s="196"/>
      <c r="ARG18" s="197"/>
      <c r="ARH18" s="196"/>
      <c r="ARI18" s="196"/>
      <c r="ARJ18" s="196"/>
      <c r="ARK18" s="196"/>
      <c r="ARL18" s="196"/>
      <c r="ARM18" s="198"/>
      <c r="ARN18" s="196"/>
      <c r="ARO18" s="196"/>
      <c r="ARP18" s="196"/>
      <c r="ARQ18" s="196"/>
      <c r="ARR18" s="196"/>
      <c r="ARS18" s="199"/>
      <c r="ART18" s="196"/>
      <c r="ARU18" s="196"/>
      <c r="ARV18" s="196"/>
      <c r="ARW18" s="196"/>
      <c r="ARX18" s="196"/>
      <c r="ARY18" s="198"/>
      <c r="ARZ18" s="196"/>
      <c r="ASA18" s="196"/>
      <c r="ASB18" s="196"/>
      <c r="ASC18" s="196"/>
      <c r="ASD18" s="196"/>
      <c r="ASE18" s="199"/>
      <c r="ASF18" s="196"/>
      <c r="ASG18" s="196"/>
      <c r="ASH18" s="196"/>
      <c r="ASI18" s="196"/>
      <c r="ASJ18" s="196"/>
      <c r="ASK18" s="198"/>
      <c r="ASL18" s="196"/>
      <c r="ASM18" s="196"/>
      <c r="ASN18" s="196"/>
      <c r="ASO18" s="196"/>
      <c r="ASP18" s="196"/>
      <c r="ASQ18" s="199"/>
      <c r="ASR18" s="196"/>
      <c r="ASS18" s="196"/>
      <c r="AST18" s="196"/>
      <c r="ASU18" s="196"/>
      <c r="ASV18" s="196"/>
      <c r="ASW18" s="198"/>
      <c r="ASX18" s="196"/>
      <c r="ASY18" s="196"/>
      <c r="ASZ18" s="196"/>
      <c r="ATA18" s="196"/>
      <c r="ATB18" s="196"/>
      <c r="ATC18" s="199"/>
      <c r="ATD18" s="196"/>
      <c r="ATE18" s="196"/>
      <c r="ATF18" s="196"/>
      <c r="ATG18" s="196"/>
      <c r="ATH18" s="196"/>
      <c r="ATI18" s="200"/>
      <c r="ATJ18" s="195"/>
      <c r="ATK18" s="196"/>
      <c r="ATL18" s="196"/>
      <c r="ATM18" s="196"/>
      <c r="ATN18" s="196"/>
      <c r="ATO18" s="197"/>
      <c r="ATP18" s="196"/>
      <c r="ATQ18" s="196"/>
      <c r="ATR18" s="196"/>
      <c r="ATS18" s="196"/>
      <c r="ATT18" s="196"/>
      <c r="ATU18" s="198"/>
      <c r="ATV18" s="196"/>
      <c r="ATW18" s="196"/>
      <c r="ATX18" s="196"/>
      <c r="ATY18" s="196"/>
      <c r="ATZ18" s="196"/>
      <c r="AUA18" s="199"/>
      <c r="AUB18" s="196"/>
      <c r="AUC18" s="196"/>
      <c r="AUD18" s="196"/>
      <c r="AUE18" s="196"/>
      <c r="AUF18" s="196"/>
      <c r="AUG18" s="198"/>
      <c r="AUH18" s="196"/>
      <c r="AUI18" s="196"/>
      <c r="AUJ18" s="196"/>
      <c r="AUK18" s="196"/>
      <c r="AUL18" s="196"/>
      <c r="AUM18" s="199"/>
      <c r="AUN18" s="196"/>
      <c r="AUO18" s="196"/>
      <c r="AUP18" s="196"/>
      <c r="AUQ18" s="196"/>
      <c r="AUR18" s="196"/>
      <c r="AUS18" s="198"/>
      <c r="AUT18" s="196"/>
      <c r="AUU18" s="196"/>
      <c r="AUV18" s="196"/>
      <c r="AUW18" s="196"/>
      <c r="AUX18" s="196"/>
      <c r="AUY18" s="199"/>
      <c r="AUZ18" s="196"/>
      <c r="AVA18" s="196"/>
      <c r="AVB18" s="196"/>
      <c r="AVC18" s="196"/>
      <c r="AVD18" s="196"/>
      <c r="AVE18" s="198"/>
      <c r="AVF18" s="196"/>
      <c r="AVG18" s="196"/>
      <c r="AVH18" s="196"/>
      <c r="AVI18" s="196"/>
      <c r="AVJ18" s="196"/>
      <c r="AVK18" s="199"/>
      <c r="AVL18" s="196"/>
      <c r="AVM18" s="196"/>
      <c r="AVN18" s="196"/>
      <c r="AVO18" s="196"/>
      <c r="AVP18" s="196"/>
      <c r="AVQ18" s="200"/>
      <c r="AVR18" s="195"/>
      <c r="AVS18" s="196"/>
      <c r="AVT18" s="196"/>
      <c r="AVU18" s="196"/>
      <c r="AVV18" s="196"/>
      <c r="AVW18" s="197"/>
      <c r="AVX18" s="196"/>
      <c r="AVY18" s="196"/>
      <c r="AVZ18" s="196"/>
      <c r="AWA18" s="196"/>
      <c r="AWB18" s="196"/>
      <c r="AWC18" s="198"/>
      <c r="AWD18" s="196"/>
      <c r="AWE18" s="196"/>
      <c r="AWF18" s="196"/>
      <c r="AWG18" s="196"/>
      <c r="AWH18" s="196"/>
      <c r="AWI18" s="199"/>
      <c r="AWJ18" s="196"/>
      <c r="AWK18" s="196"/>
      <c r="AWL18" s="196"/>
      <c r="AWM18" s="196"/>
      <c r="AWN18" s="196"/>
      <c r="AWO18" s="198"/>
      <c r="AWP18" s="196"/>
      <c r="AWQ18" s="196"/>
      <c r="AWR18" s="196"/>
      <c r="AWS18" s="196"/>
      <c r="AWT18" s="196"/>
      <c r="AWU18" s="199"/>
      <c r="AWV18" s="196"/>
      <c r="AWW18" s="196"/>
      <c r="AWX18" s="196"/>
      <c r="AWY18" s="196"/>
      <c r="AWZ18" s="196"/>
      <c r="AXA18" s="198"/>
      <c r="AXB18" s="196"/>
      <c r="AXC18" s="196"/>
      <c r="AXD18" s="196"/>
      <c r="AXE18" s="196"/>
      <c r="AXF18" s="196"/>
      <c r="AXG18" s="199"/>
      <c r="AXH18" s="196"/>
      <c r="AXI18" s="196"/>
      <c r="AXJ18" s="196"/>
      <c r="AXK18" s="196"/>
      <c r="AXL18" s="196"/>
      <c r="AXM18" s="198"/>
      <c r="AXN18" s="196"/>
      <c r="AXO18" s="196"/>
      <c r="AXP18" s="196"/>
      <c r="AXQ18" s="196"/>
      <c r="AXR18" s="196"/>
      <c r="AXS18" s="199"/>
      <c r="AXT18" s="196"/>
      <c r="AXU18" s="196"/>
      <c r="AXV18" s="196"/>
      <c r="AXW18" s="196"/>
      <c r="AXX18" s="196"/>
      <c r="AXY18" s="200"/>
      <c r="AXZ18" s="195"/>
      <c r="AYA18" s="196"/>
      <c r="AYB18" s="196"/>
      <c r="AYC18" s="196"/>
      <c r="AYD18" s="196"/>
      <c r="AYE18" s="197"/>
      <c r="AYF18" s="196"/>
      <c r="AYG18" s="196"/>
      <c r="AYH18" s="196"/>
      <c r="AYI18" s="196"/>
      <c r="AYJ18" s="196"/>
      <c r="AYK18" s="198"/>
      <c r="AYL18" s="196"/>
      <c r="AYM18" s="196"/>
      <c r="AYN18" s="196"/>
      <c r="AYO18" s="196"/>
      <c r="AYP18" s="196"/>
      <c r="AYQ18" s="199"/>
      <c r="AYR18" s="196"/>
      <c r="AYS18" s="196"/>
      <c r="AYT18" s="196"/>
      <c r="AYU18" s="196"/>
      <c r="AYV18" s="196"/>
      <c r="AYW18" s="198"/>
      <c r="AYX18" s="196"/>
      <c r="AYY18" s="196"/>
      <c r="AYZ18" s="196"/>
      <c r="AZA18" s="196"/>
      <c r="AZB18" s="196"/>
      <c r="AZC18" s="199"/>
      <c r="AZD18" s="196"/>
      <c r="AZE18" s="196"/>
      <c r="AZF18" s="196"/>
      <c r="AZG18" s="196"/>
      <c r="AZH18" s="196"/>
      <c r="AZI18" s="198"/>
      <c r="AZJ18" s="196"/>
      <c r="AZK18" s="196"/>
      <c r="AZL18" s="196"/>
      <c r="AZM18" s="196"/>
      <c r="AZN18" s="196"/>
      <c r="AZO18" s="199"/>
      <c r="AZP18" s="196"/>
      <c r="AZQ18" s="196"/>
      <c r="AZR18" s="196"/>
      <c r="AZS18" s="196"/>
      <c r="AZT18" s="196"/>
      <c r="AZU18" s="198"/>
      <c r="AZV18" s="196"/>
      <c r="AZW18" s="196"/>
      <c r="AZX18" s="196"/>
      <c r="AZY18" s="196"/>
      <c r="AZZ18" s="196"/>
      <c r="BAA18" s="199"/>
      <c r="BAB18" s="196"/>
      <c r="BAC18" s="196"/>
      <c r="BAD18" s="196"/>
      <c r="BAE18" s="196"/>
      <c r="BAF18" s="196"/>
      <c r="BAG18" s="200"/>
      <c r="BAH18" s="195"/>
      <c r="BAI18" s="196"/>
      <c r="BAJ18" s="196"/>
      <c r="BAK18" s="196"/>
      <c r="BAL18" s="196"/>
      <c r="BAM18" s="197"/>
      <c r="BAN18" s="196"/>
      <c r="BAO18" s="196"/>
      <c r="BAP18" s="196"/>
      <c r="BAQ18" s="196"/>
      <c r="BAR18" s="196"/>
      <c r="BAS18" s="198"/>
      <c r="BAT18" s="196"/>
      <c r="BAU18" s="196"/>
      <c r="BAV18" s="196"/>
      <c r="BAW18" s="196"/>
      <c r="BAX18" s="196"/>
      <c r="BAY18" s="199"/>
      <c r="BAZ18" s="196"/>
      <c r="BBA18" s="196"/>
      <c r="BBB18" s="196"/>
      <c r="BBC18" s="196"/>
      <c r="BBD18" s="196"/>
      <c r="BBE18" s="198"/>
      <c r="BBF18" s="196"/>
      <c r="BBG18" s="196"/>
      <c r="BBH18" s="196"/>
      <c r="BBI18" s="196"/>
      <c r="BBJ18" s="196"/>
      <c r="BBK18" s="199"/>
      <c r="BBL18" s="196"/>
      <c r="BBM18" s="196"/>
      <c r="BBN18" s="196"/>
      <c r="BBO18" s="196"/>
      <c r="BBP18" s="196"/>
      <c r="BBQ18" s="198"/>
      <c r="BBR18" s="196"/>
      <c r="BBS18" s="196"/>
      <c r="BBT18" s="196"/>
      <c r="BBU18" s="196"/>
      <c r="BBV18" s="196"/>
      <c r="BBW18" s="199"/>
      <c r="BBX18" s="196"/>
      <c r="BBY18" s="196"/>
      <c r="BBZ18" s="196"/>
      <c r="BCA18" s="196"/>
      <c r="BCB18" s="196"/>
      <c r="BCC18" s="198"/>
      <c r="BCD18" s="196"/>
      <c r="BCE18" s="196"/>
      <c r="BCF18" s="196"/>
      <c r="BCG18" s="196"/>
      <c r="BCH18" s="196"/>
      <c r="BCI18" s="199"/>
      <c r="BCJ18" s="196"/>
      <c r="BCK18" s="196"/>
      <c r="BCL18" s="196"/>
      <c r="BCM18" s="196"/>
      <c r="BCN18" s="196"/>
      <c r="BCO18" s="200"/>
      <c r="BCP18" s="195"/>
      <c r="BCQ18" s="196"/>
      <c r="BCR18" s="196"/>
      <c r="BCS18" s="196"/>
      <c r="BCT18" s="196"/>
      <c r="BCU18" s="197"/>
      <c r="BCV18" s="196"/>
      <c r="BCW18" s="196"/>
      <c r="BCX18" s="196"/>
      <c r="BCY18" s="196"/>
      <c r="BCZ18" s="196"/>
      <c r="BDA18" s="198"/>
      <c r="BDB18" s="196"/>
      <c r="BDC18" s="196"/>
      <c r="BDD18" s="196"/>
      <c r="BDE18" s="196"/>
      <c r="BDF18" s="196"/>
      <c r="BDG18" s="199"/>
      <c r="BDH18" s="196"/>
      <c r="BDI18" s="196"/>
      <c r="BDJ18" s="196"/>
      <c r="BDK18" s="196"/>
      <c r="BDL18" s="196"/>
      <c r="BDM18" s="198"/>
      <c r="BDN18" s="196"/>
      <c r="BDO18" s="196"/>
      <c r="BDP18" s="196"/>
      <c r="BDQ18" s="196"/>
      <c r="BDR18" s="196"/>
      <c r="BDS18" s="199"/>
      <c r="BDT18" s="196"/>
      <c r="BDU18" s="196"/>
      <c r="BDV18" s="196"/>
      <c r="BDW18" s="196"/>
      <c r="BDX18" s="196"/>
      <c r="BDY18" s="198"/>
      <c r="BDZ18" s="196"/>
      <c r="BEA18" s="196"/>
      <c r="BEB18" s="196"/>
      <c r="BEC18" s="196"/>
      <c r="BED18" s="196"/>
      <c r="BEE18" s="199"/>
      <c r="BEF18" s="196"/>
      <c r="BEG18" s="196"/>
      <c r="BEH18" s="196"/>
      <c r="BEI18" s="196"/>
      <c r="BEJ18" s="196"/>
      <c r="BEK18" s="198"/>
      <c r="BEL18" s="196"/>
      <c r="BEM18" s="196"/>
      <c r="BEN18" s="196"/>
      <c r="BEO18" s="196"/>
      <c r="BEP18" s="196"/>
      <c r="BEQ18" s="199"/>
      <c r="BER18" s="196"/>
      <c r="BES18" s="196"/>
      <c r="BET18" s="196"/>
      <c r="BEU18" s="196"/>
      <c r="BEV18" s="196"/>
      <c r="BEW18" s="200"/>
      <c r="BEX18" s="195"/>
      <c r="BEY18" s="196"/>
      <c r="BEZ18" s="196"/>
      <c r="BFA18" s="196"/>
      <c r="BFB18" s="196"/>
      <c r="BFC18" s="197"/>
      <c r="BFD18" s="196"/>
      <c r="BFE18" s="196"/>
      <c r="BFF18" s="196"/>
      <c r="BFG18" s="196"/>
      <c r="BFH18" s="196"/>
      <c r="BFI18" s="198"/>
      <c r="BFJ18" s="196"/>
      <c r="BFK18" s="196"/>
      <c r="BFL18" s="196"/>
      <c r="BFM18" s="196"/>
      <c r="BFN18" s="196"/>
      <c r="BFO18" s="199"/>
      <c r="BFP18" s="196"/>
      <c r="BFQ18" s="196"/>
      <c r="BFR18" s="196"/>
      <c r="BFS18" s="196"/>
      <c r="BFT18" s="196"/>
      <c r="BFU18" s="198"/>
      <c r="BFV18" s="196"/>
      <c r="BFW18" s="196"/>
      <c r="BFX18" s="196"/>
      <c r="BFY18" s="196"/>
      <c r="BFZ18" s="196"/>
      <c r="BGA18" s="199"/>
      <c r="BGB18" s="196"/>
      <c r="BGC18" s="196"/>
      <c r="BGD18" s="196"/>
      <c r="BGE18" s="196"/>
      <c r="BGF18" s="196"/>
      <c r="BGG18" s="198"/>
      <c r="BGH18" s="196"/>
      <c r="BGI18" s="196"/>
      <c r="BGJ18" s="196"/>
      <c r="BGK18" s="196"/>
      <c r="BGL18" s="196"/>
      <c r="BGM18" s="199"/>
      <c r="BGN18" s="196"/>
      <c r="BGO18" s="196"/>
      <c r="BGP18" s="196"/>
      <c r="BGQ18" s="196"/>
      <c r="BGR18" s="196"/>
      <c r="BGS18" s="198"/>
      <c r="BGT18" s="196"/>
      <c r="BGU18" s="196"/>
      <c r="BGV18" s="196"/>
      <c r="BGW18" s="196"/>
      <c r="BGX18" s="196"/>
      <c r="BGY18" s="199"/>
      <c r="BGZ18" s="196"/>
      <c r="BHA18" s="196"/>
      <c r="BHB18" s="196"/>
      <c r="BHC18" s="196"/>
      <c r="BHD18" s="196"/>
      <c r="BHE18" s="200"/>
      <c r="BHF18" s="187"/>
      <c r="BHG18" s="188"/>
      <c r="BHH18" s="188"/>
      <c r="BHI18" s="188"/>
      <c r="BHJ18" s="188"/>
      <c r="BHK18" s="188"/>
      <c r="BHL18" s="188"/>
      <c r="BHM18" s="188"/>
      <c r="BHN18" s="188"/>
      <c r="BHO18" s="188"/>
      <c r="BHP18" s="188"/>
      <c r="BHQ18" s="188"/>
      <c r="BHR18" s="188"/>
      <c r="BHS18" s="188"/>
      <c r="BHT18" s="188"/>
      <c r="BHU18" s="188"/>
      <c r="BHV18" s="188"/>
      <c r="BHW18" s="188"/>
      <c r="BHX18" s="188"/>
      <c r="BHY18" s="188"/>
      <c r="BHZ18" s="188"/>
      <c r="BIA18" s="188"/>
      <c r="BIB18" s="188"/>
      <c r="BIC18" s="188"/>
      <c r="BID18" s="188"/>
      <c r="BIE18" s="188"/>
      <c r="BIF18" s="188"/>
      <c r="BIG18" s="188"/>
      <c r="BIH18" s="188"/>
      <c r="BII18" s="188"/>
      <c r="BIJ18" s="188"/>
      <c r="BIK18" s="188"/>
      <c r="BIL18" s="188"/>
      <c r="BIM18" s="188"/>
      <c r="BIN18" s="188"/>
      <c r="BIO18" s="188"/>
      <c r="BIP18" s="188"/>
    </row>
    <row r="19" spans="1:1602" ht="20.100000000000001" customHeight="1" x14ac:dyDescent="0.25">
      <c r="A19" s="78" t="s">
        <v>49</v>
      </c>
      <c r="B19" s="51" t="str">
        <f>IF(LEN(C23)=0,"",C23)</f>
        <v>Conception - login</v>
      </c>
      <c r="C19" s="230" t="s">
        <v>132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72"/>
      <c r="CH19" s="172"/>
      <c r="CI19" s="172"/>
      <c r="CJ19" s="172"/>
      <c r="CK19" s="174"/>
      <c r="CL19" s="172"/>
      <c r="CM19" s="172"/>
      <c r="CN19" s="172"/>
      <c r="CO19" s="172"/>
      <c r="CP19" s="172"/>
      <c r="CQ19" s="175"/>
      <c r="CR19" s="172"/>
      <c r="CS19" s="172"/>
      <c r="CT19" s="172"/>
      <c r="CU19" s="172"/>
      <c r="CV19" s="172"/>
      <c r="CW19" s="174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87"/>
      <c r="BHG19" s="188"/>
      <c r="BHH19" s="188"/>
      <c r="BHI19" s="188"/>
      <c r="BHJ19" s="188"/>
      <c r="BHK19" s="188"/>
      <c r="BHL19" s="188"/>
      <c r="BHM19" s="188"/>
      <c r="BHN19" s="188"/>
      <c r="BHO19" s="188"/>
      <c r="BHP19" s="188"/>
      <c r="BHQ19" s="188"/>
      <c r="BHR19" s="188"/>
      <c r="BHS19" s="188"/>
      <c r="BHT19" s="188"/>
      <c r="BHU19" s="188"/>
      <c r="BHV19" s="188"/>
      <c r="BHW19" s="188"/>
      <c r="BHX19" s="188"/>
      <c r="BHY19" s="188"/>
      <c r="BHZ19" s="188"/>
      <c r="BIA19" s="188"/>
      <c r="BIB19" s="188"/>
      <c r="BIC19" s="188"/>
      <c r="BID19" s="188"/>
      <c r="BIE19" s="188"/>
      <c r="BIF19" s="188"/>
      <c r="BIG19" s="188"/>
      <c r="BIH19" s="188"/>
      <c r="BII19" s="188"/>
      <c r="BIJ19" s="188"/>
      <c r="BIK19" s="188"/>
      <c r="BIL19" s="188"/>
      <c r="BIM19" s="188"/>
      <c r="BIN19" s="188"/>
      <c r="BIO19" s="188"/>
      <c r="BIP19" s="188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231"/>
      <c r="D20" s="120" t="str">
        <f t="shared" si="0"/>
        <v>5h 25 min</v>
      </c>
      <c r="E20" s="22">
        <v>65</v>
      </c>
      <c r="F20" s="189"/>
      <c r="G20" s="190"/>
      <c r="H20" s="190"/>
      <c r="I20" s="190"/>
      <c r="J20" s="190"/>
      <c r="K20" s="191"/>
      <c r="L20" s="190"/>
      <c r="M20" s="190"/>
      <c r="N20" s="190"/>
      <c r="O20" s="190"/>
      <c r="P20" s="190"/>
      <c r="Q20" s="192"/>
      <c r="R20" s="190"/>
      <c r="S20" s="190"/>
      <c r="T20" s="190"/>
      <c r="U20" s="190"/>
      <c r="V20" s="190"/>
      <c r="W20" s="199"/>
      <c r="X20" s="190"/>
      <c r="Y20" s="202"/>
      <c r="Z20" s="202"/>
      <c r="AA20" s="202"/>
      <c r="AB20" s="202"/>
      <c r="AC20" s="204"/>
      <c r="AD20" s="202"/>
      <c r="AE20" s="202"/>
      <c r="AF20" s="202"/>
      <c r="AG20" s="202"/>
      <c r="AH20" s="202"/>
      <c r="AI20" s="205"/>
      <c r="AJ20" s="202"/>
      <c r="AK20" s="202"/>
      <c r="AL20" s="202"/>
      <c r="AM20" s="202"/>
      <c r="AN20" s="202"/>
      <c r="AO20" s="204"/>
      <c r="AP20" s="202"/>
      <c r="AQ20" s="202"/>
      <c r="AR20" s="202"/>
      <c r="AS20" s="202"/>
      <c r="AT20" s="207"/>
      <c r="AU20" s="205"/>
      <c r="AV20" s="202"/>
      <c r="AW20" s="202"/>
      <c r="AX20" s="202"/>
      <c r="AY20" s="202"/>
      <c r="AZ20" s="202"/>
      <c r="BA20" s="192"/>
      <c r="BB20" s="190"/>
      <c r="BC20" s="190"/>
      <c r="BD20" s="190"/>
      <c r="BE20" s="190"/>
      <c r="BF20" s="190"/>
      <c r="BG20" s="199"/>
      <c r="BH20" s="190"/>
      <c r="BI20" s="190"/>
      <c r="BJ20" s="190"/>
      <c r="BK20" s="190"/>
      <c r="BL20" s="190"/>
      <c r="BM20" s="194"/>
      <c r="BN20" s="201"/>
      <c r="BO20" s="202"/>
      <c r="BP20" s="202"/>
      <c r="BQ20" s="202"/>
      <c r="BR20" s="202"/>
      <c r="BS20" s="203"/>
      <c r="BT20" s="202"/>
      <c r="BU20" s="202"/>
      <c r="BV20" s="202"/>
      <c r="BW20" s="202"/>
      <c r="BX20" s="202"/>
      <c r="BY20" s="204"/>
      <c r="BZ20" s="202"/>
      <c r="CA20" s="202"/>
      <c r="CB20" s="202"/>
      <c r="CC20" s="202"/>
      <c r="CD20" s="202"/>
      <c r="CE20" s="205"/>
      <c r="CF20" s="202"/>
      <c r="CG20" s="202"/>
      <c r="CH20" s="202"/>
      <c r="CI20" s="202"/>
      <c r="CJ20" s="202"/>
      <c r="CK20" s="204"/>
      <c r="CL20" s="202"/>
      <c r="CM20" s="202"/>
      <c r="CN20" s="202"/>
      <c r="CO20" s="202"/>
      <c r="CP20" s="202"/>
      <c r="CQ20" s="205"/>
      <c r="CR20" s="202"/>
      <c r="CS20" s="202"/>
      <c r="CT20" s="202"/>
      <c r="CU20" s="202"/>
      <c r="CV20" s="202"/>
      <c r="CW20" s="204"/>
      <c r="CX20" s="202"/>
      <c r="CY20" s="190"/>
      <c r="CZ20" s="190"/>
      <c r="DA20" s="190"/>
      <c r="DB20" s="196"/>
      <c r="DC20" s="199"/>
      <c r="DD20" s="190"/>
      <c r="DE20" s="190"/>
      <c r="DF20" s="190"/>
      <c r="DG20" s="190"/>
      <c r="DH20" s="190"/>
      <c r="DI20" s="192"/>
      <c r="DJ20" s="190"/>
      <c r="DK20" s="190"/>
      <c r="DL20" s="190"/>
      <c r="DM20" s="190"/>
      <c r="DN20" s="190"/>
      <c r="DO20" s="199"/>
      <c r="DP20" s="190"/>
      <c r="DQ20" s="190"/>
      <c r="DR20" s="190"/>
      <c r="DS20" s="190"/>
      <c r="DT20" s="190"/>
      <c r="DU20" s="194"/>
      <c r="DV20" s="189"/>
      <c r="DW20" s="190"/>
      <c r="DX20" s="190"/>
      <c r="DY20" s="190"/>
      <c r="DZ20" s="190"/>
      <c r="EA20" s="191"/>
      <c r="EB20" s="190"/>
      <c r="EC20" s="190"/>
      <c r="ED20" s="190"/>
      <c r="EE20" s="190"/>
      <c r="EF20" s="190"/>
      <c r="EG20" s="192"/>
      <c r="EH20" s="190"/>
      <c r="EI20" s="190"/>
      <c r="EJ20" s="190"/>
      <c r="EK20" s="190"/>
      <c r="EL20" s="190"/>
      <c r="EM20" s="199"/>
      <c r="EN20" s="190"/>
      <c r="EO20" s="190"/>
      <c r="EP20" s="190"/>
      <c r="EQ20" s="190"/>
      <c r="ER20" s="190"/>
      <c r="ES20" s="192"/>
      <c r="ET20" s="190"/>
      <c r="EU20" s="190"/>
      <c r="EV20" s="190"/>
      <c r="EW20" s="190"/>
      <c r="EX20" s="190"/>
      <c r="EY20" s="199"/>
      <c r="EZ20" s="190"/>
      <c r="FA20" s="190"/>
      <c r="FB20" s="190"/>
      <c r="FC20" s="190"/>
      <c r="FD20" s="190"/>
      <c r="FE20" s="192"/>
      <c r="FF20" s="190"/>
      <c r="FG20" s="190"/>
      <c r="FH20" s="190"/>
      <c r="FI20" s="190"/>
      <c r="FJ20" s="196"/>
      <c r="FK20" s="199"/>
      <c r="FL20" s="190"/>
      <c r="FM20" s="190"/>
      <c r="FN20" s="190"/>
      <c r="FO20" s="190"/>
      <c r="FP20" s="190"/>
      <c r="FQ20" s="192"/>
      <c r="FR20" s="190"/>
      <c r="FS20" s="190"/>
      <c r="FT20" s="190"/>
      <c r="FU20" s="190"/>
      <c r="FV20" s="190"/>
      <c r="FW20" s="199"/>
      <c r="FX20" s="190"/>
      <c r="FY20" s="190"/>
      <c r="FZ20" s="190"/>
      <c r="GA20" s="190"/>
      <c r="GB20" s="190"/>
      <c r="GC20" s="194"/>
      <c r="GD20" s="189"/>
      <c r="GE20" s="190"/>
      <c r="GF20" s="190"/>
      <c r="GG20" s="190"/>
      <c r="GH20" s="190"/>
      <c r="GI20" s="191"/>
      <c r="GJ20" s="190"/>
      <c r="GK20" s="190"/>
      <c r="GL20" s="190"/>
      <c r="GM20" s="190"/>
      <c r="GN20" s="190"/>
      <c r="GO20" s="192"/>
      <c r="GP20" s="190"/>
      <c r="GQ20" s="190"/>
      <c r="GR20" s="190"/>
      <c r="GS20" s="190"/>
      <c r="GT20" s="190"/>
      <c r="GU20" s="199"/>
      <c r="GV20" s="190"/>
      <c r="GW20" s="190"/>
      <c r="GX20" s="190"/>
      <c r="GY20" s="190"/>
      <c r="GZ20" s="190"/>
      <c r="HA20" s="192"/>
      <c r="HB20" s="190"/>
      <c r="HC20" s="190"/>
      <c r="HD20" s="190"/>
      <c r="HE20" s="190"/>
      <c r="HF20" s="190"/>
      <c r="HG20" s="199"/>
      <c r="HH20" s="190"/>
      <c r="HI20" s="190"/>
      <c r="HJ20" s="190"/>
      <c r="HK20" s="190"/>
      <c r="HL20" s="190"/>
      <c r="HM20" s="192"/>
      <c r="HN20" s="190"/>
      <c r="HO20" s="190"/>
      <c r="HP20" s="190"/>
      <c r="HQ20" s="190"/>
      <c r="HR20" s="196"/>
      <c r="HS20" s="199"/>
      <c r="HT20" s="190"/>
      <c r="HU20" s="190"/>
      <c r="HV20" s="190"/>
      <c r="HW20" s="190"/>
      <c r="HX20" s="190"/>
      <c r="HY20" s="192"/>
      <c r="HZ20" s="190"/>
      <c r="IA20" s="190"/>
      <c r="IB20" s="190"/>
      <c r="IC20" s="190"/>
      <c r="ID20" s="190"/>
      <c r="IE20" s="199"/>
      <c r="IF20" s="190"/>
      <c r="IG20" s="190"/>
      <c r="IH20" s="190"/>
      <c r="II20" s="190"/>
      <c r="IJ20" s="190"/>
      <c r="IK20" s="194"/>
      <c r="IL20" s="189"/>
      <c r="IM20" s="190"/>
      <c r="IN20" s="190"/>
      <c r="IO20" s="190"/>
      <c r="IP20" s="190"/>
      <c r="IQ20" s="191"/>
      <c r="IR20" s="190"/>
      <c r="IS20" s="190"/>
      <c r="IT20" s="190"/>
      <c r="IU20" s="190"/>
      <c r="IV20" s="190"/>
      <c r="IW20" s="192"/>
      <c r="IX20" s="190"/>
      <c r="IY20" s="190"/>
      <c r="IZ20" s="190"/>
      <c r="JA20" s="190"/>
      <c r="JB20" s="190"/>
      <c r="JC20" s="199"/>
      <c r="JD20" s="190"/>
      <c r="JE20" s="190"/>
      <c r="JF20" s="190"/>
      <c r="JG20" s="190"/>
      <c r="JH20" s="190"/>
      <c r="JI20" s="192"/>
      <c r="JJ20" s="190"/>
      <c r="JK20" s="190"/>
      <c r="JL20" s="190"/>
      <c r="JM20" s="190"/>
      <c r="JN20" s="190"/>
      <c r="JO20" s="199"/>
      <c r="JP20" s="190"/>
      <c r="JQ20" s="190"/>
      <c r="JR20" s="190"/>
      <c r="JS20" s="190"/>
      <c r="JT20" s="190"/>
      <c r="JU20" s="192"/>
      <c r="JV20" s="190"/>
      <c r="JW20" s="190"/>
      <c r="JX20" s="190"/>
      <c r="JY20" s="190"/>
      <c r="JZ20" s="196"/>
      <c r="KA20" s="199"/>
      <c r="KB20" s="190"/>
      <c r="KC20" s="190"/>
      <c r="KD20" s="190"/>
      <c r="KE20" s="190"/>
      <c r="KF20" s="190"/>
      <c r="KG20" s="192"/>
      <c r="KH20" s="190"/>
      <c r="KI20" s="190"/>
      <c r="KJ20" s="190"/>
      <c r="KK20" s="190"/>
      <c r="KL20" s="190"/>
      <c r="KM20" s="199"/>
      <c r="KN20" s="190"/>
      <c r="KO20" s="190"/>
      <c r="KP20" s="190"/>
      <c r="KQ20" s="190"/>
      <c r="KR20" s="190"/>
      <c r="KS20" s="194"/>
      <c r="KT20" s="189"/>
      <c r="KU20" s="190"/>
      <c r="KV20" s="190"/>
      <c r="KW20" s="190"/>
      <c r="KX20" s="190"/>
      <c r="KY20" s="191"/>
      <c r="KZ20" s="190"/>
      <c r="LA20" s="190"/>
      <c r="LB20" s="190"/>
      <c r="LC20" s="190"/>
      <c r="LD20" s="190"/>
      <c r="LE20" s="192"/>
      <c r="LF20" s="190"/>
      <c r="LG20" s="190"/>
      <c r="LH20" s="190"/>
      <c r="LI20" s="190"/>
      <c r="LJ20" s="190"/>
      <c r="LK20" s="199"/>
      <c r="LL20" s="190"/>
      <c r="LM20" s="190"/>
      <c r="LN20" s="190"/>
      <c r="LO20" s="190"/>
      <c r="LP20" s="190"/>
      <c r="LQ20" s="192"/>
      <c r="LR20" s="190"/>
      <c r="LS20" s="190"/>
      <c r="LT20" s="190"/>
      <c r="LU20" s="190"/>
      <c r="LV20" s="190"/>
      <c r="LW20" s="199"/>
      <c r="LX20" s="190"/>
      <c r="LY20" s="190"/>
      <c r="LZ20" s="190"/>
      <c r="MA20" s="190"/>
      <c r="MB20" s="190"/>
      <c r="MC20" s="192"/>
      <c r="MD20" s="190"/>
      <c r="ME20" s="190"/>
      <c r="MF20" s="190"/>
      <c r="MG20" s="190"/>
      <c r="MH20" s="196"/>
      <c r="MI20" s="199"/>
      <c r="MJ20" s="190"/>
      <c r="MK20" s="190"/>
      <c r="ML20" s="190"/>
      <c r="MM20" s="190"/>
      <c r="MN20" s="190"/>
      <c r="MO20" s="192"/>
      <c r="MP20" s="190"/>
      <c r="MQ20" s="190"/>
      <c r="MR20" s="190"/>
      <c r="MS20" s="190"/>
      <c r="MT20" s="190"/>
      <c r="MU20" s="199"/>
      <c r="MV20" s="190"/>
      <c r="MW20" s="190"/>
      <c r="MX20" s="190"/>
      <c r="MY20" s="190"/>
      <c r="MZ20" s="190"/>
      <c r="NA20" s="194"/>
      <c r="NB20" s="189"/>
      <c r="NC20" s="190"/>
      <c r="ND20" s="190"/>
      <c r="NE20" s="190"/>
      <c r="NF20" s="190"/>
      <c r="NG20" s="191"/>
      <c r="NH20" s="190"/>
      <c r="NI20" s="190"/>
      <c r="NJ20" s="190"/>
      <c r="NK20" s="190"/>
      <c r="NL20" s="190"/>
      <c r="NM20" s="192"/>
      <c r="NN20" s="190"/>
      <c r="NO20" s="190"/>
      <c r="NP20" s="190"/>
      <c r="NQ20" s="190"/>
      <c r="NR20" s="190"/>
      <c r="NS20" s="199"/>
      <c r="NT20" s="190"/>
      <c r="NU20" s="190"/>
      <c r="NV20" s="190"/>
      <c r="NW20" s="190"/>
      <c r="NX20" s="190"/>
      <c r="NY20" s="192"/>
      <c r="NZ20" s="190"/>
      <c r="OA20" s="190"/>
      <c r="OB20" s="190"/>
      <c r="OC20" s="190"/>
      <c r="OD20" s="190"/>
      <c r="OE20" s="199"/>
      <c r="OF20" s="190"/>
      <c r="OG20" s="190"/>
      <c r="OH20" s="190"/>
      <c r="OI20" s="190"/>
      <c r="OJ20" s="190"/>
      <c r="OK20" s="192"/>
      <c r="OL20" s="190"/>
      <c r="OM20" s="190"/>
      <c r="ON20" s="190"/>
      <c r="OO20" s="190"/>
      <c r="OP20" s="196"/>
      <c r="OQ20" s="199"/>
      <c r="OR20" s="190"/>
      <c r="OS20" s="190"/>
      <c r="OT20" s="190"/>
      <c r="OU20" s="190"/>
      <c r="OV20" s="190"/>
      <c r="OW20" s="192"/>
      <c r="OX20" s="190"/>
      <c r="OY20" s="190"/>
      <c r="OZ20" s="190"/>
      <c r="PA20" s="190"/>
      <c r="PB20" s="190"/>
      <c r="PC20" s="199"/>
      <c r="PD20" s="190"/>
      <c r="PE20" s="190"/>
      <c r="PF20" s="190"/>
      <c r="PG20" s="190"/>
      <c r="PH20" s="190"/>
      <c r="PI20" s="194"/>
      <c r="PJ20" s="189"/>
      <c r="PK20" s="190"/>
      <c r="PL20" s="190"/>
      <c r="PM20" s="190"/>
      <c r="PN20" s="190"/>
      <c r="PO20" s="191"/>
      <c r="PP20" s="190"/>
      <c r="PQ20" s="190"/>
      <c r="PR20" s="190"/>
      <c r="PS20" s="190"/>
      <c r="PT20" s="190"/>
      <c r="PU20" s="192"/>
      <c r="PV20" s="190"/>
      <c r="PW20" s="190"/>
      <c r="PX20" s="190"/>
      <c r="PY20" s="190"/>
      <c r="PZ20" s="190"/>
      <c r="QA20" s="199"/>
      <c r="QB20" s="190"/>
      <c r="QC20" s="190"/>
      <c r="QD20" s="190"/>
      <c r="QE20" s="190"/>
      <c r="QF20" s="190"/>
      <c r="QG20" s="192"/>
      <c r="QH20" s="190"/>
      <c r="QI20" s="190"/>
      <c r="QJ20" s="190"/>
      <c r="QK20" s="190"/>
      <c r="QL20" s="190"/>
      <c r="QM20" s="199"/>
      <c r="QN20" s="190"/>
      <c r="QO20" s="190"/>
      <c r="QP20" s="190"/>
      <c r="QQ20" s="190"/>
      <c r="QR20" s="190"/>
      <c r="QS20" s="192"/>
      <c r="QT20" s="190"/>
      <c r="QU20" s="190"/>
      <c r="QV20" s="190"/>
      <c r="QW20" s="190"/>
      <c r="QX20" s="196"/>
      <c r="QY20" s="199"/>
      <c r="QZ20" s="190"/>
      <c r="RA20" s="190"/>
      <c r="RB20" s="190"/>
      <c r="RC20" s="190"/>
      <c r="RD20" s="190"/>
      <c r="RE20" s="192"/>
      <c r="RF20" s="190"/>
      <c r="RG20" s="190"/>
      <c r="RH20" s="190"/>
      <c r="RI20" s="190"/>
      <c r="RJ20" s="190"/>
      <c r="RK20" s="199"/>
      <c r="RL20" s="190"/>
      <c r="RM20" s="190"/>
      <c r="RN20" s="190"/>
      <c r="RO20" s="190"/>
      <c r="RP20" s="190"/>
      <c r="RQ20" s="194"/>
      <c r="RR20" s="189"/>
      <c r="RS20" s="190"/>
      <c r="RT20" s="190"/>
      <c r="RU20" s="190"/>
      <c r="RV20" s="190"/>
      <c r="RW20" s="191"/>
      <c r="RX20" s="190"/>
      <c r="RY20" s="190"/>
      <c r="RZ20" s="190"/>
      <c r="SA20" s="190"/>
      <c r="SB20" s="190"/>
      <c r="SC20" s="192"/>
      <c r="SD20" s="190"/>
      <c r="SE20" s="190"/>
      <c r="SF20" s="190"/>
      <c r="SG20" s="190"/>
      <c r="SH20" s="190"/>
      <c r="SI20" s="199"/>
      <c r="SJ20" s="190"/>
      <c r="SK20" s="190"/>
      <c r="SL20" s="190"/>
      <c r="SM20" s="190"/>
      <c r="SN20" s="190"/>
      <c r="SO20" s="192"/>
      <c r="SP20" s="190"/>
      <c r="SQ20" s="190"/>
      <c r="SR20" s="190"/>
      <c r="SS20" s="190"/>
      <c r="ST20" s="190"/>
      <c r="SU20" s="199"/>
      <c r="SV20" s="190"/>
      <c r="SW20" s="190"/>
      <c r="SX20" s="190"/>
      <c r="SY20" s="190"/>
      <c r="SZ20" s="190"/>
      <c r="TA20" s="192"/>
      <c r="TB20" s="190"/>
      <c r="TC20" s="190"/>
      <c r="TD20" s="190"/>
      <c r="TE20" s="190"/>
      <c r="TF20" s="196"/>
      <c r="TG20" s="199"/>
      <c r="TH20" s="190"/>
      <c r="TI20" s="190"/>
      <c r="TJ20" s="190"/>
      <c r="TK20" s="190"/>
      <c r="TL20" s="190"/>
      <c r="TM20" s="192"/>
      <c r="TN20" s="190"/>
      <c r="TO20" s="190"/>
      <c r="TP20" s="190"/>
      <c r="TQ20" s="190"/>
      <c r="TR20" s="190"/>
      <c r="TS20" s="199"/>
      <c r="TT20" s="190"/>
      <c r="TU20" s="190"/>
      <c r="TV20" s="190"/>
      <c r="TW20" s="190"/>
      <c r="TX20" s="190"/>
      <c r="TY20" s="194"/>
      <c r="TZ20" s="189"/>
      <c r="UA20" s="190"/>
      <c r="UB20" s="190"/>
      <c r="UC20" s="190"/>
      <c r="UD20" s="190"/>
      <c r="UE20" s="191"/>
      <c r="UF20" s="190"/>
      <c r="UG20" s="190"/>
      <c r="UH20" s="190"/>
      <c r="UI20" s="190"/>
      <c r="UJ20" s="190"/>
      <c r="UK20" s="192"/>
      <c r="UL20" s="190"/>
      <c r="UM20" s="190"/>
      <c r="UN20" s="190"/>
      <c r="UO20" s="190"/>
      <c r="UP20" s="190"/>
      <c r="UQ20" s="199"/>
      <c r="UR20" s="190"/>
      <c r="US20" s="190"/>
      <c r="UT20" s="190"/>
      <c r="UU20" s="190"/>
      <c r="UV20" s="190"/>
      <c r="UW20" s="192"/>
      <c r="UX20" s="190"/>
      <c r="UY20" s="190"/>
      <c r="UZ20" s="190"/>
      <c r="VA20" s="190"/>
      <c r="VB20" s="190"/>
      <c r="VC20" s="199"/>
      <c r="VD20" s="190"/>
      <c r="VE20" s="190"/>
      <c r="VF20" s="190"/>
      <c r="VG20" s="190"/>
      <c r="VH20" s="190"/>
      <c r="VI20" s="192"/>
      <c r="VJ20" s="190"/>
      <c r="VK20" s="190"/>
      <c r="VL20" s="190"/>
      <c r="VM20" s="190"/>
      <c r="VN20" s="196"/>
      <c r="VO20" s="199"/>
      <c r="VP20" s="190"/>
      <c r="VQ20" s="190"/>
      <c r="VR20" s="190"/>
      <c r="VS20" s="190"/>
      <c r="VT20" s="190"/>
      <c r="VU20" s="192"/>
      <c r="VV20" s="190"/>
      <c r="VW20" s="190"/>
      <c r="VX20" s="190"/>
      <c r="VY20" s="190"/>
      <c r="VZ20" s="190"/>
      <c r="WA20" s="199"/>
      <c r="WB20" s="190"/>
      <c r="WC20" s="190"/>
      <c r="WD20" s="190"/>
      <c r="WE20" s="190"/>
      <c r="WF20" s="190"/>
      <c r="WG20" s="194"/>
      <c r="WH20" s="189"/>
      <c r="WI20" s="190"/>
      <c r="WJ20" s="190"/>
      <c r="WK20" s="190"/>
      <c r="WL20" s="190"/>
      <c r="WM20" s="191"/>
      <c r="WN20" s="190"/>
      <c r="WO20" s="190"/>
      <c r="WP20" s="190"/>
      <c r="WQ20" s="190"/>
      <c r="WR20" s="190"/>
      <c r="WS20" s="192"/>
      <c r="WT20" s="190"/>
      <c r="WU20" s="190"/>
      <c r="WV20" s="190"/>
      <c r="WW20" s="190"/>
      <c r="WX20" s="190"/>
      <c r="WY20" s="199"/>
      <c r="WZ20" s="190"/>
      <c r="XA20" s="190"/>
      <c r="XB20" s="190"/>
      <c r="XC20" s="190"/>
      <c r="XD20" s="190"/>
      <c r="XE20" s="192"/>
      <c r="XF20" s="190"/>
      <c r="XG20" s="190"/>
      <c r="XH20" s="190"/>
      <c r="XI20" s="190"/>
      <c r="XJ20" s="190"/>
      <c r="XK20" s="199"/>
      <c r="XL20" s="190"/>
      <c r="XM20" s="190"/>
      <c r="XN20" s="190"/>
      <c r="XO20" s="190"/>
      <c r="XP20" s="190"/>
      <c r="XQ20" s="192"/>
      <c r="XR20" s="190"/>
      <c r="XS20" s="190"/>
      <c r="XT20" s="190"/>
      <c r="XU20" s="190"/>
      <c r="XV20" s="196"/>
      <c r="XW20" s="199"/>
      <c r="XX20" s="190"/>
      <c r="XY20" s="190"/>
      <c r="XZ20" s="190"/>
      <c r="YA20" s="190"/>
      <c r="YB20" s="190"/>
      <c r="YC20" s="192"/>
      <c r="YD20" s="190"/>
      <c r="YE20" s="190"/>
      <c r="YF20" s="190"/>
      <c r="YG20" s="190"/>
      <c r="YH20" s="190"/>
      <c r="YI20" s="199"/>
      <c r="YJ20" s="190"/>
      <c r="YK20" s="190"/>
      <c r="YL20" s="190"/>
      <c r="YM20" s="190"/>
      <c r="YN20" s="190"/>
      <c r="YO20" s="194"/>
      <c r="YP20" s="189"/>
      <c r="YQ20" s="190"/>
      <c r="YR20" s="190"/>
      <c r="YS20" s="190"/>
      <c r="YT20" s="190"/>
      <c r="YU20" s="191"/>
      <c r="YV20" s="190"/>
      <c r="YW20" s="190"/>
      <c r="YX20" s="190"/>
      <c r="YY20" s="190"/>
      <c r="YZ20" s="190"/>
      <c r="ZA20" s="192"/>
      <c r="ZB20" s="190"/>
      <c r="ZC20" s="190"/>
      <c r="ZD20" s="190"/>
      <c r="ZE20" s="190"/>
      <c r="ZF20" s="190"/>
      <c r="ZG20" s="199"/>
      <c r="ZH20" s="190"/>
      <c r="ZI20" s="190"/>
      <c r="ZJ20" s="190"/>
      <c r="ZK20" s="190"/>
      <c r="ZL20" s="190"/>
      <c r="ZM20" s="192"/>
      <c r="ZN20" s="190"/>
      <c r="ZO20" s="190"/>
      <c r="ZP20" s="190"/>
      <c r="ZQ20" s="190"/>
      <c r="ZR20" s="190"/>
      <c r="ZS20" s="199"/>
      <c r="ZT20" s="190"/>
      <c r="ZU20" s="190"/>
      <c r="ZV20" s="190"/>
      <c r="ZW20" s="190"/>
      <c r="ZX20" s="190"/>
      <c r="ZY20" s="192"/>
      <c r="ZZ20" s="190"/>
      <c r="AAA20" s="190"/>
      <c r="AAB20" s="190"/>
      <c r="AAC20" s="190"/>
      <c r="AAD20" s="196"/>
      <c r="AAE20" s="199"/>
      <c r="AAF20" s="190"/>
      <c r="AAG20" s="190"/>
      <c r="AAH20" s="190"/>
      <c r="AAI20" s="190"/>
      <c r="AAJ20" s="190"/>
      <c r="AAK20" s="192"/>
      <c r="AAL20" s="190"/>
      <c r="AAM20" s="190"/>
      <c r="AAN20" s="190"/>
      <c r="AAO20" s="190"/>
      <c r="AAP20" s="190"/>
      <c r="AAQ20" s="199"/>
      <c r="AAR20" s="190"/>
      <c r="AAS20" s="190"/>
      <c r="AAT20" s="190"/>
      <c r="AAU20" s="190"/>
      <c r="AAV20" s="190"/>
      <c r="AAW20" s="194"/>
      <c r="AAX20" s="189"/>
      <c r="AAY20" s="190"/>
      <c r="AAZ20" s="190"/>
      <c r="ABA20" s="190"/>
      <c r="ABB20" s="190"/>
      <c r="ABC20" s="191"/>
      <c r="ABD20" s="190"/>
      <c r="ABE20" s="190"/>
      <c r="ABF20" s="190"/>
      <c r="ABG20" s="190"/>
      <c r="ABH20" s="190"/>
      <c r="ABI20" s="192"/>
      <c r="ABJ20" s="190"/>
      <c r="ABK20" s="190"/>
      <c r="ABL20" s="190"/>
      <c r="ABM20" s="190"/>
      <c r="ABN20" s="190"/>
      <c r="ABO20" s="199"/>
      <c r="ABP20" s="190"/>
      <c r="ABQ20" s="190"/>
      <c r="ABR20" s="190"/>
      <c r="ABS20" s="190"/>
      <c r="ABT20" s="190"/>
      <c r="ABU20" s="192"/>
      <c r="ABV20" s="190"/>
      <c r="ABW20" s="190"/>
      <c r="ABX20" s="190"/>
      <c r="ABY20" s="190"/>
      <c r="ABZ20" s="190"/>
      <c r="ACA20" s="199"/>
      <c r="ACB20" s="190"/>
      <c r="ACC20" s="190"/>
      <c r="ACD20" s="190"/>
      <c r="ACE20" s="190"/>
      <c r="ACF20" s="190"/>
      <c r="ACG20" s="192"/>
      <c r="ACH20" s="190"/>
      <c r="ACI20" s="190"/>
      <c r="ACJ20" s="190"/>
      <c r="ACK20" s="190"/>
      <c r="ACL20" s="196"/>
      <c r="ACM20" s="199"/>
      <c r="ACN20" s="190"/>
      <c r="ACO20" s="190"/>
      <c r="ACP20" s="190"/>
      <c r="ACQ20" s="190"/>
      <c r="ACR20" s="190"/>
      <c r="ACS20" s="192"/>
      <c r="ACT20" s="190"/>
      <c r="ACU20" s="190"/>
      <c r="ACV20" s="190"/>
      <c r="ACW20" s="190"/>
      <c r="ACX20" s="190"/>
      <c r="ACY20" s="199"/>
      <c r="ACZ20" s="190"/>
      <c r="ADA20" s="190"/>
      <c r="ADB20" s="190"/>
      <c r="ADC20" s="190"/>
      <c r="ADD20" s="190"/>
      <c r="ADE20" s="194"/>
      <c r="ADF20" s="189"/>
      <c r="ADG20" s="190"/>
      <c r="ADH20" s="190"/>
      <c r="ADI20" s="190"/>
      <c r="ADJ20" s="190"/>
      <c r="ADK20" s="191"/>
      <c r="ADL20" s="190"/>
      <c r="ADM20" s="190"/>
      <c r="ADN20" s="190"/>
      <c r="ADO20" s="190"/>
      <c r="ADP20" s="190"/>
      <c r="ADQ20" s="192"/>
      <c r="ADR20" s="190"/>
      <c r="ADS20" s="190"/>
      <c r="ADT20" s="190"/>
      <c r="ADU20" s="190"/>
      <c r="ADV20" s="190"/>
      <c r="ADW20" s="199"/>
      <c r="ADX20" s="190"/>
      <c r="ADY20" s="190"/>
      <c r="ADZ20" s="190"/>
      <c r="AEA20" s="190"/>
      <c r="AEB20" s="190"/>
      <c r="AEC20" s="192"/>
      <c r="AED20" s="190"/>
      <c r="AEE20" s="190"/>
      <c r="AEF20" s="190"/>
      <c r="AEG20" s="190"/>
      <c r="AEH20" s="190"/>
      <c r="AEI20" s="199"/>
      <c r="AEJ20" s="190"/>
      <c r="AEK20" s="190"/>
      <c r="AEL20" s="190"/>
      <c r="AEM20" s="190"/>
      <c r="AEN20" s="190"/>
      <c r="AEO20" s="192"/>
      <c r="AEP20" s="190"/>
      <c r="AEQ20" s="190"/>
      <c r="AER20" s="190"/>
      <c r="AES20" s="190"/>
      <c r="AET20" s="196"/>
      <c r="AEU20" s="199"/>
      <c r="AEV20" s="190"/>
      <c r="AEW20" s="190"/>
      <c r="AEX20" s="190"/>
      <c r="AEY20" s="190"/>
      <c r="AEZ20" s="190"/>
      <c r="AFA20" s="192"/>
      <c r="AFB20" s="190"/>
      <c r="AFC20" s="190"/>
      <c r="AFD20" s="190"/>
      <c r="AFE20" s="190"/>
      <c r="AFF20" s="190"/>
      <c r="AFG20" s="199"/>
      <c r="AFH20" s="190"/>
      <c r="AFI20" s="190"/>
      <c r="AFJ20" s="190"/>
      <c r="AFK20" s="190"/>
      <c r="AFL20" s="190"/>
      <c r="AFM20" s="194"/>
      <c r="AFN20" s="189"/>
      <c r="AFO20" s="190"/>
      <c r="AFP20" s="190"/>
      <c r="AFQ20" s="190"/>
      <c r="AFR20" s="190"/>
      <c r="AFS20" s="191"/>
      <c r="AFT20" s="190"/>
      <c r="AFU20" s="190"/>
      <c r="AFV20" s="190"/>
      <c r="AFW20" s="190"/>
      <c r="AFX20" s="190"/>
      <c r="AFY20" s="192"/>
      <c r="AFZ20" s="190"/>
      <c r="AGA20" s="190"/>
      <c r="AGB20" s="190"/>
      <c r="AGC20" s="190"/>
      <c r="AGD20" s="190"/>
      <c r="AGE20" s="199"/>
      <c r="AGF20" s="190"/>
      <c r="AGG20" s="190"/>
      <c r="AGH20" s="190"/>
      <c r="AGI20" s="190"/>
      <c r="AGJ20" s="190"/>
      <c r="AGK20" s="192"/>
      <c r="AGL20" s="190"/>
      <c r="AGM20" s="190"/>
      <c r="AGN20" s="190"/>
      <c r="AGO20" s="190"/>
      <c r="AGP20" s="190"/>
      <c r="AGQ20" s="199"/>
      <c r="AGR20" s="190"/>
      <c r="AGS20" s="190"/>
      <c r="AGT20" s="190"/>
      <c r="AGU20" s="190"/>
      <c r="AGV20" s="190"/>
      <c r="AGW20" s="192"/>
      <c r="AGX20" s="190"/>
      <c r="AGY20" s="190"/>
      <c r="AGZ20" s="190"/>
      <c r="AHA20" s="190"/>
      <c r="AHB20" s="196"/>
      <c r="AHC20" s="199"/>
      <c r="AHD20" s="190"/>
      <c r="AHE20" s="190"/>
      <c r="AHF20" s="190"/>
      <c r="AHG20" s="190"/>
      <c r="AHH20" s="190"/>
      <c r="AHI20" s="192"/>
      <c r="AHJ20" s="190"/>
      <c r="AHK20" s="190"/>
      <c r="AHL20" s="190"/>
      <c r="AHM20" s="190"/>
      <c r="AHN20" s="190"/>
      <c r="AHO20" s="199"/>
      <c r="AHP20" s="190"/>
      <c r="AHQ20" s="190"/>
      <c r="AHR20" s="190"/>
      <c r="AHS20" s="190"/>
      <c r="AHT20" s="190"/>
      <c r="AHU20" s="194"/>
      <c r="AHV20" s="189"/>
      <c r="AHW20" s="190"/>
      <c r="AHX20" s="190"/>
      <c r="AHY20" s="190"/>
      <c r="AHZ20" s="190"/>
      <c r="AIA20" s="191"/>
      <c r="AIB20" s="190"/>
      <c r="AIC20" s="190"/>
      <c r="AID20" s="190"/>
      <c r="AIE20" s="190"/>
      <c r="AIF20" s="190"/>
      <c r="AIG20" s="192"/>
      <c r="AIH20" s="190"/>
      <c r="AII20" s="190"/>
      <c r="AIJ20" s="190"/>
      <c r="AIK20" s="190"/>
      <c r="AIL20" s="190"/>
      <c r="AIM20" s="199"/>
      <c r="AIN20" s="190"/>
      <c r="AIO20" s="190"/>
      <c r="AIP20" s="190"/>
      <c r="AIQ20" s="190"/>
      <c r="AIR20" s="190"/>
      <c r="AIS20" s="192"/>
      <c r="AIT20" s="190"/>
      <c r="AIU20" s="190"/>
      <c r="AIV20" s="190"/>
      <c r="AIW20" s="190"/>
      <c r="AIX20" s="190"/>
      <c r="AIY20" s="199"/>
      <c r="AIZ20" s="190"/>
      <c r="AJA20" s="190"/>
      <c r="AJB20" s="190"/>
      <c r="AJC20" s="190"/>
      <c r="AJD20" s="190"/>
      <c r="AJE20" s="192"/>
      <c r="AJF20" s="190"/>
      <c r="AJG20" s="190"/>
      <c r="AJH20" s="190"/>
      <c r="AJI20" s="190"/>
      <c r="AJJ20" s="196"/>
      <c r="AJK20" s="199"/>
      <c r="AJL20" s="190"/>
      <c r="AJM20" s="190"/>
      <c r="AJN20" s="190"/>
      <c r="AJO20" s="190"/>
      <c r="AJP20" s="190"/>
      <c r="AJQ20" s="192"/>
      <c r="AJR20" s="190"/>
      <c r="AJS20" s="190"/>
      <c r="AJT20" s="190"/>
      <c r="AJU20" s="190"/>
      <c r="AJV20" s="190"/>
      <c r="AJW20" s="199"/>
      <c r="AJX20" s="190"/>
      <c r="AJY20" s="190"/>
      <c r="AJZ20" s="190"/>
      <c r="AKA20" s="190"/>
      <c r="AKB20" s="190"/>
      <c r="AKC20" s="194"/>
      <c r="AKD20" s="189"/>
      <c r="AKE20" s="190"/>
      <c r="AKF20" s="190"/>
      <c r="AKG20" s="190"/>
      <c r="AKH20" s="190"/>
      <c r="AKI20" s="191"/>
      <c r="AKJ20" s="190"/>
      <c r="AKK20" s="190"/>
      <c r="AKL20" s="190"/>
      <c r="AKM20" s="190"/>
      <c r="AKN20" s="190"/>
      <c r="AKO20" s="192"/>
      <c r="AKP20" s="190"/>
      <c r="AKQ20" s="190"/>
      <c r="AKR20" s="190"/>
      <c r="AKS20" s="190"/>
      <c r="AKT20" s="190"/>
      <c r="AKU20" s="199"/>
      <c r="AKV20" s="190"/>
      <c r="AKW20" s="190"/>
      <c r="AKX20" s="190"/>
      <c r="AKY20" s="190"/>
      <c r="AKZ20" s="190"/>
      <c r="ALA20" s="192"/>
      <c r="ALB20" s="190"/>
      <c r="ALC20" s="190"/>
      <c r="ALD20" s="190"/>
      <c r="ALE20" s="190"/>
      <c r="ALF20" s="190"/>
      <c r="ALG20" s="199"/>
      <c r="ALH20" s="190"/>
      <c r="ALI20" s="190"/>
      <c r="ALJ20" s="190"/>
      <c r="ALK20" s="190"/>
      <c r="ALL20" s="190"/>
      <c r="ALM20" s="192"/>
      <c r="ALN20" s="190"/>
      <c r="ALO20" s="190"/>
      <c r="ALP20" s="190"/>
      <c r="ALQ20" s="190"/>
      <c r="ALR20" s="196"/>
      <c r="ALS20" s="199"/>
      <c r="ALT20" s="190"/>
      <c r="ALU20" s="190"/>
      <c r="ALV20" s="190"/>
      <c r="ALW20" s="190"/>
      <c r="ALX20" s="190"/>
      <c r="ALY20" s="192"/>
      <c r="ALZ20" s="190"/>
      <c r="AMA20" s="190"/>
      <c r="AMB20" s="190"/>
      <c r="AMC20" s="190"/>
      <c r="AMD20" s="190"/>
      <c r="AME20" s="199"/>
      <c r="AMF20" s="190"/>
      <c r="AMG20" s="190"/>
      <c r="AMH20" s="190"/>
      <c r="AMI20" s="190"/>
      <c r="AMJ20" s="190"/>
      <c r="AMK20" s="194"/>
      <c r="AML20" s="189"/>
      <c r="AMM20" s="190"/>
      <c r="AMN20" s="190"/>
      <c r="AMO20" s="190"/>
      <c r="AMP20" s="190"/>
      <c r="AMQ20" s="191"/>
      <c r="AMR20" s="190"/>
      <c r="AMS20" s="190"/>
      <c r="AMT20" s="190"/>
      <c r="AMU20" s="190"/>
      <c r="AMV20" s="190"/>
      <c r="AMW20" s="192"/>
      <c r="AMX20" s="190"/>
      <c r="AMY20" s="190"/>
      <c r="AMZ20" s="190"/>
      <c r="ANA20" s="190"/>
      <c r="ANB20" s="190"/>
      <c r="ANC20" s="199"/>
      <c r="AND20" s="190"/>
      <c r="ANE20" s="190"/>
      <c r="ANF20" s="190"/>
      <c r="ANG20" s="190"/>
      <c r="ANH20" s="190"/>
      <c r="ANI20" s="192"/>
      <c r="ANJ20" s="190"/>
      <c r="ANK20" s="190"/>
      <c r="ANL20" s="190"/>
      <c r="ANM20" s="190"/>
      <c r="ANN20" s="190"/>
      <c r="ANO20" s="199"/>
      <c r="ANP20" s="190"/>
      <c r="ANQ20" s="190"/>
      <c r="ANR20" s="190"/>
      <c r="ANS20" s="190"/>
      <c r="ANT20" s="190"/>
      <c r="ANU20" s="192"/>
      <c r="ANV20" s="190"/>
      <c r="ANW20" s="190"/>
      <c r="ANX20" s="190"/>
      <c r="ANY20" s="190"/>
      <c r="ANZ20" s="196"/>
      <c r="AOA20" s="199"/>
      <c r="AOB20" s="190"/>
      <c r="AOC20" s="190"/>
      <c r="AOD20" s="190"/>
      <c r="AOE20" s="190"/>
      <c r="AOF20" s="190"/>
      <c r="AOG20" s="192"/>
      <c r="AOH20" s="190"/>
      <c r="AOI20" s="190"/>
      <c r="AOJ20" s="190"/>
      <c r="AOK20" s="190"/>
      <c r="AOL20" s="190"/>
      <c r="AOM20" s="199"/>
      <c r="AON20" s="190"/>
      <c r="AOO20" s="190"/>
      <c r="AOP20" s="190"/>
      <c r="AOQ20" s="190"/>
      <c r="AOR20" s="190"/>
      <c r="AOS20" s="194"/>
      <c r="AOT20" s="189"/>
      <c r="AOU20" s="190"/>
      <c r="AOV20" s="190"/>
      <c r="AOW20" s="190"/>
      <c r="AOX20" s="190"/>
      <c r="AOY20" s="191"/>
      <c r="AOZ20" s="190"/>
      <c r="APA20" s="190"/>
      <c r="APB20" s="190"/>
      <c r="APC20" s="190"/>
      <c r="APD20" s="190"/>
      <c r="APE20" s="192"/>
      <c r="APF20" s="190"/>
      <c r="APG20" s="190"/>
      <c r="APH20" s="190"/>
      <c r="API20" s="190"/>
      <c r="APJ20" s="190"/>
      <c r="APK20" s="199"/>
      <c r="APL20" s="190"/>
      <c r="APM20" s="190"/>
      <c r="APN20" s="190"/>
      <c r="APO20" s="190"/>
      <c r="APP20" s="190"/>
      <c r="APQ20" s="192"/>
      <c r="APR20" s="190"/>
      <c r="APS20" s="190"/>
      <c r="APT20" s="190"/>
      <c r="APU20" s="190"/>
      <c r="APV20" s="190"/>
      <c r="APW20" s="199"/>
      <c r="APX20" s="190"/>
      <c r="APY20" s="190"/>
      <c r="APZ20" s="190"/>
      <c r="AQA20" s="190"/>
      <c r="AQB20" s="190"/>
      <c r="AQC20" s="192"/>
      <c r="AQD20" s="190"/>
      <c r="AQE20" s="190"/>
      <c r="AQF20" s="190"/>
      <c r="AQG20" s="190"/>
      <c r="AQH20" s="196"/>
      <c r="AQI20" s="199"/>
      <c r="AQJ20" s="190"/>
      <c r="AQK20" s="190"/>
      <c r="AQL20" s="190"/>
      <c r="AQM20" s="190"/>
      <c r="AQN20" s="190"/>
      <c r="AQO20" s="192"/>
      <c r="AQP20" s="190"/>
      <c r="AQQ20" s="190"/>
      <c r="AQR20" s="190"/>
      <c r="AQS20" s="190"/>
      <c r="AQT20" s="190"/>
      <c r="AQU20" s="199"/>
      <c r="AQV20" s="190"/>
      <c r="AQW20" s="190"/>
      <c r="AQX20" s="190"/>
      <c r="AQY20" s="190"/>
      <c r="AQZ20" s="190"/>
      <c r="ARA20" s="194"/>
      <c r="ARB20" s="189"/>
      <c r="ARC20" s="190"/>
      <c r="ARD20" s="190"/>
      <c r="ARE20" s="190"/>
      <c r="ARF20" s="190"/>
      <c r="ARG20" s="191"/>
      <c r="ARH20" s="190"/>
      <c r="ARI20" s="190"/>
      <c r="ARJ20" s="190"/>
      <c r="ARK20" s="190"/>
      <c r="ARL20" s="190"/>
      <c r="ARM20" s="192"/>
      <c r="ARN20" s="190"/>
      <c r="ARO20" s="190"/>
      <c r="ARP20" s="190"/>
      <c r="ARQ20" s="190"/>
      <c r="ARR20" s="190"/>
      <c r="ARS20" s="199"/>
      <c r="ART20" s="190"/>
      <c r="ARU20" s="190"/>
      <c r="ARV20" s="190"/>
      <c r="ARW20" s="190"/>
      <c r="ARX20" s="190"/>
      <c r="ARY20" s="192"/>
      <c r="ARZ20" s="190"/>
      <c r="ASA20" s="190"/>
      <c r="ASB20" s="190"/>
      <c r="ASC20" s="190"/>
      <c r="ASD20" s="190"/>
      <c r="ASE20" s="199"/>
      <c r="ASF20" s="190"/>
      <c r="ASG20" s="190"/>
      <c r="ASH20" s="190"/>
      <c r="ASI20" s="190"/>
      <c r="ASJ20" s="190"/>
      <c r="ASK20" s="192"/>
      <c r="ASL20" s="190"/>
      <c r="ASM20" s="190"/>
      <c r="ASN20" s="190"/>
      <c r="ASO20" s="190"/>
      <c r="ASP20" s="196"/>
      <c r="ASQ20" s="199"/>
      <c r="ASR20" s="190"/>
      <c r="ASS20" s="190"/>
      <c r="AST20" s="190"/>
      <c r="ASU20" s="190"/>
      <c r="ASV20" s="190"/>
      <c r="ASW20" s="192"/>
      <c r="ASX20" s="190"/>
      <c r="ASY20" s="190"/>
      <c r="ASZ20" s="190"/>
      <c r="ATA20" s="190"/>
      <c r="ATB20" s="190"/>
      <c r="ATC20" s="199"/>
      <c r="ATD20" s="190"/>
      <c r="ATE20" s="190"/>
      <c r="ATF20" s="190"/>
      <c r="ATG20" s="190"/>
      <c r="ATH20" s="190"/>
      <c r="ATI20" s="194"/>
      <c r="ATJ20" s="189"/>
      <c r="ATK20" s="190"/>
      <c r="ATL20" s="190"/>
      <c r="ATM20" s="190"/>
      <c r="ATN20" s="190"/>
      <c r="ATO20" s="191"/>
      <c r="ATP20" s="190"/>
      <c r="ATQ20" s="190"/>
      <c r="ATR20" s="190"/>
      <c r="ATS20" s="190"/>
      <c r="ATT20" s="190"/>
      <c r="ATU20" s="192"/>
      <c r="ATV20" s="190"/>
      <c r="ATW20" s="190"/>
      <c r="ATX20" s="190"/>
      <c r="ATY20" s="190"/>
      <c r="ATZ20" s="190"/>
      <c r="AUA20" s="199"/>
      <c r="AUB20" s="190"/>
      <c r="AUC20" s="190"/>
      <c r="AUD20" s="190"/>
      <c r="AUE20" s="190"/>
      <c r="AUF20" s="190"/>
      <c r="AUG20" s="192"/>
      <c r="AUH20" s="190"/>
      <c r="AUI20" s="190"/>
      <c r="AUJ20" s="190"/>
      <c r="AUK20" s="190"/>
      <c r="AUL20" s="190"/>
      <c r="AUM20" s="199"/>
      <c r="AUN20" s="190"/>
      <c r="AUO20" s="190"/>
      <c r="AUP20" s="190"/>
      <c r="AUQ20" s="190"/>
      <c r="AUR20" s="190"/>
      <c r="AUS20" s="192"/>
      <c r="AUT20" s="190"/>
      <c r="AUU20" s="190"/>
      <c r="AUV20" s="190"/>
      <c r="AUW20" s="190"/>
      <c r="AUX20" s="196"/>
      <c r="AUY20" s="199"/>
      <c r="AUZ20" s="190"/>
      <c r="AVA20" s="190"/>
      <c r="AVB20" s="190"/>
      <c r="AVC20" s="190"/>
      <c r="AVD20" s="190"/>
      <c r="AVE20" s="192"/>
      <c r="AVF20" s="190"/>
      <c r="AVG20" s="190"/>
      <c r="AVH20" s="190"/>
      <c r="AVI20" s="190"/>
      <c r="AVJ20" s="190"/>
      <c r="AVK20" s="199"/>
      <c r="AVL20" s="190"/>
      <c r="AVM20" s="190"/>
      <c r="AVN20" s="190"/>
      <c r="AVO20" s="190"/>
      <c r="AVP20" s="190"/>
      <c r="AVQ20" s="194"/>
      <c r="AVR20" s="189"/>
      <c r="AVS20" s="190"/>
      <c r="AVT20" s="190"/>
      <c r="AVU20" s="190"/>
      <c r="AVV20" s="190"/>
      <c r="AVW20" s="191"/>
      <c r="AVX20" s="190"/>
      <c r="AVY20" s="190"/>
      <c r="AVZ20" s="190"/>
      <c r="AWA20" s="190"/>
      <c r="AWB20" s="190"/>
      <c r="AWC20" s="192"/>
      <c r="AWD20" s="190"/>
      <c r="AWE20" s="190"/>
      <c r="AWF20" s="190"/>
      <c r="AWG20" s="190"/>
      <c r="AWH20" s="190"/>
      <c r="AWI20" s="199"/>
      <c r="AWJ20" s="190"/>
      <c r="AWK20" s="190"/>
      <c r="AWL20" s="190"/>
      <c r="AWM20" s="190"/>
      <c r="AWN20" s="190"/>
      <c r="AWO20" s="192"/>
      <c r="AWP20" s="190"/>
      <c r="AWQ20" s="190"/>
      <c r="AWR20" s="190"/>
      <c r="AWS20" s="190"/>
      <c r="AWT20" s="190"/>
      <c r="AWU20" s="199"/>
      <c r="AWV20" s="190"/>
      <c r="AWW20" s="190"/>
      <c r="AWX20" s="190"/>
      <c r="AWY20" s="190"/>
      <c r="AWZ20" s="190"/>
      <c r="AXA20" s="192"/>
      <c r="AXB20" s="190"/>
      <c r="AXC20" s="190"/>
      <c r="AXD20" s="190"/>
      <c r="AXE20" s="190"/>
      <c r="AXF20" s="196"/>
      <c r="AXG20" s="199"/>
      <c r="AXH20" s="190"/>
      <c r="AXI20" s="190"/>
      <c r="AXJ20" s="190"/>
      <c r="AXK20" s="190"/>
      <c r="AXL20" s="190"/>
      <c r="AXM20" s="192"/>
      <c r="AXN20" s="190"/>
      <c r="AXO20" s="190"/>
      <c r="AXP20" s="190"/>
      <c r="AXQ20" s="190"/>
      <c r="AXR20" s="190"/>
      <c r="AXS20" s="199"/>
      <c r="AXT20" s="190"/>
      <c r="AXU20" s="190"/>
      <c r="AXV20" s="190"/>
      <c r="AXW20" s="190"/>
      <c r="AXX20" s="190"/>
      <c r="AXY20" s="194"/>
      <c r="AXZ20" s="189"/>
      <c r="AYA20" s="190"/>
      <c r="AYB20" s="190"/>
      <c r="AYC20" s="190"/>
      <c r="AYD20" s="190"/>
      <c r="AYE20" s="191"/>
      <c r="AYF20" s="190"/>
      <c r="AYG20" s="190"/>
      <c r="AYH20" s="190"/>
      <c r="AYI20" s="190"/>
      <c r="AYJ20" s="190"/>
      <c r="AYK20" s="192"/>
      <c r="AYL20" s="190"/>
      <c r="AYM20" s="190"/>
      <c r="AYN20" s="190"/>
      <c r="AYO20" s="190"/>
      <c r="AYP20" s="190"/>
      <c r="AYQ20" s="199"/>
      <c r="AYR20" s="190"/>
      <c r="AYS20" s="190"/>
      <c r="AYT20" s="190"/>
      <c r="AYU20" s="190"/>
      <c r="AYV20" s="190"/>
      <c r="AYW20" s="192"/>
      <c r="AYX20" s="190"/>
      <c r="AYY20" s="190"/>
      <c r="AYZ20" s="190"/>
      <c r="AZA20" s="190"/>
      <c r="AZB20" s="190"/>
      <c r="AZC20" s="199"/>
      <c r="AZD20" s="190"/>
      <c r="AZE20" s="190"/>
      <c r="AZF20" s="190"/>
      <c r="AZG20" s="190"/>
      <c r="AZH20" s="190"/>
      <c r="AZI20" s="192"/>
      <c r="AZJ20" s="190"/>
      <c r="AZK20" s="190"/>
      <c r="AZL20" s="190"/>
      <c r="AZM20" s="190"/>
      <c r="AZN20" s="196"/>
      <c r="AZO20" s="199"/>
      <c r="AZP20" s="190"/>
      <c r="AZQ20" s="190"/>
      <c r="AZR20" s="190"/>
      <c r="AZS20" s="190"/>
      <c r="AZT20" s="190"/>
      <c r="AZU20" s="192"/>
      <c r="AZV20" s="190"/>
      <c r="AZW20" s="190"/>
      <c r="AZX20" s="190"/>
      <c r="AZY20" s="190"/>
      <c r="AZZ20" s="190"/>
      <c r="BAA20" s="199"/>
      <c r="BAB20" s="190"/>
      <c r="BAC20" s="190"/>
      <c r="BAD20" s="190"/>
      <c r="BAE20" s="190"/>
      <c r="BAF20" s="190"/>
      <c r="BAG20" s="194"/>
      <c r="BAH20" s="189"/>
      <c r="BAI20" s="190"/>
      <c r="BAJ20" s="190"/>
      <c r="BAK20" s="190"/>
      <c r="BAL20" s="190"/>
      <c r="BAM20" s="191"/>
      <c r="BAN20" s="190"/>
      <c r="BAO20" s="190"/>
      <c r="BAP20" s="190"/>
      <c r="BAQ20" s="190"/>
      <c r="BAR20" s="190"/>
      <c r="BAS20" s="192"/>
      <c r="BAT20" s="190"/>
      <c r="BAU20" s="190"/>
      <c r="BAV20" s="190"/>
      <c r="BAW20" s="190"/>
      <c r="BAX20" s="190"/>
      <c r="BAY20" s="199"/>
      <c r="BAZ20" s="190"/>
      <c r="BBA20" s="190"/>
      <c r="BBB20" s="190"/>
      <c r="BBC20" s="190"/>
      <c r="BBD20" s="190"/>
      <c r="BBE20" s="192"/>
      <c r="BBF20" s="190"/>
      <c r="BBG20" s="190"/>
      <c r="BBH20" s="190"/>
      <c r="BBI20" s="190"/>
      <c r="BBJ20" s="190"/>
      <c r="BBK20" s="199"/>
      <c r="BBL20" s="190"/>
      <c r="BBM20" s="190"/>
      <c r="BBN20" s="190"/>
      <c r="BBO20" s="190"/>
      <c r="BBP20" s="190"/>
      <c r="BBQ20" s="192"/>
      <c r="BBR20" s="190"/>
      <c r="BBS20" s="190"/>
      <c r="BBT20" s="190"/>
      <c r="BBU20" s="190"/>
      <c r="BBV20" s="196"/>
      <c r="BBW20" s="199"/>
      <c r="BBX20" s="190"/>
      <c r="BBY20" s="190"/>
      <c r="BBZ20" s="190"/>
      <c r="BCA20" s="190"/>
      <c r="BCB20" s="190"/>
      <c r="BCC20" s="192"/>
      <c r="BCD20" s="190"/>
      <c r="BCE20" s="190"/>
      <c r="BCF20" s="190"/>
      <c r="BCG20" s="190"/>
      <c r="BCH20" s="190"/>
      <c r="BCI20" s="199"/>
      <c r="BCJ20" s="190"/>
      <c r="BCK20" s="190"/>
      <c r="BCL20" s="190"/>
      <c r="BCM20" s="190"/>
      <c r="BCN20" s="190"/>
      <c r="BCO20" s="194"/>
      <c r="BCP20" s="189"/>
      <c r="BCQ20" s="190"/>
      <c r="BCR20" s="190"/>
      <c r="BCS20" s="190"/>
      <c r="BCT20" s="190"/>
      <c r="BCU20" s="191"/>
      <c r="BCV20" s="190"/>
      <c r="BCW20" s="190"/>
      <c r="BCX20" s="190"/>
      <c r="BCY20" s="190"/>
      <c r="BCZ20" s="190"/>
      <c r="BDA20" s="192"/>
      <c r="BDB20" s="190"/>
      <c r="BDC20" s="190"/>
      <c r="BDD20" s="190"/>
      <c r="BDE20" s="190"/>
      <c r="BDF20" s="190"/>
      <c r="BDG20" s="199"/>
      <c r="BDH20" s="190"/>
      <c r="BDI20" s="190"/>
      <c r="BDJ20" s="190"/>
      <c r="BDK20" s="190"/>
      <c r="BDL20" s="190"/>
      <c r="BDM20" s="192"/>
      <c r="BDN20" s="190"/>
      <c r="BDO20" s="190"/>
      <c r="BDP20" s="190"/>
      <c r="BDQ20" s="190"/>
      <c r="BDR20" s="190"/>
      <c r="BDS20" s="199"/>
      <c r="BDT20" s="190"/>
      <c r="BDU20" s="190"/>
      <c r="BDV20" s="190"/>
      <c r="BDW20" s="190"/>
      <c r="BDX20" s="190"/>
      <c r="BDY20" s="192"/>
      <c r="BDZ20" s="190"/>
      <c r="BEA20" s="190"/>
      <c r="BEB20" s="190"/>
      <c r="BEC20" s="190"/>
      <c r="BED20" s="196"/>
      <c r="BEE20" s="199"/>
      <c r="BEF20" s="190"/>
      <c r="BEG20" s="190"/>
      <c r="BEH20" s="190"/>
      <c r="BEI20" s="190"/>
      <c r="BEJ20" s="190"/>
      <c r="BEK20" s="192"/>
      <c r="BEL20" s="190"/>
      <c r="BEM20" s="190"/>
      <c r="BEN20" s="190"/>
      <c r="BEO20" s="190"/>
      <c r="BEP20" s="190"/>
      <c r="BEQ20" s="199"/>
      <c r="BER20" s="190"/>
      <c r="BES20" s="190"/>
      <c r="BET20" s="190"/>
      <c r="BEU20" s="190"/>
      <c r="BEV20" s="190"/>
      <c r="BEW20" s="194"/>
      <c r="BEX20" s="189"/>
      <c r="BEY20" s="190"/>
      <c r="BEZ20" s="190"/>
      <c r="BFA20" s="190"/>
      <c r="BFB20" s="190"/>
      <c r="BFC20" s="191"/>
      <c r="BFD20" s="190"/>
      <c r="BFE20" s="190"/>
      <c r="BFF20" s="190"/>
      <c r="BFG20" s="190"/>
      <c r="BFH20" s="190"/>
      <c r="BFI20" s="192"/>
      <c r="BFJ20" s="190"/>
      <c r="BFK20" s="190"/>
      <c r="BFL20" s="190"/>
      <c r="BFM20" s="190"/>
      <c r="BFN20" s="190"/>
      <c r="BFO20" s="199"/>
      <c r="BFP20" s="190"/>
      <c r="BFQ20" s="190"/>
      <c r="BFR20" s="190"/>
      <c r="BFS20" s="190"/>
      <c r="BFT20" s="190"/>
      <c r="BFU20" s="192"/>
      <c r="BFV20" s="190"/>
      <c r="BFW20" s="190"/>
      <c r="BFX20" s="190"/>
      <c r="BFY20" s="190"/>
      <c r="BFZ20" s="190"/>
      <c r="BGA20" s="199"/>
      <c r="BGB20" s="190"/>
      <c r="BGC20" s="190"/>
      <c r="BGD20" s="190"/>
      <c r="BGE20" s="190"/>
      <c r="BGF20" s="190"/>
      <c r="BGG20" s="192"/>
      <c r="BGH20" s="190"/>
      <c r="BGI20" s="190"/>
      <c r="BGJ20" s="190"/>
      <c r="BGK20" s="190"/>
      <c r="BGL20" s="196"/>
      <c r="BGM20" s="199"/>
      <c r="BGN20" s="190"/>
      <c r="BGO20" s="190"/>
      <c r="BGP20" s="190"/>
      <c r="BGQ20" s="190"/>
      <c r="BGR20" s="190"/>
      <c r="BGS20" s="192"/>
      <c r="BGT20" s="190"/>
      <c r="BGU20" s="190"/>
      <c r="BGV20" s="190"/>
      <c r="BGW20" s="190"/>
      <c r="BGX20" s="190"/>
      <c r="BGY20" s="199"/>
      <c r="BGZ20" s="190"/>
      <c r="BHA20" s="190"/>
      <c r="BHB20" s="190"/>
      <c r="BHC20" s="190"/>
      <c r="BHD20" s="190"/>
      <c r="BHE20" s="194"/>
      <c r="BHF20" s="187"/>
      <c r="BHG20" s="188"/>
      <c r="BHH20" s="188"/>
      <c r="BHI20" s="188"/>
      <c r="BHJ20" s="188"/>
      <c r="BHK20" s="188"/>
      <c r="BHL20" s="188"/>
      <c r="BHM20" s="188"/>
      <c r="BHN20" s="188"/>
      <c r="BHO20" s="188"/>
      <c r="BHP20" s="188"/>
      <c r="BHQ20" s="188"/>
      <c r="BHR20" s="188"/>
      <c r="BHS20" s="188"/>
      <c r="BHT20" s="188"/>
      <c r="BHU20" s="188"/>
      <c r="BHV20" s="188"/>
      <c r="BHW20" s="188"/>
      <c r="BHX20" s="188"/>
      <c r="BHY20" s="188"/>
      <c r="BHZ20" s="188"/>
      <c r="BIA20" s="188"/>
      <c r="BIB20" s="188"/>
      <c r="BIC20" s="188"/>
      <c r="BID20" s="188"/>
      <c r="BIE20" s="188"/>
      <c r="BIF20" s="188"/>
      <c r="BIG20" s="188"/>
      <c r="BIH20" s="188"/>
      <c r="BII20" s="188"/>
      <c r="BIJ20" s="188"/>
      <c r="BIK20" s="188"/>
      <c r="BIL20" s="188"/>
      <c r="BIM20" s="188"/>
      <c r="BIN20" s="188"/>
      <c r="BIO20" s="188"/>
      <c r="BIP20" s="188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230" t="s">
        <v>92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77"/>
      <c r="HG21" s="180"/>
      <c r="HH21" s="177"/>
      <c r="HI21" s="177"/>
      <c r="HJ21" s="177"/>
      <c r="HK21" s="177"/>
      <c r="HL21" s="177"/>
      <c r="HM21" s="179"/>
      <c r="HN21" s="177"/>
      <c r="HO21" s="177"/>
      <c r="HP21" s="177"/>
      <c r="HQ21" s="177"/>
      <c r="HR21" s="177"/>
      <c r="HS21" s="180"/>
      <c r="HT21" s="177"/>
      <c r="HU21" s="177"/>
      <c r="HV21" s="177"/>
      <c r="HW21" s="177"/>
      <c r="HX21" s="177"/>
      <c r="HY21" s="179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77"/>
      <c r="JA21" s="177"/>
      <c r="JB21" s="177"/>
      <c r="JC21" s="180"/>
      <c r="JD21" s="177"/>
      <c r="JE21" s="177"/>
      <c r="JF21" s="177"/>
      <c r="JG21" s="177"/>
      <c r="JH21" s="177"/>
      <c r="JI21" s="179"/>
      <c r="JJ21" s="177"/>
      <c r="JK21" s="177"/>
      <c r="JL21" s="177"/>
      <c r="JM21" s="177"/>
      <c r="JN21" s="177"/>
      <c r="JO21" s="180"/>
      <c r="JP21" s="177"/>
      <c r="JQ21" s="177"/>
      <c r="JR21" s="177"/>
      <c r="JS21" s="177"/>
      <c r="JT21" s="177"/>
      <c r="JU21" s="179"/>
      <c r="JV21" s="177"/>
      <c r="JW21" s="177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87"/>
      <c r="BHG21" s="188"/>
      <c r="BHH21" s="188"/>
      <c r="BHI21" s="188"/>
      <c r="BHJ21" s="188"/>
      <c r="BHK21" s="188"/>
      <c r="BHL21" s="188"/>
      <c r="BHM21" s="188"/>
      <c r="BHN21" s="188"/>
      <c r="BHO21" s="188"/>
      <c r="BHP21" s="188"/>
      <c r="BHQ21" s="188"/>
      <c r="BHR21" s="188"/>
      <c r="BHS21" s="188"/>
      <c r="BHT21" s="188"/>
      <c r="BHU21" s="188"/>
      <c r="BHV21" s="188"/>
      <c r="BHW21" s="188"/>
      <c r="BHX21" s="188"/>
      <c r="BHY21" s="188"/>
      <c r="BHZ21" s="188"/>
      <c r="BIA21" s="188"/>
      <c r="BIB21" s="188"/>
      <c r="BIC21" s="188"/>
      <c r="BID21" s="188"/>
      <c r="BIE21" s="188"/>
      <c r="BIF21" s="188"/>
      <c r="BIG21" s="188"/>
      <c r="BIH21" s="188"/>
      <c r="BII21" s="188"/>
      <c r="BIJ21" s="188"/>
      <c r="BIK21" s="188"/>
      <c r="BIL21" s="188"/>
      <c r="BIM21" s="188"/>
      <c r="BIN21" s="188"/>
      <c r="BIO21" s="188"/>
      <c r="BIP21" s="188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231"/>
      <c r="D22" s="120" t="str">
        <f t="shared" si="0"/>
        <v>2h 45 min</v>
      </c>
      <c r="E22" s="30">
        <v>33</v>
      </c>
      <c r="F22" s="195"/>
      <c r="G22" s="196"/>
      <c r="H22" s="196"/>
      <c r="I22" s="196"/>
      <c r="J22" s="196"/>
      <c r="K22" s="197"/>
      <c r="L22" s="196"/>
      <c r="M22" s="196"/>
      <c r="N22" s="196"/>
      <c r="O22" s="196"/>
      <c r="P22" s="196"/>
      <c r="Q22" s="198"/>
      <c r="R22" s="196"/>
      <c r="S22" s="196"/>
      <c r="T22" s="196"/>
      <c r="U22" s="196"/>
      <c r="V22" s="196"/>
      <c r="W22" s="199"/>
      <c r="X22" s="196"/>
      <c r="Y22" s="196"/>
      <c r="Z22" s="196"/>
      <c r="AA22" s="196"/>
      <c r="AB22" s="196"/>
      <c r="AC22" s="198"/>
      <c r="AD22" s="196"/>
      <c r="AE22" s="196"/>
      <c r="AF22" s="196"/>
      <c r="AG22" s="196"/>
      <c r="AH22" s="196"/>
      <c r="AI22" s="199"/>
      <c r="AJ22" s="196"/>
      <c r="AK22" s="196"/>
      <c r="AL22" s="196"/>
      <c r="AM22" s="196"/>
      <c r="AN22" s="196"/>
      <c r="AO22" s="198"/>
      <c r="AP22" s="196"/>
      <c r="AQ22" s="196"/>
      <c r="AR22" s="196"/>
      <c r="AS22" s="196"/>
      <c r="AT22" s="196"/>
      <c r="AU22" s="199"/>
      <c r="AV22" s="196"/>
      <c r="AW22" s="196"/>
      <c r="AX22" s="196"/>
      <c r="AY22" s="196"/>
      <c r="AZ22" s="196"/>
      <c r="BA22" s="198"/>
      <c r="BB22" s="196"/>
      <c r="BC22" s="196"/>
      <c r="BD22" s="196"/>
      <c r="BE22" s="196"/>
      <c r="BF22" s="196"/>
      <c r="BG22" s="199"/>
      <c r="BH22" s="196"/>
      <c r="BI22" s="196"/>
      <c r="BJ22" s="196"/>
      <c r="BK22" s="196"/>
      <c r="BL22" s="196"/>
      <c r="BM22" s="200"/>
      <c r="BN22" s="195"/>
      <c r="BO22" s="196"/>
      <c r="BP22" s="196"/>
      <c r="BQ22" s="196"/>
      <c r="BR22" s="196"/>
      <c r="BS22" s="197"/>
      <c r="BT22" s="196"/>
      <c r="BU22" s="196"/>
      <c r="BV22" s="196"/>
      <c r="BW22" s="196"/>
      <c r="BX22" s="196"/>
      <c r="BY22" s="198"/>
      <c r="BZ22" s="196"/>
      <c r="CA22" s="196"/>
      <c r="CB22" s="196"/>
      <c r="CC22" s="196"/>
      <c r="CD22" s="196"/>
      <c r="CE22" s="199"/>
      <c r="CF22" s="196"/>
      <c r="CG22" s="196"/>
      <c r="CH22" s="196"/>
      <c r="CI22" s="196"/>
      <c r="CJ22" s="196"/>
      <c r="CK22" s="198"/>
      <c r="CL22" s="196"/>
      <c r="CM22" s="196"/>
      <c r="CN22" s="196"/>
      <c r="CO22" s="196"/>
      <c r="CP22" s="196"/>
      <c r="CQ22" s="199"/>
      <c r="CR22" s="196"/>
      <c r="CS22" s="196"/>
      <c r="CT22" s="196"/>
      <c r="CU22" s="196"/>
      <c r="CV22" s="196"/>
      <c r="CW22" s="198"/>
      <c r="CX22" s="196"/>
      <c r="CY22" s="196"/>
      <c r="CZ22" s="196"/>
      <c r="DA22" s="196"/>
      <c r="DB22" s="196"/>
      <c r="DC22" s="199"/>
      <c r="DD22" s="196"/>
      <c r="DE22" s="196"/>
      <c r="DF22" s="196"/>
      <c r="DG22" s="196"/>
      <c r="DH22" s="196"/>
      <c r="DI22" s="198"/>
      <c r="DJ22" s="196"/>
      <c r="DK22" s="196"/>
      <c r="DL22" s="196"/>
      <c r="DM22" s="196"/>
      <c r="DN22" s="196"/>
      <c r="DO22" s="199"/>
      <c r="DP22" s="196"/>
      <c r="DQ22" s="196"/>
      <c r="DR22" s="196"/>
      <c r="DS22" s="196"/>
      <c r="DT22" s="196"/>
      <c r="DU22" s="200"/>
      <c r="DV22" s="195"/>
      <c r="DW22" s="196"/>
      <c r="DX22" s="196"/>
      <c r="DY22" s="196"/>
      <c r="DZ22" s="196"/>
      <c r="EA22" s="197"/>
      <c r="EB22" s="196"/>
      <c r="EC22" s="196"/>
      <c r="ED22" s="196"/>
      <c r="EE22" s="196"/>
      <c r="EF22" s="196"/>
      <c r="EG22" s="198"/>
      <c r="EH22" s="196"/>
      <c r="EI22" s="196"/>
      <c r="EJ22" s="196"/>
      <c r="EK22" s="196"/>
      <c r="EL22" s="196"/>
      <c r="EM22" s="199"/>
      <c r="EN22" s="196"/>
      <c r="EO22" s="196"/>
      <c r="EP22" s="196"/>
      <c r="EQ22" s="196"/>
      <c r="ER22" s="196"/>
      <c r="ES22" s="198"/>
      <c r="ET22" s="196"/>
      <c r="EU22" s="196"/>
      <c r="EV22" s="196"/>
      <c r="EW22" s="196"/>
      <c r="EX22" s="196"/>
      <c r="EY22" s="199"/>
      <c r="EZ22" s="196"/>
      <c r="FA22" s="196"/>
      <c r="FB22" s="196"/>
      <c r="FC22" s="196"/>
      <c r="FD22" s="196"/>
      <c r="FE22" s="198"/>
      <c r="FF22" s="207"/>
      <c r="FG22" s="207"/>
      <c r="FH22" s="196"/>
      <c r="FI22" s="196"/>
      <c r="FJ22" s="196"/>
      <c r="FK22" s="199"/>
      <c r="FL22" s="196"/>
      <c r="FM22" s="196"/>
      <c r="FN22" s="196"/>
      <c r="FO22" s="196"/>
      <c r="FP22" s="196"/>
      <c r="FQ22" s="198"/>
      <c r="FR22" s="196"/>
      <c r="FS22" s="196"/>
      <c r="FT22" s="196"/>
      <c r="FU22" s="196"/>
      <c r="FV22" s="196"/>
      <c r="FW22" s="199"/>
      <c r="FX22" s="196"/>
      <c r="FY22" s="196"/>
      <c r="FZ22" s="196"/>
      <c r="GA22" s="196"/>
      <c r="GB22" s="196"/>
      <c r="GC22" s="200"/>
      <c r="GD22" s="195"/>
      <c r="GE22" s="196"/>
      <c r="GF22" s="196"/>
      <c r="GG22" s="196"/>
      <c r="GH22" s="196"/>
      <c r="GI22" s="197"/>
      <c r="GJ22" s="196"/>
      <c r="GK22" s="196"/>
      <c r="GL22" s="196"/>
      <c r="GM22" s="196"/>
      <c r="GN22" s="196"/>
      <c r="GO22" s="198"/>
      <c r="GP22" s="196"/>
      <c r="GQ22" s="196"/>
      <c r="GR22" s="196"/>
      <c r="GS22" s="196"/>
      <c r="GT22" s="196"/>
      <c r="GU22" s="199"/>
      <c r="GV22" s="196"/>
      <c r="GW22" s="196"/>
      <c r="GX22" s="196"/>
      <c r="GY22" s="196"/>
      <c r="GZ22" s="196"/>
      <c r="HA22" s="198"/>
      <c r="HB22" s="207"/>
      <c r="HC22" s="207"/>
      <c r="HD22" s="207"/>
      <c r="HE22" s="207"/>
      <c r="HF22" s="207"/>
      <c r="HG22" s="205"/>
      <c r="HH22" s="207"/>
      <c r="HI22" s="207"/>
      <c r="HJ22" s="207"/>
      <c r="HK22" s="207"/>
      <c r="HL22" s="207"/>
      <c r="HM22" s="209"/>
      <c r="HN22" s="207"/>
      <c r="HO22" s="207"/>
      <c r="HP22" s="207"/>
      <c r="HQ22" s="207"/>
      <c r="HR22" s="207"/>
      <c r="HS22" s="205"/>
      <c r="HT22" s="207"/>
      <c r="HU22" s="207"/>
      <c r="HV22" s="207"/>
      <c r="HW22" s="207"/>
      <c r="HX22" s="196"/>
      <c r="HY22" s="198"/>
      <c r="HZ22" s="196"/>
      <c r="IA22" s="196"/>
      <c r="IB22" s="196"/>
      <c r="IC22" s="196"/>
      <c r="ID22" s="196"/>
      <c r="IE22" s="199"/>
      <c r="IF22" s="196"/>
      <c r="IG22" s="196"/>
      <c r="IH22" s="196"/>
      <c r="II22" s="196"/>
      <c r="IJ22" s="196"/>
      <c r="IK22" s="200"/>
      <c r="IL22" s="206"/>
      <c r="IM22" s="207"/>
      <c r="IN22" s="207"/>
      <c r="IO22" s="196"/>
      <c r="IP22" s="196"/>
      <c r="IQ22" s="197"/>
      <c r="IR22" s="196"/>
      <c r="IS22" s="196"/>
      <c r="IT22" s="196"/>
      <c r="IU22" s="196"/>
      <c r="IV22" s="196"/>
      <c r="IW22" s="198"/>
      <c r="IX22" s="196"/>
      <c r="IY22" s="196"/>
      <c r="IZ22" s="196"/>
      <c r="JA22" s="207"/>
      <c r="JB22" s="207"/>
      <c r="JC22" s="205"/>
      <c r="JD22" s="207"/>
      <c r="JE22" s="207"/>
      <c r="JF22" s="207"/>
      <c r="JG22" s="196"/>
      <c r="JH22" s="196"/>
      <c r="JI22" s="198"/>
      <c r="JJ22" s="196"/>
      <c r="JK22" s="196"/>
      <c r="JL22" s="196"/>
      <c r="JM22" s="196"/>
      <c r="JN22" s="196"/>
      <c r="JO22" s="199"/>
      <c r="JP22" s="196"/>
      <c r="JQ22" s="196"/>
      <c r="JR22" s="196"/>
      <c r="JS22" s="196"/>
      <c r="JT22" s="196"/>
      <c r="JU22" s="198"/>
      <c r="JV22" s="196"/>
      <c r="JW22" s="196"/>
      <c r="JX22" s="196"/>
      <c r="JY22" s="196"/>
      <c r="JZ22" s="196"/>
      <c r="KA22" s="199"/>
      <c r="KB22" s="196"/>
      <c r="KC22" s="196"/>
      <c r="KD22" s="196"/>
      <c r="KE22" s="196"/>
      <c r="KF22" s="196"/>
      <c r="KG22" s="198"/>
      <c r="KH22" s="196"/>
      <c r="KI22" s="196"/>
      <c r="KJ22" s="196"/>
      <c r="KK22" s="196"/>
      <c r="KL22" s="196"/>
      <c r="KM22" s="199"/>
      <c r="KN22" s="196"/>
      <c r="KO22" s="196"/>
      <c r="KP22" s="196"/>
      <c r="KQ22" s="196"/>
      <c r="KR22" s="196"/>
      <c r="KS22" s="200"/>
      <c r="KT22" s="195"/>
      <c r="KU22" s="196"/>
      <c r="KV22" s="196"/>
      <c r="KW22" s="196"/>
      <c r="KX22" s="196"/>
      <c r="KY22" s="197"/>
      <c r="KZ22" s="196"/>
      <c r="LA22" s="196"/>
      <c r="LB22" s="196"/>
      <c r="LC22" s="196"/>
      <c r="LD22" s="196"/>
      <c r="LE22" s="198"/>
      <c r="LF22" s="196"/>
      <c r="LG22" s="196"/>
      <c r="LH22" s="196"/>
      <c r="LI22" s="196"/>
      <c r="LJ22" s="196"/>
      <c r="LK22" s="199"/>
      <c r="LL22" s="196"/>
      <c r="LM22" s="196"/>
      <c r="LN22" s="196"/>
      <c r="LO22" s="196"/>
      <c r="LP22" s="196"/>
      <c r="LQ22" s="198"/>
      <c r="LR22" s="196"/>
      <c r="LS22" s="196"/>
      <c r="LT22" s="196"/>
      <c r="LU22" s="196"/>
      <c r="LV22" s="196"/>
      <c r="LW22" s="199"/>
      <c r="LX22" s="196"/>
      <c r="LY22" s="196"/>
      <c r="LZ22" s="196"/>
      <c r="MA22" s="196"/>
      <c r="MB22" s="196"/>
      <c r="MC22" s="198"/>
      <c r="MD22" s="196"/>
      <c r="ME22" s="196"/>
      <c r="MF22" s="196"/>
      <c r="MG22" s="196"/>
      <c r="MH22" s="196"/>
      <c r="MI22" s="199"/>
      <c r="MJ22" s="196"/>
      <c r="MK22" s="196"/>
      <c r="ML22" s="196"/>
      <c r="MM22" s="196"/>
      <c r="MN22" s="196"/>
      <c r="MO22" s="198"/>
      <c r="MP22" s="196"/>
      <c r="MQ22" s="196"/>
      <c r="MR22" s="196"/>
      <c r="MS22" s="196"/>
      <c r="MT22" s="196"/>
      <c r="MU22" s="199"/>
      <c r="MV22" s="196"/>
      <c r="MW22" s="196"/>
      <c r="MX22" s="196"/>
      <c r="MY22" s="196"/>
      <c r="MZ22" s="196"/>
      <c r="NA22" s="200"/>
      <c r="NB22" s="195"/>
      <c r="NC22" s="196"/>
      <c r="ND22" s="196"/>
      <c r="NE22" s="196"/>
      <c r="NF22" s="196"/>
      <c r="NG22" s="197"/>
      <c r="NH22" s="196"/>
      <c r="NI22" s="196"/>
      <c r="NJ22" s="196"/>
      <c r="NK22" s="196"/>
      <c r="NL22" s="196"/>
      <c r="NM22" s="198"/>
      <c r="NN22" s="196"/>
      <c r="NO22" s="196"/>
      <c r="NP22" s="196"/>
      <c r="NQ22" s="196"/>
      <c r="NR22" s="196"/>
      <c r="NS22" s="199"/>
      <c r="NT22" s="196"/>
      <c r="NU22" s="196"/>
      <c r="NV22" s="196"/>
      <c r="NW22" s="196"/>
      <c r="NX22" s="196"/>
      <c r="NY22" s="198"/>
      <c r="NZ22" s="196"/>
      <c r="OA22" s="196"/>
      <c r="OB22" s="196"/>
      <c r="OC22" s="196"/>
      <c r="OD22" s="196"/>
      <c r="OE22" s="199"/>
      <c r="OF22" s="196"/>
      <c r="OG22" s="196"/>
      <c r="OH22" s="196"/>
      <c r="OI22" s="196"/>
      <c r="OJ22" s="196"/>
      <c r="OK22" s="198"/>
      <c r="OL22" s="196"/>
      <c r="OM22" s="196"/>
      <c r="ON22" s="196"/>
      <c r="OO22" s="196"/>
      <c r="OP22" s="196"/>
      <c r="OQ22" s="199"/>
      <c r="OR22" s="196"/>
      <c r="OS22" s="196"/>
      <c r="OT22" s="196"/>
      <c r="OU22" s="196"/>
      <c r="OV22" s="196"/>
      <c r="OW22" s="198"/>
      <c r="OX22" s="196"/>
      <c r="OY22" s="196"/>
      <c r="OZ22" s="196"/>
      <c r="PA22" s="196"/>
      <c r="PB22" s="196"/>
      <c r="PC22" s="199"/>
      <c r="PD22" s="196"/>
      <c r="PE22" s="196"/>
      <c r="PF22" s="196"/>
      <c r="PG22" s="196"/>
      <c r="PH22" s="196"/>
      <c r="PI22" s="200"/>
      <c r="PJ22" s="195"/>
      <c r="PK22" s="196"/>
      <c r="PL22" s="196"/>
      <c r="PM22" s="196"/>
      <c r="PN22" s="196"/>
      <c r="PO22" s="197"/>
      <c r="PP22" s="196"/>
      <c r="PQ22" s="196"/>
      <c r="PR22" s="196"/>
      <c r="PS22" s="196"/>
      <c r="PT22" s="196"/>
      <c r="PU22" s="198"/>
      <c r="PV22" s="196"/>
      <c r="PW22" s="196"/>
      <c r="PX22" s="196"/>
      <c r="PY22" s="196"/>
      <c r="PZ22" s="196"/>
      <c r="QA22" s="199"/>
      <c r="QB22" s="196"/>
      <c r="QC22" s="196"/>
      <c r="QD22" s="196"/>
      <c r="QE22" s="196"/>
      <c r="QF22" s="196"/>
      <c r="QG22" s="198"/>
      <c r="QH22" s="196"/>
      <c r="QI22" s="196"/>
      <c r="QJ22" s="196"/>
      <c r="QK22" s="196"/>
      <c r="QL22" s="196"/>
      <c r="QM22" s="199"/>
      <c r="QN22" s="196"/>
      <c r="QO22" s="196"/>
      <c r="QP22" s="196"/>
      <c r="QQ22" s="196"/>
      <c r="QR22" s="196"/>
      <c r="QS22" s="198"/>
      <c r="QT22" s="196"/>
      <c r="QU22" s="196"/>
      <c r="QV22" s="196"/>
      <c r="QW22" s="196"/>
      <c r="QX22" s="196"/>
      <c r="QY22" s="199"/>
      <c r="QZ22" s="196"/>
      <c r="RA22" s="196"/>
      <c r="RB22" s="196"/>
      <c r="RC22" s="196"/>
      <c r="RD22" s="196"/>
      <c r="RE22" s="198"/>
      <c r="RF22" s="196"/>
      <c r="RG22" s="196"/>
      <c r="RH22" s="196"/>
      <c r="RI22" s="196"/>
      <c r="RJ22" s="196"/>
      <c r="RK22" s="199"/>
      <c r="RL22" s="196"/>
      <c r="RM22" s="196"/>
      <c r="RN22" s="196"/>
      <c r="RO22" s="196"/>
      <c r="RP22" s="196"/>
      <c r="RQ22" s="200"/>
      <c r="RR22" s="195"/>
      <c r="RS22" s="196"/>
      <c r="RT22" s="196"/>
      <c r="RU22" s="196"/>
      <c r="RV22" s="196"/>
      <c r="RW22" s="197"/>
      <c r="RX22" s="196"/>
      <c r="RY22" s="196"/>
      <c r="RZ22" s="196"/>
      <c r="SA22" s="196"/>
      <c r="SB22" s="196"/>
      <c r="SC22" s="198"/>
      <c r="SD22" s="196"/>
      <c r="SE22" s="196"/>
      <c r="SF22" s="196"/>
      <c r="SG22" s="196"/>
      <c r="SH22" s="196"/>
      <c r="SI22" s="199"/>
      <c r="SJ22" s="196"/>
      <c r="SK22" s="196"/>
      <c r="SL22" s="196"/>
      <c r="SM22" s="196"/>
      <c r="SN22" s="196"/>
      <c r="SO22" s="198"/>
      <c r="SP22" s="196"/>
      <c r="SQ22" s="196"/>
      <c r="SR22" s="196"/>
      <c r="SS22" s="196"/>
      <c r="ST22" s="196"/>
      <c r="SU22" s="199"/>
      <c r="SV22" s="196"/>
      <c r="SW22" s="196"/>
      <c r="SX22" s="196"/>
      <c r="SY22" s="196"/>
      <c r="SZ22" s="196"/>
      <c r="TA22" s="198"/>
      <c r="TB22" s="196"/>
      <c r="TC22" s="196"/>
      <c r="TD22" s="196"/>
      <c r="TE22" s="196"/>
      <c r="TF22" s="196"/>
      <c r="TG22" s="199"/>
      <c r="TH22" s="196"/>
      <c r="TI22" s="196"/>
      <c r="TJ22" s="196"/>
      <c r="TK22" s="196"/>
      <c r="TL22" s="196"/>
      <c r="TM22" s="198"/>
      <c r="TN22" s="196"/>
      <c r="TO22" s="196"/>
      <c r="TP22" s="196"/>
      <c r="TQ22" s="196"/>
      <c r="TR22" s="196"/>
      <c r="TS22" s="199"/>
      <c r="TT22" s="196"/>
      <c r="TU22" s="196"/>
      <c r="TV22" s="196"/>
      <c r="TW22" s="196"/>
      <c r="TX22" s="196"/>
      <c r="TY22" s="200"/>
      <c r="TZ22" s="195"/>
      <c r="UA22" s="196"/>
      <c r="UB22" s="196"/>
      <c r="UC22" s="196"/>
      <c r="UD22" s="196"/>
      <c r="UE22" s="197"/>
      <c r="UF22" s="196"/>
      <c r="UG22" s="196"/>
      <c r="UH22" s="196"/>
      <c r="UI22" s="196"/>
      <c r="UJ22" s="196"/>
      <c r="UK22" s="198"/>
      <c r="UL22" s="196"/>
      <c r="UM22" s="196"/>
      <c r="UN22" s="196"/>
      <c r="UO22" s="196"/>
      <c r="UP22" s="196"/>
      <c r="UQ22" s="199"/>
      <c r="UR22" s="196"/>
      <c r="US22" s="196"/>
      <c r="UT22" s="196"/>
      <c r="UU22" s="196"/>
      <c r="UV22" s="196"/>
      <c r="UW22" s="198"/>
      <c r="UX22" s="196"/>
      <c r="UY22" s="196"/>
      <c r="UZ22" s="196"/>
      <c r="VA22" s="196"/>
      <c r="VB22" s="196"/>
      <c r="VC22" s="199"/>
      <c r="VD22" s="196"/>
      <c r="VE22" s="196"/>
      <c r="VF22" s="196"/>
      <c r="VG22" s="196"/>
      <c r="VH22" s="196"/>
      <c r="VI22" s="198"/>
      <c r="VJ22" s="196"/>
      <c r="VK22" s="196"/>
      <c r="VL22" s="196"/>
      <c r="VM22" s="196"/>
      <c r="VN22" s="196"/>
      <c r="VO22" s="199"/>
      <c r="VP22" s="196"/>
      <c r="VQ22" s="196"/>
      <c r="VR22" s="196"/>
      <c r="VS22" s="196"/>
      <c r="VT22" s="196"/>
      <c r="VU22" s="198"/>
      <c r="VV22" s="196"/>
      <c r="VW22" s="196"/>
      <c r="VX22" s="196"/>
      <c r="VY22" s="196"/>
      <c r="VZ22" s="196"/>
      <c r="WA22" s="199"/>
      <c r="WB22" s="196"/>
      <c r="WC22" s="196"/>
      <c r="WD22" s="196"/>
      <c r="WE22" s="196"/>
      <c r="WF22" s="196"/>
      <c r="WG22" s="200"/>
      <c r="WH22" s="195"/>
      <c r="WI22" s="196"/>
      <c r="WJ22" s="196"/>
      <c r="WK22" s="196"/>
      <c r="WL22" s="196"/>
      <c r="WM22" s="197"/>
      <c r="WN22" s="196"/>
      <c r="WO22" s="196"/>
      <c r="WP22" s="196"/>
      <c r="WQ22" s="196"/>
      <c r="WR22" s="196"/>
      <c r="WS22" s="198"/>
      <c r="WT22" s="196"/>
      <c r="WU22" s="196"/>
      <c r="WV22" s="196"/>
      <c r="WW22" s="196"/>
      <c r="WX22" s="196"/>
      <c r="WY22" s="199"/>
      <c r="WZ22" s="196"/>
      <c r="XA22" s="196"/>
      <c r="XB22" s="196"/>
      <c r="XC22" s="196"/>
      <c r="XD22" s="196"/>
      <c r="XE22" s="198"/>
      <c r="XF22" s="196"/>
      <c r="XG22" s="196"/>
      <c r="XH22" s="196"/>
      <c r="XI22" s="196"/>
      <c r="XJ22" s="196"/>
      <c r="XK22" s="199"/>
      <c r="XL22" s="196"/>
      <c r="XM22" s="196"/>
      <c r="XN22" s="196"/>
      <c r="XO22" s="196"/>
      <c r="XP22" s="196"/>
      <c r="XQ22" s="198"/>
      <c r="XR22" s="196"/>
      <c r="XS22" s="196"/>
      <c r="XT22" s="196"/>
      <c r="XU22" s="196"/>
      <c r="XV22" s="196"/>
      <c r="XW22" s="199"/>
      <c r="XX22" s="196"/>
      <c r="XY22" s="196"/>
      <c r="XZ22" s="196"/>
      <c r="YA22" s="196"/>
      <c r="YB22" s="196"/>
      <c r="YC22" s="198"/>
      <c r="YD22" s="196"/>
      <c r="YE22" s="196"/>
      <c r="YF22" s="196"/>
      <c r="YG22" s="196"/>
      <c r="YH22" s="196"/>
      <c r="YI22" s="199"/>
      <c r="YJ22" s="196"/>
      <c r="YK22" s="196"/>
      <c r="YL22" s="196"/>
      <c r="YM22" s="196"/>
      <c r="YN22" s="196"/>
      <c r="YO22" s="200"/>
      <c r="YP22" s="195"/>
      <c r="YQ22" s="196"/>
      <c r="YR22" s="196"/>
      <c r="YS22" s="196"/>
      <c r="YT22" s="196"/>
      <c r="YU22" s="197"/>
      <c r="YV22" s="196"/>
      <c r="YW22" s="196"/>
      <c r="YX22" s="196"/>
      <c r="YY22" s="196"/>
      <c r="YZ22" s="196"/>
      <c r="ZA22" s="198"/>
      <c r="ZB22" s="196"/>
      <c r="ZC22" s="196"/>
      <c r="ZD22" s="196"/>
      <c r="ZE22" s="196"/>
      <c r="ZF22" s="196"/>
      <c r="ZG22" s="199"/>
      <c r="ZH22" s="196"/>
      <c r="ZI22" s="196"/>
      <c r="ZJ22" s="196"/>
      <c r="ZK22" s="196"/>
      <c r="ZL22" s="196"/>
      <c r="ZM22" s="198"/>
      <c r="ZN22" s="196"/>
      <c r="ZO22" s="196"/>
      <c r="ZP22" s="196"/>
      <c r="ZQ22" s="196"/>
      <c r="ZR22" s="196"/>
      <c r="ZS22" s="199"/>
      <c r="ZT22" s="196"/>
      <c r="ZU22" s="196"/>
      <c r="ZV22" s="196"/>
      <c r="ZW22" s="196"/>
      <c r="ZX22" s="196"/>
      <c r="ZY22" s="198"/>
      <c r="ZZ22" s="196"/>
      <c r="AAA22" s="196"/>
      <c r="AAB22" s="196"/>
      <c r="AAC22" s="196"/>
      <c r="AAD22" s="196"/>
      <c r="AAE22" s="199"/>
      <c r="AAF22" s="196"/>
      <c r="AAG22" s="196"/>
      <c r="AAH22" s="196"/>
      <c r="AAI22" s="196"/>
      <c r="AAJ22" s="196"/>
      <c r="AAK22" s="198"/>
      <c r="AAL22" s="196"/>
      <c r="AAM22" s="196"/>
      <c r="AAN22" s="196"/>
      <c r="AAO22" s="196"/>
      <c r="AAP22" s="196"/>
      <c r="AAQ22" s="199"/>
      <c r="AAR22" s="196"/>
      <c r="AAS22" s="196"/>
      <c r="AAT22" s="196"/>
      <c r="AAU22" s="196"/>
      <c r="AAV22" s="196"/>
      <c r="AAW22" s="200"/>
      <c r="AAX22" s="195"/>
      <c r="AAY22" s="196"/>
      <c r="AAZ22" s="196"/>
      <c r="ABA22" s="196"/>
      <c r="ABB22" s="196"/>
      <c r="ABC22" s="197"/>
      <c r="ABD22" s="196"/>
      <c r="ABE22" s="196"/>
      <c r="ABF22" s="196"/>
      <c r="ABG22" s="196"/>
      <c r="ABH22" s="196"/>
      <c r="ABI22" s="198"/>
      <c r="ABJ22" s="196"/>
      <c r="ABK22" s="196"/>
      <c r="ABL22" s="196"/>
      <c r="ABM22" s="196"/>
      <c r="ABN22" s="196"/>
      <c r="ABO22" s="199"/>
      <c r="ABP22" s="196"/>
      <c r="ABQ22" s="196"/>
      <c r="ABR22" s="196"/>
      <c r="ABS22" s="196"/>
      <c r="ABT22" s="196"/>
      <c r="ABU22" s="198"/>
      <c r="ABV22" s="196"/>
      <c r="ABW22" s="196"/>
      <c r="ABX22" s="196"/>
      <c r="ABY22" s="196"/>
      <c r="ABZ22" s="196"/>
      <c r="ACA22" s="199"/>
      <c r="ACB22" s="196"/>
      <c r="ACC22" s="196"/>
      <c r="ACD22" s="196"/>
      <c r="ACE22" s="196"/>
      <c r="ACF22" s="196"/>
      <c r="ACG22" s="198"/>
      <c r="ACH22" s="196"/>
      <c r="ACI22" s="196"/>
      <c r="ACJ22" s="196"/>
      <c r="ACK22" s="196"/>
      <c r="ACL22" s="196"/>
      <c r="ACM22" s="199"/>
      <c r="ACN22" s="196"/>
      <c r="ACO22" s="196"/>
      <c r="ACP22" s="196"/>
      <c r="ACQ22" s="196"/>
      <c r="ACR22" s="196"/>
      <c r="ACS22" s="198"/>
      <c r="ACT22" s="196"/>
      <c r="ACU22" s="196"/>
      <c r="ACV22" s="196"/>
      <c r="ACW22" s="196"/>
      <c r="ACX22" s="196"/>
      <c r="ACY22" s="199"/>
      <c r="ACZ22" s="196"/>
      <c r="ADA22" s="196"/>
      <c r="ADB22" s="196"/>
      <c r="ADC22" s="196"/>
      <c r="ADD22" s="196"/>
      <c r="ADE22" s="200"/>
      <c r="ADF22" s="195"/>
      <c r="ADG22" s="196"/>
      <c r="ADH22" s="196"/>
      <c r="ADI22" s="196"/>
      <c r="ADJ22" s="196"/>
      <c r="ADK22" s="197"/>
      <c r="ADL22" s="196"/>
      <c r="ADM22" s="196"/>
      <c r="ADN22" s="196"/>
      <c r="ADO22" s="196"/>
      <c r="ADP22" s="196"/>
      <c r="ADQ22" s="198"/>
      <c r="ADR22" s="196"/>
      <c r="ADS22" s="196"/>
      <c r="ADT22" s="196"/>
      <c r="ADU22" s="196"/>
      <c r="ADV22" s="196"/>
      <c r="ADW22" s="199"/>
      <c r="ADX22" s="196"/>
      <c r="ADY22" s="196"/>
      <c r="ADZ22" s="196"/>
      <c r="AEA22" s="196"/>
      <c r="AEB22" s="196"/>
      <c r="AEC22" s="198"/>
      <c r="AED22" s="196"/>
      <c r="AEE22" s="196"/>
      <c r="AEF22" s="196"/>
      <c r="AEG22" s="196"/>
      <c r="AEH22" s="196"/>
      <c r="AEI22" s="199"/>
      <c r="AEJ22" s="196"/>
      <c r="AEK22" s="196"/>
      <c r="AEL22" s="196"/>
      <c r="AEM22" s="196"/>
      <c r="AEN22" s="196"/>
      <c r="AEO22" s="198"/>
      <c r="AEP22" s="196"/>
      <c r="AEQ22" s="196"/>
      <c r="AER22" s="196"/>
      <c r="AES22" s="196"/>
      <c r="AET22" s="196"/>
      <c r="AEU22" s="199"/>
      <c r="AEV22" s="196"/>
      <c r="AEW22" s="196"/>
      <c r="AEX22" s="196"/>
      <c r="AEY22" s="196"/>
      <c r="AEZ22" s="196"/>
      <c r="AFA22" s="198"/>
      <c r="AFB22" s="196"/>
      <c r="AFC22" s="196"/>
      <c r="AFD22" s="196"/>
      <c r="AFE22" s="196"/>
      <c r="AFF22" s="196"/>
      <c r="AFG22" s="199"/>
      <c r="AFH22" s="196"/>
      <c r="AFI22" s="196"/>
      <c r="AFJ22" s="196"/>
      <c r="AFK22" s="196"/>
      <c r="AFL22" s="196"/>
      <c r="AFM22" s="200"/>
      <c r="AFN22" s="195"/>
      <c r="AFO22" s="196"/>
      <c r="AFP22" s="196"/>
      <c r="AFQ22" s="196"/>
      <c r="AFR22" s="196"/>
      <c r="AFS22" s="197"/>
      <c r="AFT22" s="196"/>
      <c r="AFU22" s="196"/>
      <c r="AFV22" s="196"/>
      <c r="AFW22" s="196"/>
      <c r="AFX22" s="196"/>
      <c r="AFY22" s="198"/>
      <c r="AFZ22" s="196"/>
      <c r="AGA22" s="196"/>
      <c r="AGB22" s="196"/>
      <c r="AGC22" s="196"/>
      <c r="AGD22" s="196"/>
      <c r="AGE22" s="199"/>
      <c r="AGF22" s="196"/>
      <c r="AGG22" s="196"/>
      <c r="AGH22" s="196"/>
      <c r="AGI22" s="196"/>
      <c r="AGJ22" s="196"/>
      <c r="AGK22" s="198"/>
      <c r="AGL22" s="196"/>
      <c r="AGM22" s="196"/>
      <c r="AGN22" s="196"/>
      <c r="AGO22" s="196"/>
      <c r="AGP22" s="196"/>
      <c r="AGQ22" s="199"/>
      <c r="AGR22" s="196"/>
      <c r="AGS22" s="196"/>
      <c r="AGT22" s="196"/>
      <c r="AGU22" s="196"/>
      <c r="AGV22" s="196"/>
      <c r="AGW22" s="198"/>
      <c r="AGX22" s="196"/>
      <c r="AGY22" s="196"/>
      <c r="AGZ22" s="196"/>
      <c r="AHA22" s="196"/>
      <c r="AHB22" s="196"/>
      <c r="AHC22" s="199"/>
      <c r="AHD22" s="196"/>
      <c r="AHE22" s="196"/>
      <c r="AHF22" s="196"/>
      <c r="AHG22" s="196"/>
      <c r="AHH22" s="196"/>
      <c r="AHI22" s="198"/>
      <c r="AHJ22" s="196"/>
      <c r="AHK22" s="196"/>
      <c r="AHL22" s="196"/>
      <c r="AHM22" s="196"/>
      <c r="AHN22" s="196"/>
      <c r="AHO22" s="199"/>
      <c r="AHP22" s="196"/>
      <c r="AHQ22" s="196"/>
      <c r="AHR22" s="196"/>
      <c r="AHS22" s="196"/>
      <c r="AHT22" s="196"/>
      <c r="AHU22" s="200"/>
      <c r="AHV22" s="195"/>
      <c r="AHW22" s="196"/>
      <c r="AHX22" s="196"/>
      <c r="AHY22" s="196"/>
      <c r="AHZ22" s="196"/>
      <c r="AIA22" s="197"/>
      <c r="AIB22" s="196"/>
      <c r="AIC22" s="196"/>
      <c r="AID22" s="196"/>
      <c r="AIE22" s="196"/>
      <c r="AIF22" s="196"/>
      <c r="AIG22" s="198"/>
      <c r="AIH22" s="196"/>
      <c r="AII22" s="196"/>
      <c r="AIJ22" s="196"/>
      <c r="AIK22" s="196"/>
      <c r="AIL22" s="196"/>
      <c r="AIM22" s="199"/>
      <c r="AIN22" s="196"/>
      <c r="AIO22" s="196"/>
      <c r="AIP22" s="196"/>
      <c r="AIQ22" s="196"/>
      <c r="AIR22" s="196"/>
      <c r="AIS22" s="198"/>
      <c r="AIT22" s="196"/>
      <c r="AIU22" s="196"/>
      <c r="AIV22" s="196"/>
      <c r="AIW22" s="196"/>
      <c r="AIX22" s="196"/>
      <c r="AIY22" s="199"/>
      <c r="AIZ22" s="196"/>
      <c r="AJA22" s="196"/>
      <c r="AJB22" s="196"/>
      <c r="AJC22" s="196"/>
      <c r="AJD22" s="196"/>
      <c r="AJE22" s="198"/>
      <c r="AJF22" s="196"/>
      <c r="AJG22" s="196"/>
      <c r="AJH22" s="196"/>
      <c r="AJI22" s="196"/>
      <c r="AJJ22" s="196"/>
      <c r="AJK22" s="199"/>
      <c r="AJL22" s="196"/>
      <c r="AJM22" s="196"/>
      <c r="AJN22" s="196"/>
      <c r="AJO22" s="196"/>
      <c r="AJP22" s="196"/>
      <c r="AJQ22" s="198"/>
      <c r="AJR22" s="196"/>
      <c r="AJS22" s="196"/>
      <c r="AJT22" s="196"/>
      <c r="AJU22" s="196"/>
      <c r="AJV22" s="196"/>
      <c r="AJW22" s="199"/>
      <c r="AJX22" s="196"/>
      <c r="AJY22" s="196"/>
      <c r="AJZ22" s="196"/>
      <c r="AKA22" s="196"/>
      <c r="AKB22" s="196"/>
      <c r="AKC22" s="200"/>
      <c r="AKD22" s="195"/>
      <c r="AKE22" s="196"/>
      <c r="AKF22" s="196"/>
      <c r="AKG22" s="196"/>
      <c r="AKH22" s="196"/>
      <c r="AKI22" s="197"/>
      <c r="AKJ22" s="196"/>
      <c r="AKK22" s="196"/>
      <c r="AKL22" s="196"/>
      <c r="AKM22" s="196"/>
      <c r="AKN22" s="196"/>
      <c r="AKO22" s="198"/>
      <c r="AKP22" s="196"/>
      <c r="AKQ22" s="196"/>
      <c r="AKR22" s="196"/>
      <c r="AKS22" s="196"/>
      <c r="AKT22" s="196"/>
      <c r="AKU22" s="199"/>
      <c r="AKV22" s="196"/>
      <c r="AKW22" s="196"/>
      <c r="AKX22" s="196"/>
      <c r="AKY22" s="196"/>
      <c r="AKZ22" s="196"/>
      <c r="ALA22" s="198"/>
      <c r="ALB22" s="196"/>
      <c r="ALC22" s="196"/>
      <c r="ALD22" s="196"/>
      <c r="ALE22" s="196"/>
      <c r="ALF22" s="196"/>
      <c r="ALG22" s="199"/>
      <c r="ALH22" s="196"/>
      <c r="ALI22" s="196"/>
      <c r="ALJ22" s="196"/>
      <c r="ALK22" s="196"/>
      <c r="ALL22" s="196"/>
      <c r="ALM22" s="198"/>
      <c r="ALN22" s="196"/>
      <c r="ALO22" s="196"/>
      <c r="ALP22" s="196"/>
      <c r="ALQ22" s="196"/>
      <c r="ALR22" s="196"/>
      <c r="ALS22" s="199"/>
      <c r="ALT22" s="196"/>
      <c r="ALU22" s="196"/>
      <c r="ALV22" s="196"/>
      <c r="ALW22" s="196"/>
      <c r="ALX22" s="196"/>
      <c r="ALY22" s="198"/>
      <c r="ALZ22" s="196"/>
      <c r="AMA22" s="196"/>
      <c r="AMB22" s="196"/>
      <c r="AMC22" s="196"/>
      <c r="AMD22" s="196"/>
      <c r="AME22" s="199"/>
      <c r="AMF22" s="196"/>
      <c r="AMG22" s="196"/>
      <c r="AMH22" s="196"/>
      <c r="AMI22" s="196"/>
      <c r="AMJ22" s="196"/>
      <c r="AMK22" s="200"/>
      <c r="AML22" s="195"/>
      <c r="AMM22" s="196"/>
      <c r="AMN22" s="196"/>
      <c r="AMO22" s="196"/>
      <c r="AMP22" s="196"/>
      <c r="AMQ22" s="197"/>
      <c r="AMR22" s="196"/>
      <c r="AMS22" s="196"/>
      <c r="AMT22" s="196"/>
      <c r="AMU22" s="196"/>
      <c r="AMV22" s="196"/>
      <c r="AMW22" s="198"/>
      <c r="AMX22" s="196"/>
      <c r="AMY22" s="196"/>
      <c r="AMZ22" s="196"/>
      <c r="ANA22" s="196"/>
      <c r="ANB22" s="196"/>
      <c r="ANC22" s="199"/>
      <c r="AND22" s="196"/>
      <c r="ANE22" s="196"/>
      <c r="ANF22" s="196"/>
      <c r="ANG22" s="196"/>
      <c r="ANH22" s="196"/>
      <c r="ANI22" s="198"/>
      <c r="ANJ22" s="196"/>
      <c r="ANK22" s="196"/>
      <c r="ANL22" s="196"/>
      <c r="ANM22" s="196"/>
      <c r="ANN22" s="196"/>
      <c r="ANO22" s="199"/>
      <c r="ANP22" s="196"/>
      <c r="ANQ22" s="196"/>
      <c r="ANR22" s="196"/>
      <c r="ANS22" s="196"/>
      <c r="ANT22" s="196"/>
      <c r="ANU22" s="198"/>
      <c r="ANV22" s="196"/>
      <c r="ANW22" s="196"/>
      <c r="ANX22" s="196"/>
      <c r="ANY22" s="196"/>
      <c r="ANZ22" s="196"/>
      <c r="AOA22" s="199"/>
      <c r="AOB22" s="196"/>
      <c r="AOC22" s="196"/>
      <c r="AOD22" s="196"/>
      <c r="AOE22" s="196"/>
      <c r="AOF22" s="196"/>
      <c r="AOG22" s="198"/>
      <c r="AOH22" s="196"/>
      <c r="AOI22" s="196"/>
      <c r="AOJ22" s="196"/>
      <c r="AOK22" s="196"/>
      <c r="AOL22" s="196"/>
      <c r="AOM22" s="199"/>
      <c r="AON22" s="196"/>
      <c r="AOO22" s="196"/>
      <c r="AOP22" s="196"/>
      <c r="AOQ22" s="196"/>
      <c r="AOR22" s="196"/>
      <c r="AOS22" s="200"/>
      <c r="AOT22" s="195"/>
      <c r="AOU22" s="196"/>
      <c r="AOV22" s="196"/>
      <c r="AOW22" s="196"/>
      <c r="AOX22" s="196"/>
      <c r="AOY22" s="197"/>
      <c r="AOZ22" s="196"/>
      <c r="APA22" s="196"/>
      <c r="APB22" s="196"/>
      <c r="APC22" s="196"/>
      <c r="APD22" s="196"/>
      <c r="APE22" s="198"/>
      <c r="APF22" s="196"/>
      <c r="APG22" s="196"/>
      <c r="APH22" s="196"/>
      <c r="API22" s="196"/>
      <c r="APJ22" s="196"/>
      <c r="APK22" s="199"/>
      <c r="APL22" s="196"/>
      <c r="APM22" s="196"/>
      <c r="APN22" s="196"/>
      <c r="APO22" s="196"/>
      <c r="APP22" s="196"/>
      <c r="APQ22" s="198"/>
      <c r="APR22" s="196"/>
      <c r="APS22" s="196"/>
      <c r="APT22" s="196"/>
      <c r="APU22" s="196"/>
      <c r="APV22" s="196"/>
      <c r="APW22" s="199"/>
      <c r="APX22" s="196"/>
      <c r="APY22" s="196"/>
      <c r="APZ22" s="196"/>
      <c r="AQA22" s="196"/>
      <c r="AQB22" s="196"/>
      <c r="AQC22" s="198"/>
      <c r="AQD22" s="196"/>
      <c r="AQE22" s="196"/>
      <c r="AQF22" s="196"/>
      <c r="AQG22" s="196"/>
      <c r="AQH22" s="196"/>
      <c r="AQI22" s="199"/>
      <c r="AQJ22" s="196"/>
      <c r="AQK22" s="196"/>
      <c r="AQL22" s="196"/>
      <c r="AQM22" s="196"/>
      <c r="AQN22" s="196"/>
      <c r="AQO22" s="198"/>
      <c r="AQP22" s="196"/>
      <c r="AQQ22" s="196"/>
      <c r="AQR22" s="196"/>
      <c r="AQS22" s="196"/>
      <c r="AQT22" s="196"/>
      <c r="AQU22" s="199"/>
      <c r="AQV22" s="196"/>
      <c r="AQW22" s="196"/>
      <c r="AQX22" s="196"/>
      <c r="AQY22" s="196"/>
      <c r="AQZ22" s="196"/>
      <c r="ARA22" s="200"/>
      <c r="ARB22" s="195"/>
      <c r="ARC22" s="196"/>
      <c r="ARD22" s="196"/>
      <c r="ARE22" s="196"/>
      <c r="ARF22" s="196"/>
      <c r="ARG22" s="197"/>
      <c r="ARH22" s="196"/>
      <c r="ARI22" s="196"/>
      <c r="ARJ22" s="196"/>
      <c r="ARK22" s="196"/>
      <c r="ARL22" s="196"/>
      <c r="ARM22" s="198"/>
      <c r="ARN22" s="196"/>
      <c r="ARO22" s="196"/>
      <c r="ARP22" s="196"/>
      <c r="ARQ22" s="196"/>
      <c r="ARR22" s="196"/>
      <c r="ARS22" s="199"/>
      <c r="ART22" s="196"/>
      <c r="ARU22" s="196"/>
      <c r="ARV22" s="196"/>
      <c r="ARW22" s="196"/>
      <c r="ARX22" s="196"/>
      <c r="ARY22" s="198"/>
      <c r="ARZ22" s="196"/>
      <c r="ASA22" s="196"/>
      <c r="ASB22" s="196"/>
      <c r="ASC22" s="196"/>
      <c r="ASD22" s="196"/>
      <c r="ASE22" s="199"/>
      <c r="ASF22" s="196"/>
      <c r="ASG22" s="196"/>
      <c r="ASH22" s="196"/>
      <c r="ASI22" s="196"/>
      <c r="ASJ22" s="196"/>
      <c r="ASK22" s="198"/>
      <c r="ASL22" s="196"/>
      <c r="ASM22" s="196"/>
      <c r="ASN22" s="196"/>
      <c r="ASO22" s="196"/>
      <c r="ASP22" s="196"/>
      <c r="ASQ22" s="199"/>
      <c r="ASR22" s="196"/>
      <c r="ASS22" s="196"/>
      <c r="AST22" s="196"/>
      <c r="ASU22" s="196"/>
      <c r="ASV22" s="196"/>
      <c r="ASW22" s="198"/>
      <c r="ASX22" s="196"/>
      <c r="ASY22" s="196"/>
      <c r="ASZ22" s="196"/>
      <c r="ATA22" s="196"/>
      <c r="ATB22" s="196"/>
      <c r="ATC22" s="199"/>
      <c r="ATD22" s="196"/>
      <c r="ATE22" s="196"/>
      <c r="ATF22" s="196"/>
      <c r="ATG22" s="196"/>
      <c r="ATH22" s="196"/>
      <c r="ATI22" s="200"/>
      <c r="ATJ22" s="195"/>
      <c r="ATK22" s="196"/>
      <c r="ATL22" s="196"/>
      <c r="ATM22" s="196"/>
      <c r="ATN22" s="196"/>
      <c r="ATO22" s="197"/>
      <c r="ATP22" s="196"/>
      <c r="ATQ22" s="196"/>
      <c r="ATR22" s="196"/>
      <c r="ATS22" s="196"/>
      <c r="ATT22" s="196"/>
      <c r="ATU22" s="198"/>
      <c r="ATV22" s="196"/>
      <c r="ATW22" s="196"/>
      <c r="ATX22" s="196"/>
      <c r="ATY22" s="196"/>
      <c r="ATZ22" s="196"/>
      <c r="AUA22" s="199"/>
      <c r="AUB22" s="196"/>
      <c r="AUC22" s="196"/>
      <c r="AUD22" s="196"/>
      <c r="AUE22" s="196"/>
      <c r="AUF22" s="196"/>
      <c r="AUG22" s="198"/>
      <c r="AUH22" s="196"/>
      <c r="AUI22" s="196"/>
      <c r="AUJ22" s="196"/>
      <c r="AUK22" s="196"/>
      <c r="AUL22" s="196"/>
      <c r="AUM22" s="199"/>
      <c r="AUN22" s="196"/>
      <c r="AUO22" s="196"/>
      <c r="AUP22" s="196"/>
      <c r="AUQ22" s="196"/>
      <c r="AUR22" s="196"/>
      <c r="AUS22" s="198"/>
      <c r="AUT22" s="196"/>
      <c r="AUU22" s="196"/>
      <c r="AUV22" s="196"/>
      <c r="AUW22" s="196"/>
      <c r="AUX22" s="196"/>
      <c r="AUY22" s="199"/>
      <c r="AUZ22" s="196"/>
      <c r="AVA22" s="196"/>
      <c r="AVB22" s="196"/>
      <c r="AVC22" s="196"/>
      <c r="AVD22" s="196"/>
      <c r="AVE22" s="198"/>
      <c r="AVF22" s="196"/>
      <c r="AVG22" s="196"/>
      <c r="AVH22" s="196"/>
      <c r="AVI22" s="196"/>
      <c r="AVJ22" s="196"/>
      <c r="AVK22" s="199"/>
      <c r="AVL22" s="196"/>
      <c r="AVM22" s="196"/>
      <c r="AVN22" s="196"/>
      <c r="AVO22" s="196"/>
      <c r="AVP22" s="196"/>
      <c r="AVQ22" s="200"/>
      <c r="AVR22" s="195"/>
      <c r="AVS22" s="196"/>
      <c r="AVT22" s="196"/>
      <c r="AVU22" s="196"/>
      <c r="AVV22" s="196"/>
      <c r="AVW22" s="197"/>
      <c r="AVX22" s="196"/>
      <c r="AVY22" s="196"/>
      <c r="AVZ22" s="196"/>
      <c r="AWA22" s="196"/>
      <c r="AWB22" s="196"/>
      <c r="AWC22" s="198"/>
      <c r="AWD22" s="196"/>
      <c r="AWE22" s="196"/>
      <c r="AWF22" s="196"/>
      <c r="AWG22" s="196"/>
      <c r="AWH22" s="196"/>
      <c r="AWI22" s="199"/>
      <c r="AWJ22" s="196"/>
      <c r="AWK22" s="196"/>
      <c r="AWL22" s="196"/>
      <c r="AWM22" s="196"/>
      <c r="AWN22" s="196"/>
      <c r="AWO22" s="198"/>
      <c r="AWP22" s="196"/>
      <c r="AWQ22" s="196"/>
      <c r="AWR22" s="196"/>
      <c r="AWS22" s="196"/>
      <c r="AWT22" s="196"/>
      <c r="AWU22" s="199"/>
      <c r="AWV22" s="196"/>
      <c r="AWW22" s="196"/>
      <c r="AWX22" s="196"/>
      <c r="AWY22" s="196"/>
      <c r="AWZ22" s="196"/>
      <c r="AXA22" s="198"/>
      <c r="AXB22" s="196"/>
      <c r="AXC22" s="196"/>
      <c r="AXD22" s="196"/>
      <c r="AXE22" s="196"/>
      <c r="AXF22" s="196"/>
      <c r="AXG22" s="199"/>
      <c r="AXH22" s="196"/>
      <c r="AXI22" s="196"/>
      <c r="AXJ22" s="196"/>
      <c r="AXK22" s="196"/>
      <c r="AXL22" s="196"/>
      <c r="AXM22" s="198"/>
      <c r="AXN22" s="196"/>
      <c r="AXO22" s="196"/>
      <c r="AXP22" s="196"/>
      <c r="AXQ22" s="196"/>
      <c r="AXR22" s="196"/>
      <c r="AXS22" s="199"/>
      <c r="AXT22" s="196"/>
      <c r="AXU22" s="196"/>
      <c r="AXV22" s="196"/>
      <c r="AXW22" s="196"/>
      <c r="AXX22" s="196"/>
      <c r="AXY22" s="200"/>
      <c r="AXZ22" s="195"/>
      <c r="AYA22" s="196"/>
      <c r="AYB22" s="196"/>
      <c r="AYC22" s="196"/>
      <c r="AYD22" s="196"/>
      <c r="AYE22" s="197"/>
      <c r="AYF22" s="196"/>
      <c r="AYG22" s="196"/>
      <c r="AYH22" s="196"/>
      <c r="AYI22" s="196"/>
      <c r="AYJ22" s="196"/>
      <c r="AYK22" s="198"/>
      <c r="AYL22" s="196"/>
      <c r="AYM22" s="196"/>
      <c r="AYN22" s="196"/>
      <c r="AYO22" s="196"/>
      <c r="AYP22" s="196"/>
      <c r="AYQ22" s="199"/>
      <c r="AYR22" s="196"/>
      <c r="AYS22" s="196"/>
      <c r="AYT22" s="196"/>
      <c r="AYU22" s="196"/>
      <c r="AYV22" s="196"/>
      <c r="AYW22" s="198"/>
      <c r="AYX22" s="196"/>
      <c r="AYY22" s="196"/>
      <c r="AYZ22" s="196"/>
      <c r="AZA22" s="196"/>
      <c r="AZB22" s="196"/>
      <c r="AZC22" s="199"/>
      <c r="AZD22" s="196"/>
      <c r="AZE22" s="196"/>
      <c r="AZF22" s="196"/>
      <c r="AZG22" s="196"/>
      <c r="AZH22" s="196"/>
      <c r="AZI22" s="198"/>
      <c r="AZJ22" s="196"/>
      <c r="AZK22" s="196"/>
      <c r="AZL22" s="196"/>
      <c r="AZM22" s="196"/>
      <c r="AZN22" s="196"/>
      <c r="AZO22" s="199"/>
      <c r="AZP22" s="196"/>
      <c r="AZQ22" s="196"/>
      <c r="AZR22" s="196"/>
      <c r="AZS22" s="196"/>
      <c r="AZT22" s="196"/>
      <c r="AZU22" s="198"/>
      <c r="AZV22" s="196"/>
      <c r="AZW22" s="196"/>
      <c r="AZX22" s="196"/>
      <c r="AZY22" s="196"/>
      <c r="AZZ22" s="196"/>
      <c r="BAA22" s="199"/>
      <c r="BAB22" s="196"/>
      <c r="BAC22" s="196"/>
      <c r="BAD22" s="196"/>
      <c r="BAE22" s="196"/>
      <c r="BAF22" s="196"/>
      <c r="BAG22" s="200"/>
      <c r="BAH22" s="195"/>
      <c r="BAI22" s="196"/>
      <c r="BAJ22" s="196"/>
      <c r="BAK22" s="196"/>
      <c r="BAL22" s="196"/>
      <c r="BAM22" s="197"/>
      <c r="BAN22" s="196"/>
      <c r="BAO22" s="196"/>
      <c r="BAP22" s="196"/>
      <c r="BAQ22" s="196"/>
      <c r="BAR22" s="196"/>
      <c r="BAS22" s="198"/>
      <c r="BAT22" s="196"/>
      <c r="BAU22" s="196"/>
      <c r="BAV22" s="196"/>
      <c r="BAW22" s="196"/>
      <c r="BAX22" s="196"/>
      <c r="BAY22" s="199"/>
      <c r="BAZ22" s="196"/>
      <c r="BBA22" s="196"/>
      <c r="BBB22" s="196"/>
      <c r="BBC22" s="196"/>
      <c r="BBD22" s="196"/>
      <c r="BBE22" s="198"/>
      <c r="BBF22" s="196"/>
      <c r="BBG22" s="196"/>
      <c r="BBH22" s="196"/>
      <c r="BBI22" s="196"/>
      <c r="BBJ22" s="196"/>
      <c r="BBK22" s="199"/>
      <c r="BBL22" s="196"/>
      <c r="BBM22" s="196"/>
      <c r="BBN22" s="196"/>
      <c r="BBO22" s="196"/>
      <c r="BBP22" s="196"/>
      <c r="BBQ22" s="198"/>
      <c r="BBR22" s="196"/>
      <c r="BBS22" s="196"/>
      <c r="BBT22" s="196"/>
      <c r="BBU22" s="196"/>
      <c r="BBV22" s="196"/>
      <c r="BBW22" s="199"/>
      <c r="BBX22" s="196"/>
      <c r="BBY22" s="196"/>
      <c r="BBZ22" s="196"/>
      <c r="BCA22" s="196"/>
      <c r="BCB22" s="196"/>
      <c r="BCC22" s="198"/>
      <c r="BCD22" s="196"/>
      <c r="BCE22" s="196"/>
      <c r="BCF22" s="196"/>
      <c r="BCG22" s="196"/>
      <c r="BCH22" s="196"/>
      <c r="BCI22" s="199"/>
      <c r="BCJ22" s="196"/>
      <c r="BCK22" s="196"/>
      <c r="BCL22" s="196"/>
      <c r="BCM22" s="196"/>
      <c r="BCN22" s="196"/>
      <c r="BCO22" s="200"/>
      <c r="BCP22" s="195"/>
      <c r="BCQ22" s="196"/>
      <c r="BCR22" s="196"/>
      <c r="BCS22" s="196"/>
      <c r="BCT22" s="196"/>
      <c r="BCU22" s="197"/>
      <c r="BCV22" s="196"/>
      <c r="BCW22" s="196"/>
      <c r="BCX22" s="196"/>
      <c r="BCY22" s="196"/>
      <c r="BCZ22" s="196"/>
      <c r="BDA22" s="198"/>
      <c r="BDB22" s="196"/>
      <c r="BDC22" s="196"/>
      <c r="BDD22" s="196"/>
      <c r="BDE22" s="196"/>
      <c r="BDF22" s="196"/>
      <c r="BDG22" s="199"/>
      <c r="BDH22" s="196"/>
      <c r="BDI22" s="196"/>
      <c r="BDJ22" s="196"/>
      <c r="BDK22" s="196"/>
      <c r="BDL22" s="196"/>
      <c r="BDM22" s="198"/>
      <c r="BDN22" s="196"/>
      <c r="BDO22" s="196"/>
      <c r="BDP22" s="196"/>
      <c r="BDQ22" s="196"/>
      <c r="BDR22" s="196"/>
      <c r="BDS22" s="199"/>
      <c r="BDT22" s="196"/>
      <c r="BDU22" s="196"/>
      <c r="BDV22" s="196"/>
      <c r="BDW22" s="196"/>
      <c r="BDX22" s="196"/>
      <c r="BDY22" s="198"/>
      <c r="BDZ22" s="196"/>
      <c r="BEA22" s="196"/>
      <c r="BEB22" s="196"/>
      <c r="BEC22" s="196"/>
      <c r="BED22" s="196"/>
      <c r="BEE22" s="199"/>
      <c r="BEF22" s="196"/>
      <c r="BEG22" s="196"/>
      <c r="BEH22" s="196"/>
      <c r="BEI22" s="196"/>
      <c r="BEJ22" s="196"/>
      <c r="BEK22" s="198"/>
      <c r="BEL22" s="196"/>
      <c r="BEM22" s="196"/>
      <c r="BEN22" s="196"/>
      <c r="BEO22" s="196"/>
      <c r="BEP22" s="196"/>
      <c r="BEQ22" s="199"/>
      <c r="BER22" s="196"/>
      <c r="BES22" s="196"/>
      <c r="BET22" s="196"/>
      <c r="BEU22" s="196"/>
      <c r="BEV22" s="196"/>
      <c r="BEW22" s="200"/>
      <c r="BEX22" s="195"/>
      <c r="BEY22" s="196"/>
      <c r="BEZ22" s="196"/>
      <c r="BFA22" s="196"/>
      <c r="BFB22" s="196"/>
      <c r="BFC22" s="197"/>
      <c r="BFD22" s="196"/>
      <c r="BFE22" s="196"/>
      <c r="BFF22" s="196"/>
      <c r="BFG22" s="196"/>
      <c r="BFH22" s="196"/>
      <c r="BFI22" s="198"/>
      <c r="BFJ22" s="196"/>
      <c r="BFK22" s="196"/>
      <c r="BFL22" s="196"/>
      <c r="BFM22" s="196"/>
      <c r="BFN22" s="196"/>
      <c r="BFO22" s="199"/>
      <c r="BFP22" s="196"/>
      <c r="BFQ22" s="196"/>
      <c r="BFR22" s="196"/>
      <c r="BFS22" s="196"/>
      <c r="BFT22" s="196"/>
      <c r="BFU22" s="198"/>
      <c r="BFV22" s="196"/>
      <c r="BFW22" s="196"/>
      <c r="BFX22" s="196"/>
      <c r="BFY22" s="196"/>
      <c r="BFZ22" s="196"/>
      <c r="BGA22" s="199"/>
      <c r="BGB22" s="196"/>
      <c r="BGC22" s="196"/>
      <c r="BGD22" s="196"/>
      <c r="BGE22" s="196"/>
      <c r="BGF22" s="196"/>
      <c r="BGG22" s="198"/>
      <c r="BGH22" s="196"/>
      <c r="BGI22" s="196"/>
      <c r="BGJ22" s="196"/>
      <c r="BGK22" s="196"/>
      <c r="BGL22" s="196"/>
      <c r="BGM22" s="199"/>
      <c r="BGN22" s="196"/>
      <c r="BGO22" s="196"/>
      <c r="BGP22" s="196"/>
      <c r="BGQ22" s="196"/>
      <c r="BGR22" s="196"/>
      <c r="BGS22" s="198"/>
      <c r="BGT22" s="196"/>
      <c r="BGU22" s="196"/>
      <c r="BGV22" s="196"/>
      <c r="BGW22" s="196"/>
      <c r="BGX22" s="196"/>
      <c r="BGY22" s="199"/>
      <c r="BGZ22" s="196"/>
      <c r="BHA22" s="196"/>
      <c r="BHB22" s="196"/>
      <c r="BHC22" s="196"/>
      <c r="BHD22" s="196"/>
      <c r="BHE22" s="200"/>
      <c r="BHF22" s="187"/>
      <c r="BHG22" s="188"/>
      <c r="BHH22" s="188"/>
      <c r="BHI22" s="188"/>
      <c r="BHJ22" s="188"/>
      <c r="BHK22" s="188"/>
      <c r="BHL22" s="188"/>
      <c r="BHM22" s="188"/>
      <c r="BHN22" s="188"/>
      <c r="BHO22" s="188"/>
      <c r="BHP22" s="188"/>
      <c r="BHQ22" s="188"/>
      <c r="BHR22" s="188"/>
      <c r="BHS22" s="188"/>
      <c r="BHT22" s="188"/>
      <c r="BHU22" s="188"/>
      <c r="BHV22" s="188"/>
      <c r="BHW22" s="188"/>
      <c r="BHX22" s="188"/>
      <c r="BHY22" s="188"/>
      <c r="BHZ22" s="188"/>
      <c r="BIA22" s="188"/>
      <c r="BIB22" s="188"/>
      <c r="BIC22" s="188"/>
      <c r="BID22" s="188"/>
      <c r="BIE22" s="188"/>
      <c r="BIF22" s="188"/>
      <c r="BIG22" s="188"/>
      <c r="BIH22" s="188"/>
      <c r="BII22" s="188"/>
      <c r="BIJ22" s="188"/>
      <c r="BIK22" s="188"/>
      <c r="BIL22" s="188"/>
      <c r="BIM22" s="188"/>
      <c r="BIN22" s="188"/>
      <c r="BIO22" s="188"/>
      <c r="BIP22" s="188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230" t="s">
        <v>153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87"/>
      <c r="BHG23" s="188"/>
      <c r="BHH23" s="188"/>
      <c r="BHI23" s="188"/>
      <c r="BHJ23" s="188"/>
      <c r="BHK23" s="188"/>
      <c r="BHL23" s="188"/>
      <c r="BHM23" s="188"/>
      <c r="BHN23" s="188"/>
      <c r="BHO23" s="188"/>
      <c r="BHP23" s="188"/>
      <c r="BHQ23" s="188"/>
      <c r="BHR23" s="188"/>
      <c r="BHS23" s="188"/>
      <c r="BHT23" s="188"/>
      <c r="BHU23" s="188"/>
      <c r="BHV23" s="188"/>
      <c r="BHW23" s="188"/>
      <c r="BHX23" s="188"/>
      <c r="BHY23" s="188"/>
      <c r="BHZ23" s="188"/>
      <c r="BIA23" s="188"/>
      <c r="BIB23" s="188"/>
      <c r="BIC23" s="188"/>
      <c r="BID23" s="188"/>
      <c r="BIE23" s="188"/>
      <c r="BIF23" s="188"/>
      <c r="BIG23" s="188"/>
      <c r="BIH23" s="188"/>
      <c r="BII23" s="188"/>
      <c r="BIJ23" s="188"/>
      <c r="BIK23" s="188"/>
      <c r="BIL23" s="188"/>
      <c r="BIM23" s="188"/>
      <c r="BIN23" s="188"/>
      <c r="BIO23" s="188"/>
      <c r="BIP23" s="188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236"/>
      <c r="D24" s="120" t="str">
        <f t="shared" si="0"/>
        <v/>
      </c>
      <c r="E24" s="22">
        <v>0</v>
      </c>
      <c r="F24" s="189"/>
      <c r="G24" s="190"/>
      <c r="H24" s="190"/>
      <c r="I24" s="190"/>
      <c r="J24" s="190"/>
      <c r="K24" s="191"/>
      <c r="L24" s="190"/>
      <c r="M24" s="190"/>
      <c r="N24" s="190"/>
      <c r="O24" s="190"/>
      <c r="P24" s="190"/>
      <c r="Q24" s="192"/>
      <c r="R24" s="190"/>
      <c r="S24" s="190"/>
      <c r="T24" s="190"/>
      <c r="U24" s="190"/>
      <c r="V24" s="190"/>
      <c r="W24" s="193"/>
      <c r="X24" s="190"/>
      <c r="Y24" s="190"/>
      <c r="Z24" s="190"/>
      <c r="AA24" s="190"/>
      <c r="AB24" s="190"/>
      <c r="AC24" s="192"/>
      <c r="AD24" s="190"/>
      <c r="AE24" s="190"/>
      <c r="AF24" s="190"/>
      <c r="AG24" s="190"/>
      <c r="AH24" s="190"/>
      <c r="AI24" s="193"/>
      <c r="AJ24" s="190"/>
      <c r="AK24" s="190"/>
      <c r="AL24" s="190"/>
      <c r="AM24" s="190"/>
      <c r="AN24" s="190"/>
      <c r="AO24" s="192"/>
      <c r="AP24" s="190"/>
      <c r="AQ24" s="190"/>
      <c r="AR24" s="190"/>
      <c r="AS24" s="190"/>
      <c r="AT24" s="190"/>
      <c r="AU24" s="193"/>
      <c r="AV24" s="190"/>
      <c r="AW24" s="190"/>
      <c r="AX24" s="190"/>
      <c r="AY24" s="190"/>
      <c r="AZ24" s="190"/>
      <c r="BA24" s="192"/>
      <c r="BB24" s="190"/>
      <c r="BC24" s="190"/>
      <c r="BD24" s="190"/>
      <c r="BE24" s="190"/>
      <c r="BF24" s="190"/>
      <c r="BG24" s="193"/>
      <c r="BH24" s="190"/>
      <c r="BI24" s="190"/>
      <c r="BJ24" s="190"/>
      <c r="BK24" s="190"/>
      <c r="BL24" s="190"/>
      <c r="BM24" s="194"/>
      <c r="BN24" s="189"/>
      <c r="BO24" s="190"/>
      <c r="BP24" s="190"/>
      <c r="BQ24" s="190"/>
      <c r="BR24" s="190"/>
      <c r="BS24" s="191"/>
      <c r="BT24" s="190"/>
      <c r="BU24" s="190"/>
      <c r="BV24" s="190"/>
      <c r="BW24" s="190"/>
      <c r="BX24" s="190"/>
      <c r="BY24" s="192"/>
      <c r="BZ24" s="190"/>
      <c r="CA24" s="190"/>
      <c r="CB24" s="190"/>
      <c r="CC24" s="190"/>
      <c r="CD24" s="190"/>
      <c r="CE24" s="193"/>
      <c r="CF24" s="190"/>
      <c r="CG24" s="190"/>
      <c r="CH24" s="190"/>
      <c r="CI24" s="190"/>
      <c r="CJ24" s="190"/>
      <c r="CK24" s="192"/>
      <c r="CL24" s="190"/>
      <c r="CM24" s="190"/>
      <c r="CN24" s="190"/>
      <c r="CO24" s="190"/>
      <c r="CP24" s="190"/>
      <c r="CQ24" s="193"/>
      <c r="CR24" s="190"/>
      <c r="CS24" s="190"/>
      <c r="CT24" s="190"/>
      <c r="CU24" s="190"/>
      <c r="CV24" s="190"/>
      <c r="CW24" s="192"/>
      <c r="CX24" s="190"/>
      <c r="CY24" s="190"/>
      <c r="CZ24" s="190"/>
      <c r="DA24" s="190"/>
      <c r="DB24" s="190"/>
      <c r="DC24" s="193"/>
      <c r="DD24" s="190"/>
      <c r="DE24" s="190"/>
      <c r="DF24" s="190"/>
      <c r="DG24" s="190"/>
      <c r="DH24" s="190"/>
      <c r="DI24" s="192"/>
      <c r="DJ24" s="190"/>
      <c r="DK24" s="190"/>
      <c r="DL24" s="190"/>
      <c r="DM24" s="190"/>
      <c r="DN24" s="190"/>
      <c r="DO24" s="193"/>
      <c r="DP24" s="190"/>
      <c r="DQ24" s="190"/>
      <c r="DR24" s="190"/>
      <c r="DS24" s="190"/>
      <c r="DT24" s="190"/>
      <c r="DU24" s="194"/>
      <c r="DV24" s="189"/>
      <c r="DW24" s="190"/>
      <c r="DX24" s="190"/>
      <c r="DY24" s="190"/>
      <c r="DZ24" s="190"/>
      <c r="EA24" s="191"/>
      <c r="EB24" s="190"/>
      <c r="EC24" s="190"/>
      <c r="ED24" s="190"/>
      <c r="EE24" s="190"/>
      <c r="EF24" s="190"/>
      <c r="EG24" s="192"/>
      <c r="EH24" s="190"/>
      <c r="EI24" s="190"/>
      <c r="EJ24" s="190"/>
      <c r="EK24" s="190"/>
      <c r="EL24" s="190"/>
      <c r="EM24" s="193"/>
      <c r="EN24" s="190"/>
      <c r="EO24" s="190"/>
      <c r="EP24" s="190"/>
      <c r="EQ24" s="190"/>
      <c r="ER24" s="190"/>
      <c r="ES24" s="192"/>
      <c r="ET24" s="190"/>
      <c r="EU24" s="190"/>
      <c r="EV24" s="190"/>
      <c r="EW24" s="190"/>
      <c r="EX24" s="190"/>
      <c r="EY24" s="193"/>
      <c r="EZ24" s="190"/>
      <c r="FA24" s="190"/>
      <c r="FB24" s="190"/>
      <c r="FC24" s="190"/>
      <c r="FD24" s="190"/>
      <c r="FE24" s="192"/>
      <c r="FF24" s="190"/>
      <c r="FG24" s="190"/>
      <c r="FH24" s="190"/>
      <c r="FI24" s="190"/>
      <c r="FJ24" s="190"/>
      <c r="FK24" s="193"/>
      <c r="FL24" s="190"/>
      <c r="FM24" s="190"/>
      <c r="FN24" s="190"/>
      <c r="FO24" s="190"/>
      <c r="FP24" s="190"/>
      <c r="FQ24" s="192"/>
      <c r="FR24" s="190"/>
      <c r="FS24" s="190"/>
      <c r="FT24" s="190"/>
      <c r="FU24" s="190"/>
      <c r="FV24" s="190"/>
      <c r="FW24" s="193"/>
      <c r="FX24" s="190"/>
      <c r="FY24" s="190"/>
      <c r="FZ24" s="190"/>
      <c r="GA24" s="190"/>
      <c r="GB24" s="190"/>
      <c r="GC24" s="194"/>
      <c r="GD24" s="189"/>
      <c r="GE24" s="190"/>
      <c r="GF24" s="190"/>
      <c r="GG24" s="190"/>
      <c r="GH24" s="190"/>
      <c r="GI24" s="191"/>
      <c r="GJ24" s="190"/>
      <c r="GK24" s="190"/>
      <c r="GL24" s="190"/>
      <c r="GM24" s="190"/>
      <c r="GN24" s="190"/>
      <c r="GO24" s="192"/>
      <c r="GP24" s="190"/>
      <c r="GQ24" s="190"/>
      <c r="GR24" s="190"/>
      <c r="GS24" s="190"/>
      <c r="GT24" s="190"/>
      <c r="GU24" s="193"/>
      <c r="GV24" s="190"/>
      <c r="GW24" s="190"/>
      <c r="GX24" s="190"/>
      <c r="GY24" s="190"/>
      <c r="GZ24" s="190"/>
      <c r="HA24" s="192"/>
      <c r="HB24" s="190"/>
      <c r="HC24" s="190"/>
      <c r="HD24" s="190"/>
      <c r="HE24" s="190"/>
      <c r="HF24" s="190"/>
      <c r="HG24" s="193"/>
      <c r="HH24" s="190"/>
      <c r="HI24" s="190"/>
      <c r="HJ24" s="190"/>
      <c r="HK24" s="190"/>
      <c r="HL24" s="190"/>
      <c r="HM24" s="192"/>
      <c r="HN24" s="190"/>
      <c r="HO24" s="190"/>
      <c r="HP24" s="190"/>
      <c r="HQ24" s="190"/>
      <c r="HR24" s="190"/>
      <c r="HS24" s="193"/>
      <c r="HT24" s="190"/>
      <c r="HU24" s="190"/>
      <c r="HV24" s="190"/>
      <c r="HW24" s="190"/>
      <c r="HX24" s="190"/>
      <c r="HY24" s="192"/>
      <c r="HZ24" s="190"/>
      <c r="IA24" s="190"/>
      <c r="IB24" s="190"/>
      <c r="IC24" s="190"/>
      <c r="ID24" s="190"/>
      <c r="IE24" s="193"/>
      <c r="IF24" s="190"/>
      <c r="IG24" s="190"/>
      <c r="IH24" s="190"/>
      <c r="II24" s="190"/>
      <c r="IJ24" s="190"/>
      <c r="IK24" s="194"/>
      <c r="IL24" s="189"/>
      <c r="IM24" s="190"/>
      <c r="IN24" s="190"/>
      <c r="IO24" s="190"/>
      <c r="IP24" s="190"/>
      <c r="IQ24" s="191"/>
      <c r="IR24" s="190"/>
      <c r="IS24" s="190"/>
      <c r="IT24" s="190"/>
      <c r="IU24" s="190"/>
      <c r="IV24" s="190"/>
      <c r="IW24" s="192"/>
      <c r="IX24" s="190"/>
      <c r="IY24" s="190"/>
      <c r="IZ24" s="190"/>
      <c r="JA24" s="190"/>
      <c r="JB24" s="190"/>
      <c r="JC24" s="193"/>
      <c r="JD24" s="190"/>
      <c r="JE24" s="190"/>
      <c r="JF24" s="190"/>
      <c r="JG24" s="190"/>
      <c r="JH24" s="190"/>
      <c r="JI24" s="192"/>
      <c r="JJ24" s="190"/>
      <c r="JK24" s="190"/>
      <c r="JL24" s="190"/>
      <c r="JM24" s="190"/>
      <c r="JN24" s="190"/>
      <c r="JO24" s="193"/>
      <c r="JP24" s="190"/>
      <c r="JQ24" s="190"/>
      <c r="JR24" s="190"/>
      <c r="JS24" s="190"/>
      <c r="JT24" s="190"/>
      <c r="JU24" s="192"/>
      <c r="JV24" s="190"/>
      <c r="JW24" s="190"/>
      <c r="JX24" s="190"/>
      <c r="JY24" s="190"/>
      <c r="JZ24" s="190"/>
      <c r="KA24" s="193"/>
      <c r="KB24" s="190"/>
      <c r="KC24" s="190"/>
      <c r="KD24" s="190"/>
      <c r="KE24" s="190"/>
      <c r="KF24" s="190"/>
      <c r="KG24" s="192"/>
      <c r="KH24" s="190"/>
      <c r="KI24" s="190"/>
      <c r="KJ24" s="190"/>
      <c r="KK24" s="190"/>
      <c r="KL24" s="190"/>
      <c r="KM24" s="193"/>
      <c r="KN24" s="190"/>
      <c r="KO24" s="190"/>
      <c r="KP24" s="190"/>
      <c r="KQ24" s="190"/>
      <c r="KR24" s="190"/>
      <c r="KS24" s="194"/>
      <c r="KT24" s="189"/>
      <c r="KU24" s="190"/>
      <c r="KV24" s="190"/>
      <c r="KW24" s="190"/>
      <c r="KX24" s="190"/>
      <c r="KY24" s="191"/>
      <c r="KZ24" s="190"/>
      <c r="LA24" s="190"/>
      <c r="LB24" s="190"/>
      <c r="LC24" s="190"/>
      <c r="LD24" s="190"/>
      <c r="LE24" s="192"/>
      <c r="LF24" s="190"/>
      <c r="LG24" s="190"/>
      <c r="LH24" s="190"/>
      <c r="LI24" s="190"/>
      <c r="LJ24" s="190"/>
      <c r="LK24" s="193"/>
      <c r="LL24" s="190"/>
      <c r="LM24" s="190"/>
      <c r="LN24" s="190"/>
      <c r="LO24" s="190"/>
      <c r="LP24" s="190"/>
      <c r="LQ24" s="192"/>
      <c r="LR24" s="190"/>
      <c r="LS24" s="190"/>
      <c r="LT24" s="190"/>
      <c r="LU24" s="190"/>
      <c r="LV24" s="190"/>
      <c r="LW24" s="193"/>
      <c r="LX24" s="190"/>
      <c r="LY24" s="190"/>
      <c r="LZ24" s="190"/>
      <c r="MA24" s="190"/>
      <c r="MB24" s="190"/>
      <c r="MC24" s="192"/>
      <c r="MD24" s="190"/>
      <c r="ME24" s="190"/>
      <c r="MF24" s="190"/>
      <c r="MG24" s="190"/>
      <c r="MH24" s="190"/>
      <c r="MI24" s="193"/>
      <c r="MJ24" s="190"/>
      <c r="MK24" s="190"/>
      <c r="ML24" s="190"/>
      <c r="MM24" s="190"/>
      <c r="MN24" s="190"/>
      <c r="MO24" s="192"/>
      <c r="MP24" s="190"/>
      <c r="MQ24" s="190"/>
      <c r="MR24" s="190"/>
      <c r="MS24" s="190"/>
      <c r="MT24" s="190"/>
      <c r="MU24" s="193"/>
      <c r="MV24" s="190"/>
      <c r="MW24" s="190"/>
      <c r="MX24" s="190"/>
      <c r="MY24" s="190"/>
      <c r="MZ24" s="190"/>
      <c r="NA24" s="194"/>
      <c r="NB24" s="189"/>
      <c r="NC24" s="190"/>
      <c r="ND24" s="190"/>
      <c r="NE24" s="190"/>
      <c r="NF24" s="190"/>
      <c r="NG24" s="191"/>
      <c r="NH24" s="190"/>
      <c r="NI24" s="190"/>
      <c r="NJ24" s="190"/>
      <c r="NK24" s="190"/>
      <c r="NL24" s="190"/>
      <c r="NM24" s="192"/>
      <c r="NN24" s="190"/>
      <c r="NO24" s="190"/>
      <c r="NP24" s="190"/>
      <c r="NQ24" s="190"/>
      <c r="NR24" s="190"/>
      <c r="NS24" s="193"/>
      <c r="NT24" s="190"/>
      <c r="NU24" s="190"/>
      <c r="NV24" s="190"/>
      <c r="NW24" s="190"/>
      <c r="NX24" s="190"/>
      <c r="NY24" s="192"/>
      <c r="NZ24" s="190"/>
      <c r="OA24" s="190"/>
      <c r="OB24" s="190"/>
      <c r="OC24" s="190"/>
      <c r="OD24" s="190"/>
      <c r="OE24" s="193"/>
      <c r="OF24" s="190"/>
      <c r="OG24" s="190"/>
      <c r="OH24" s="190"/>
      <c r="OI24" s="190"/>
      <c r="OJ24" s="190"/>
      <c r="OK24" s="192"/>
      <c r="OL24" s="190"/>
      <c r="OM24" s="190"/>
      <c r="ON24" s="190"/>
      <c r="OO24" s="190"/>
      <c r="OP24" s="190"/>
      <c r="OQ24" s="193"/>
      <c r="OR24" s="190"/>
      <c r="OS24" s="190"/>
      <c r="OT24" s="190"/>
      <c r="OU24" s="190"/>
      <c r="OV24" s="190"/>
      <c r="OW24" s="192"/>
      <c r="OX24" s="190"/>
      <c r="OY24" s="190"/>
      <c r="OZ24" s="190"/>
      <c r="PA24" s="190"/>
      <c r="PB24" s="190"/>
      <c r="PC24" s="193"/>
      <c r="PD24" s="190"/>
      <c r="PE24" s="190"/>
      <c r="PF24" s="190"/>
      <c r="PG24" s="190"/>
      <c r="PH24" s="190"/>
      <c r="PI24" s="194"/>
      <c r="PJ24" s="189"/>
      <c r="PK24" s="190"/>
      <c r="PL24" s="190"/>
      <c r="PM24" s="190"/>
      <c r="PN24" s="190"/>
      <c r="PO24" s="191"/>
      <c r="PP24" s="190"/>
      <c r="PQ24" s="190"/>
      <c r="PR24" s="190"/>
      <c r="PS24" s="190"/>
      <c r="PT24" s="190"/>
      <c r="PU24" s="192"/>
      <c r="PV24" s="190"/>
      <c r="PW24" s="190"/>
      <c r="PX24" s="190"/>
      <c r="PY24" s="190"/>
      <c r="PZ24" s="190"/>
      <c r="QA24" s="193"/>
      <c r="QB24" s="190"/>
      <c r="QC24" s="190"/>
      <c r="QD24" s="190"/>
      <c r="QE24" s="190"/>
      <c r="QF24" s="190"/>
      <c r="QG24" s="192"/>
      <c r="QH24" s="190"/>
      <c r="QI24" s="190"/>
      <c r="QJ24" s="190"/>
      <c r="QK24" s="190"/>
      <c r="QL24" s="190"/>
      <c r="QM24" s="193"/>
      <c r="QN24" s="190"/>
      <c r="QO24" s="190"/>
      <c r="QP24" s="190"/>
      <c r="QQ24" s="190"/>
      <c r="QR24" s="190"/>
      <c r="QS24" s="192"/>
      <c r="QT24" s="190"/>
      <c r="QU24" s="190"/>
      <c r="QV24" s="190"/>
      <c r="QW24" s="190"/>
      <c r="QX24" s="190"/>
      <c r="QY24" s="193"/>
      <c r="QZ24" s="190"/>
      <c r="RA24" s="190"/>
      <c r="RB24" s="190"/>
      <c r="RC24" s="190"/>
      <c r="RD24" s="190"/>
      <c r="RE24" s="192"/>
      <c r="RF24" s="190"/>
      <c r="RG24" s="190"/>
      <c r="RH24" s="190"/>
      <c r="RI24" s="190"/>
      <c r="RJ24" s="190"/>
      <c r="RK24" s="193"/>
      <c r="RL24" s="190"/>
      <c r="RM24" s="190"/>
      <c r="RN24" s="190"/>
      <c r="RO24" s="190"/>
      <c r="RP24" s="190"/>
      <c r="RQ24" s="194"/>
      <c r="RR24" s="189"/>
      <c r="RS24" s="190"/>
      <c r="RT24" s="190"/>
      <c r="RU24" s="190"/>
      <c r="RV24" s="190"/>
      <c r="RW24" s="191"/>
      <c r="RX24" s="190"/>
      <c r="RY24" s="190"/>
      <c r="RZ24" s="190"/>
      <c r="SA24" s="190"/>
      <c r="SB24" s="190"/>
      <c r="SC24" s="192"/>
      <c r="SD24" s="190"/>
      <c r="SE24" s="190"/>
      <c r="SF24" s="190"/>
      <c r="SG24" s="190"/>
      <c r="SH24" s="190"/>
      <c r="SI24" s="193"/>
      <c r="SJ24" s="190"/>
      <c r="SK24" s="190"/>
      <c r="SL24" s="190"/>
      <c r="SM24" s="190"/>
      <c r="SN24" s="190"/>
      <c r="SO24" s="192"/>
      <c r="SP24" s="190"/>
      <c r="SQ24" s="190"/>
      <c r="SR24" s="190"/>
      <c r="SS24" s="190"/>
      <c r="ST24" s="190"/>
      <c r="SU24" s="193"/>
      <c r="SV24" s="190"/>
      <c r="SW24" s="190"/>
      <c r="SX24" s="190"/>
      <c r="SY24" s="190"/>
      <c r="SZ24" s="190"/>
      <c r="TA24" s="192"/>
      <c r="TB24" s="190"/>
      <c r="TC24" s="190"/>
      <c r="TD24" s="190"/>
      <c r="TE24" s="190"/>
      <c r="TF24" s="190"/>
      <c r="TG24" s="193"/>
      <c r="TH24" s="190"/>
      <c r="TI24" s="190"/>
      <c r="TJ24" s="190"/>
      <c r="TK24" s="190"/>
      <c r="TL24" s="190"/>
      <c r="TM24" s="192"/>
      <c r="TN24" s="190"/>
      <c r="TO24" s="190"/>
      <c r="TP24" s="190"/>
      <c r="TQ24" s="190"/>
      <c r="TR24" s="190"/>
      <c r="TS24" s="193"/>
      <c r="TT24" s="190"/>
      <c r="TU24" s="190"/>
      <c r="TV24" s="190"/>
      <c r="TW24" s="190"/>
      <c r="TX24" s="190"/>
      <c r="TY24" s="194"/>
      <c r="TZ24" s="189"/>
      <c r="UA24" s="190"/>
      <c r="UB24" s="190"/>
      <c r="UC24" s="190"/>
      <c r="UD24" s="190"/>
      <c r="UE24" s="191"/>
      <c r="UF24" s="190"/>
      <c r="UG24" s="190"/>
      <c r="UH24" s="190"/>
      <c r="UI24" s="190"/>
      <c r="UJ24" s="190"/>
      <c r="UK24" s="192"/>
      <c r="UL24" s="190"/>
      <c r="UM24" s="190"/>
      <c r="UN24" s="190"/>
      <c r="UO24" s="190"/>
      <c r="UP24" s="190"/>
      <c r="UQ24" s="193"/>
      <c r="UR24" s="190"/>
      <c r="US24" s="190"/>
      <c r="UT24" s="190"/>
      <c r="UU24" s="190"/>
      <c r="UV24" s="190"/>
      <c r="UW24" s="192"/>
      <c r="UX24" s="190"/>
      <c r="UY24" s="190"/>
      <c r="UZ24" s="190"/>
      <c r="VA24" s="190"/>
      <c r="VB24" s="190"/>
      <c r="VC24" s="193"/>
      <c r="VD24" s="190"/>
      <c r="VE24" s="190"/>
      <c r="VF24" s="190"/>
      <c r="VG24" s="190"/>
      <c r="VH24" s="190"/>
      <c r="VI24" s="192"/>
      <c r="VJ24" s="190"/>
      <c r="VK24" s="190"/>
      <c r="VL24" s="190"/>
      <c r="VM24" s="190"/>
      <c r="VN24" s="190"/>
      <c r="VO24" s="193"/>
      <c r="VP24" s="190"/>
      <c r="VQ24" s="190"/>
      <c r="VR24" s="190"/>
      <c r="VS24" s="190"/>
      <c r="VT24" s="190"/>
      <c r="VU24" s="192"/>
      <c r="VV24" s="190"/>
      <c r="VW24" s="190"/>
      <c r="VX24" s="190"/>
      <c r="VY24" s="190"/>
      <c r="VZ24" s="190"/>
      <c r="WA24" s="193"/>
      <c r="WB24" s="190"/>
      <c r="WC24" s="190"/>
      <c r="WD24" s="190"/>
      <c r="WE24" s="190"/>
      <c r="WF24" s="190"/>
      <c r="WG24" s="194"/>
      <c r="WH24" s="189"/>
      <c r="WI24" s="190"/>
      <c r="WJ24" s="190"/>
      <c r="WK24" s="190"/>
      <c r="WL24" s="190"/>
      <c r="WM24" s="191"/>
      <c r="WN24" s="190"/>
      <c r="WO24" s="190"/>
      <c r="WP24" s="190"/>
      <c r="WQ24" s="190"/>
      <c r="WR24" s="190"/>
      <c r="WS24" s="192"/>
      <c r="WT24" s="190"/>
      <c r="WU24" s="190"/>
      <c r="WV24" s="190"/>
      <c r="WW24" s="190"/>
      <c r="WX24" s="190"/>
      <c r="WY24" s="193"/>
      <c r="WZ24" s="190"/>
      <c r="XA24" s="190"/>
      <c r="XB24" s="190"/>
      <c r="XC24" s="190"/>
      <c r="XD24" s="190"/>
      <c r="XE24" s="192"/>
      <c r="XF24" s="190"/>
      <c r="XG24" s="190"/>
      <c r="XH24" s="190"/>
      <c r="XI24" s="190"/>
      <c r="XJ24" s="190"/>
      <c r="XK24" s="193"/>
      <c r="XL24" s="190"/>
      <c r="XM24" s="190"/>
      <c r="XN24" s="190"/>
      <c r="XO24" s="190"/>
      <c r="XP24" s="190"/>
      <c r="XQ24" s="192"/>
      <c r="XR24" s="190"/>
      <c r="XS24" s="190"/>
      <c r="XT24" s="190"/>
      <c r="XU24" s="190"/>
      <c r="XV24" s="190"/>
      <c r="XW24" s="193"/>
      <c r="XX24" s="190"/>
      <c r="XY24" s="190"/>
      <c r="XZ24" s="190"/>
      <c r="YA24" s="190"/>
      <c r="YB24" s="190"/>
      <c r="YC24" s="192"/>
      <c r="YD24" s="190"/>
      <c r="YE24" s="190"/>
      <c r="YF24" s="190"/>
      <c r="YG24" s="190"/>
      <c r="YH24" s="190"/>
      <c r="YI24" s="193"/>
      <c r="YJ24" s="190"/>
      <c r="YK24" s="190"/>
      <c r="YL24" s="190"/>
      <c r="YM24" s="190"/>
      <c r="YN24" s="190"/>
      <c r="YO24" s="194"/>
      <c r="YP24" s="189"/>
      <c r="YQ24" s="190"/>
      <c r="YR24" s="190"/>
      <c r="YS24" s="190"/>
      <c r="YT24" s="190"/>
      <c r="YU24" s="191"/>
      <c r="YV24" s="190"/>
      <c r="YW24" s="190"/>
      <c r="YX24" s="190"/>
      <c r="YY24" s="190"/>
      <c r="YZ24" s="190"/>
      <c r="ZA24" s="192"/>
      <c r="ZB24" s="190"/>
      <c r="ZC24" s="190"/>
      <c r="ZD24" s="190"/>
      <c r="ZE24" s="190"/>
      <c r="ZF24" s="190"/>
      <c r="ZG24" s="193"/>
      <c r="ZH24" s="190"/>
      <c r="ZI24" s="190"/>
      <c r="ZJ24" s="190"/>
      <c r="ZK24" s="190"/>
      <c r="ZL24" s="190"/>
      <c r="ZM24" s="192"/>
      <c r="ZN24" s="190"/>
      <c r="ZO24" s="190"/>
      <c r="ZP24" s="190"/>
      <c r="ZQ24" s="190"/>
      <c r="ZR24" s="190"/>
      <c r="ZS24" s="193"/>
      <c r="ZT24" s="190"/>
      <c r="ZU24" s="190"/>
      <c r="ZV24" s="190"/>
      <c r="ZW24" s="190"/>
      <c r="ZX24" s="190"/>
      <c r="ZY24" s="192"/>
      <c r="ZZ24" s="190"/>
      <c r="AAA24" s="190"/>
      <c r="AAB24" s="190"/>
      <c r="AAC24" s="190"/>
      <c r="AAD24" s="190"/>
      <c r="AAE24" s="193"/>
      <c r="AAF24" s="190"/>
      <c r="AAG24" s="190"/>
      <c r="AAH24" s="190"/>
      <c r="AAI24" s="190"/>
      <c r="AAJ24" s="190"/>
      <c r="AAK24" s="192"/>
      <c r="AAL24" s="190"/>
      <c r="AAM24" s="190"/>
      <c r="AAN24" s="190"/>
      <c r="AAO24" s="190"/>
      <c r="AAP24" s="190"/>
      <c r="AAQ24" s="193"/>
      <c r="AAR24" s="190"/>
      <c r="AAS24" s="190"/>
      <c r="AAT24" s="190"/>
      <c r="AAU24" s="190"/>
      <c r="AAV24" s="190"/>
      <c r="AAW24" s="194"/>
      <c r="AAX24" s="189"/>
      <c r="AAY24" s="190"/>
      <c r="AAZ24" s="190"/>
      <c r="ABA24" s="190"/>
      <c r="ABB24" s="190"/>
      <c r="ABC24" s="191"/>
      <c r="ABD24" s="190"/>
      <c r="ABE24" s="190"/>
      <c r="ABF24" s="190"/>
      <c r="ABG24" s="190"/>
      <c r="ABH24" s="190"/>
      <c r="ABI24" s="192"/>
      <c r="ABJ24" s="190"/>
      <c r="ABK24" s="190"/>
      <c r="ABL24" s="190"/>
      <c r="ABM24" s="190"/>
      <c r="ABN24" s="190"/>
      <c r="ABO24" s="193"/>
      <c r="ABP24" s="190"/>
      <c r="ABQ24" s="190"/>
      <c r="ABR24" s="190"/>
      <c r="ABS24" s="190"/>
      <c r="ABT24" s="190"/>
      <c r="ABU24" s="192"/>
      <c r="ABV24" s="190"/>
      <c r="ABW24" s="190"/>
      <c r="ABX24" s="190"/>
      <c r="ABY24" s="190"/>
      <c r="ABZ24" s="190"/>
      <c r="ACA24" s="193"/>
      <c r="ACB24" s="190"/>
      <c r="ACC24" s="190"/>
      <c r="ACD24" s="190"/>
      <c r="ACE24" s="190"/>
      <c r="ACF24" s="190"/>
      <c r="ACG24" s="192"/>
      <c r="ACH24" s="190"/>
      <c r="ACI24" s="190"/>
      <c r="ACJ24" s="190"/>
      <c r="ACK24" s="190"/>
      <c r="ACL24" s="190"/>
      <c r="ACM24" s="193"/>
      <c r="ACN24" s="190"/>
      <c r="ACO24" s="190"/>
      <c r="ACP24" s="190"/>
      <c r="ACQ24" s="190"/>
      <c r="ACR24" s="190"/>
      <c r="ACS24" s="192"/>
      <c r="ACT24" s="190"/>
      <c r="ACU24" s="190"/>
      <c r="ACV24" s="190"/>
      <c r="ACW24" s="190"/>
      <c r="ACX24" s="190"/>
      <c r="ACY24" s="193"/>
      <c r="ACZ24" s="190"/>
      <c r="ADA24" s="190"/>
      <c r="ADB24" s="190"/>
      <c r="ADC24" s="190"/>
      <c r="ADD24" s="190"/>
      <c r="ADE24" s="194"/>
      <c r="ADF24" s="189"/>
      <c r="ADG24" s="190"/>
      <c r="ADH24" s="190"/>
      <c r="ADI24" s="190"/>
      <c r="ADJ24" s="190"/>
      <c r="ADK24" s="191"/>
      <c r="ADL24" s="190"/>
      <c r="ADM24" s="190"/>
      <c r="ADN24" s="190"/>
      <c r="ADO24" s="190"/>
      <c r="ADP24" s="190"/>
      <c r="ADQ24" s="192"/>
      <c r="ADR24" s="190"/>
      <c r="ADS24" s="190"/>
      <c r="ADT24" s="190"/>
      <c r="ADU24" s="190"/>
      <c r="ADV24" s="190"/>
      <c r="ADW24" s="193"/>
      <c r="ADX24" s="190"/>
      <c r="ADY24" s="190"/>
      <c r="ADZ24" s="190"/>
      <c r="AEA24" s="190"/>
      <c r="AEB24" s="190"/>
      <c r="AEC24" s="192"/>
      <c r="AED24" s="190"/>
      <c r="AEE24" s="190"/>
      <c r="AEF24" s="190"/>
      <c r="AEG24" s="190"/>
      <c r="AEH24" s="190"/>
      <c r="AEI24" s="193"/>
      <c r="AEJ24" s="190"/>
      <c r="AEK24" s="190"/>
      <c r="AEL24" s="190"/>
      <c r="AEM24" s="190"/>
      <c r="AEN24" s="190"/>
      <c r="AEO24" s="192"/>
      <c r="AEP24" s="190"/>
      <c r="AEQ24" s="190"/>
      <c r="AER24" s="190"/>
      <c r="AES24" s="190"/>
      <c r="AET24" s="190"/>
      <c r="AEU24" s="193"/>
      <c r="AEV24" s="190"/>
      <c r="AEW24" s="190"/>
      <c r="AEX24" s="190"/>
      <c r="AEY24" s="190"/>
      <c r="AEZ24" s="190"/>
      <c r="AFA24" s="192"/>
      <c r="AFB24" s="190"/>
      <c r="AFC24" s="190"/>
      <c r="AFD24" s="190"/>
      <c r="AFE24" s="190"/>
      <c r="AFF24" s="190"/>
      <c r="AFG24" s="193"/>
      <c r="AFH24" s="190"/>
      <c r="AFI24" s="190"/>
      <c r="AFJ24" s="190"/>
      <c r="AFK24" s="190"/>
      <c r="AFL24" s="190"/>
      <c r="AFM24" s="194"/>
      <c r="AFN24" s="189"/>
      <c r="AFO24" s="190"/>
      <c r="AFP24" s="190"/>
      <c r="AFQ24" s="190"/>
      <c r="AFR24" s="190"/>
      <c r="AFS24" s="191"/>
      <c r="AFT24" s="190"/>
      <c r="AFU24" s="190"/>
      <c r="AFV24" s="190"/>
      <c r="AFW24" s="190"/>
      <c r="AFX24" s="190"/>
      <c r="AFY24" s="192"/>
      <c r="AFZ24" s="190"/>
      <c r="AGA24" s="190"/>
      <c r="AGB24" s="190"/>
      <c r="AGC24" s="190"/>
      <c r="AGD24" s="190"/>
      <c r="AGE24" s="193"/>
      <c r="AGF24" s="190"/>
      <c r="AGG24" s="190"/>
      <c r="AGH24" s="190"/>
      <c r="AGI24" s="190"/>
      <c r="AGJ24" s="190"/>
      <c r="AGK24" s="192"/>
      <c r="AGL24" s="190"/>
      <c r="AGM24" s="190"/>
      <c r="AGN24" s="190"/>
      <c r="AGO24" s="190"/>
      <c r="AGP24" s="190"/>
      <c r="AGQ24" s="193"/>
      <c r="AGR24" s="190"/>
      <c r="AGS24" s="190"/>
      <c r="AGT24" s="190"/>
      <c r="AGU24" s="190"/>
      <c r="AGV24" s="190"/>
      <c r="AGW24" s="192"/>
      <c r="AGX24" s="190"/>
      <c r="AGY24" s="190"/>
      <c r="AGZ24" s="190"/>
      <c r="AHA24" s="190"/>
      <c r="AHB24" s="190"/>
      <c r="AHC24" s="193"/>
      <c r="AHD24" s="190"/>
      <c r="AHE24" s="190"/>
      <c r="AHF24" s="190"/>
      <c r="AHG24" s="190"/>
      <c r="AHH24" s="190"/>
      <c r="AHI24" s="192"/>
      <c r="AHJ24" s="190"/>
      <c r="AHK24" s="190"/>
      <c r="AHL24" s="190"/>
      <c r="AHM24" s="190"/>
      <c r="AHN24" s="190"/>
      <c r="AHO24" s="193"/>
      <c r="AHP24" s="190"/>
      <c r="AHQ24" s="190"/>
      <c r="AHR24" s="190"/>
      <c r="AHS24" s="190"/>
      <c r="AHT24" s="190"/>
      <c r="AHU24" s="194"/>
      <c r="AHV24" s="189"/>
      <c r="AHW24" s="190"/>
      <c r="AHX24" s="190"/>
      <c r="AHY24" s="190"/>
      <c r="AHZ24" s="190"/>
      <c r="AIA24" s="191"/>
      <c r="AIB24" s="190"/>
      <c r="AIC24" s="190"/>
      <c r="AID24" s="190"/>
      <c r="AIE24" s="190"/>
      <c r="AIF24" s="190"/>
      <c r="AIG24" s="192"/>
      <c r="AIH24" s="190"/>
      <c r="AII24" s="190"/>
      <c r="AIJ24" s="190"/>
      <c r="AIK24" s="190"/>
      <c r="AIL24" s="190"/>
      <c r="AIM24" s="193"/>
      <c r="AIN24" s="190"/>
      <c r="AIO24" s="190"/>
      <c r="AIP24" s="190"/>
      <c r="AIQ24" s="190"/>
      <c r="AIR24" s="190"/>
      <c r="AIS24" s="192"/>
      <c r="AIT24" s="190"/>
      <c r="AIU24" s="190"/>
      <c r="AIV24" s="190"/>
      <c r="AIW24" s="190"/>
      <c r="AIX24" s="190"/>
      <c r="AIY24" s="193"/>
      <c r="AIZ24" s="190"/>
      <c r="AJA24" s="190"/>
      <c r="AJB24" s="190"/>
      <c r="AJC24" s="190"/>
      <c r="AJD24" s="190"/>
      <c r="AJE24" s="192"/>
      <c r="AJF24" s="190"/>
      <c r="AJG24" s="190"/>
      <c r="AJH24" s="190"/>
      <c r="AJI24" s="190"/>
      <c r="AJJ24" s="190"/>
      <c r="AJK24" s="193"/>
      <c r="AJL24" s="190"/>
      <c r="AJM24" s="190"/>
      <c r="AJN24" s="190"/>
      <c r="AJO24" s="190"/>
      <c r="AJP24" s="190"/>
      <c r="AJQ24" s="192"/>
      <c r="AJR24" s="190"/>
      <c r="AJS24" s="190"/>
      <c r="AJT24" s="190"/>
      <c r="AJU24" s="190"/>
      <c r="AJV24" s="190"/>
      <c r="AJW24" s="193"/>
      <c r="AJX24" s="190"/>
      <c r="AJY24" s="190"/>
      <c r="AJZ24" s="190"/>
      <c r="AKA24" s="190"/>
      <c r="AKB24" s="190"/>
      <c r="AKC24" s="194"/>
      <c r="AKD24" s="189"/>
      <c r="AKE24" s="190"/>
      <c r="AKF24" s="190"/>
      <c r="AKG24" s="190"/>
      <c r="AKH24" s="190"/>
      <c r="AKI24" s="191"/>
      <c r="AKJ24" s="190"/>
      <c r="AKK24" s="190"/>
      <c r="AKL24" s="190"/>
      <c r="AKM24" s="190"/>
      <c r="AKN24" s="190"/>
      <c r="AKO24" s="192"/>
      <c r="AKP24" s="190"/>
      <c r="AKQ24" s="190"/>
      <c r="AKR24" s="190"/>
      <c r="AKS24" s="190"/>
      <c r="AKT24" s="190"/>
      <c r="AKU24" s="193"/>
      <c r="AKV24" s="190"/>
      <c r="AKW24" s="190"/>
      <c r="AKX24" s="190"/>
      <c r="AKY24" s="190"/>
      <c r="AKZ24" s="190"/>
      <c r="ALA24" s="192"/>
      <c r="ALB24" s="190"/>
      <c r="ALC24" s="190"/>
      <c r="ALD24" s="190"/>
      <c r="ALE24" s="190"/>
      <c r="ALF24" s="190"/>
      <c r="ALG24" s="193"/>
      <c r="ALH24" s="190"/>
      <c r="ALI24" s="190"/>
      <c r="ALJ24" s="190"/>
      <c r="ALK24" s="190"/>
      <c r="ALL24" s="190"/>
      <c r="ALM24" s="192"/>
      <c r="ALN24" s="190"/>
      <c r="ALO24" s="190"/>
      <c r="ALP24" s="190"/>
      <c r="ALQ24" s="190"/>
      <c r="ALR24" s="190"/>
      <c r="ALS24" s="193"/>
      <c r="ALT24" s="190"/>
      <c r="ALU24" s="190"/>
      <c r="ALV24" s="190"/>
      <c r="ALW24" s="190"/>
      <c r="ALX24" s="190"/>
      <c r="ALY24" s="192"/>
      <c r="ALZ24" s="190"/>
      <c r="AMA24" s="190"/>
      <c r="AMB24" s="190"/>
      <c r="AMC24" s="190"/>
      <c r="AMD24" s="190"/>
      <c r="AME24" s="193"/>
      <c r="AMF24" s="190"/>
      <c r="AMG24" s="190"/>
      <c r="AMH24" s="190"/>
      <c r="AMI24" s="190"/>
      <c r="AMJ24" s="190"/>
      <c r="AMK24" s="194"/>
      <c r="AML24" s="189"/>
      <c r="AMM24" s="190"/>
      <c r="AMN24" s="190"/>
      <c r="AMO24" s="190"/>
      <c r="AMP24" s="190"/>
      <c r="AMQ24" s="191"/>
      <c r="AMR24" s="190"/>
      <c r="AMS24" s="190"/>
      <c r="AMT24" s="190"/>
      <c r="AMU24" s="190"/>
      <c r="AMV24" s="190"/>
      <c r="AMW24" s="192"/>
      <c r="AMX24" s="190"/>
      <c r="AMY24" s="190"/>
      <c r="AMZ24" s="190"/>
      <c r="ANA24" s="190"/>
      <c r="ANB24" s="190"/>
      <c r="ANC24" s="193"/>
      <c r="AND24" s="190"/>
      <c r="ANE24" s="190"/>
      <c r="ANF24" s="190"/>
      <c r="ANG24" s="190"/>
      <c r="ANH24" s="190"/>
      <c r="ANI24" s="192"/>
      <c r="ANJ24" s="190"/>
      <c r="ANK24" s="190"/>
      <c r="ANL24" s="190"/>
      <c r="ANM24" s="190"/>
      <c r="ANN24" s="190"/>
      <c r="ANO24" s="193"/>
      <c r="ANP24" s="190"/>
      <c r="ANQ24" s="190"/>
      <c r="ANR24" s="190"/>
      <c r="ANS24" s="190"/>
      <c r="ANT24" s="190"/>
      <c r="ANU24" s="192"/>
      <c r="ANV24" s="190"/>
      <c r="ANW24" s="190"/>
      <c r="ANX24" s="190"/>
      <c r="ANY24" s="190"/>
      <c r="ANZ24" s="190"/>
      <c r="AOA24" s="193"/>
      <c r="AOB24" s="190"/>
      <c r="AOC24" s="190"/>
      <c r="AOD24" s="190"/>
      <c r="AOE24" s="190"/>
      <c r="AOF24" s="190"/>
      <c r="AOG24" s="192"/>
      <c r="AOH24" s="190"/>
      <c r="AOI24" s="190"/>
      <c r="AOJ24" s="190"/>
      <c r="AOK24" s="190"/>
      <c r="AOL24" s="190"/>
      <c r="AOM24" s="193"/>
      <c r="AON24" s="190"/>
      <c r="AOO24" s="190"/>
      <c r="AOP24" s="190"/>
      <c r="AOQ24" s="190"/>
      <c r="AOR24" s="190"/>
      <c r="AOS24" s="194"/>
      <c r="AOT24" s="189"/>
      <c r="AOU24" s="190"/>
      <c r="AOV24" s="190"/>
      <c r="AOW24" s="190"/>
      <c r="AOX24" s="190"/>
      <c r="AOY24" s="191"/>
      <c r="AOZ24" s="190"/>
      <c r="APA24" s="190"/>
      <c r="APB24" s="190"/>
      <c r="APC24" s="190"/>
      <c r="APD24" s="190"/>
      <c r="APE24" s="192"/>
      <c r="APF24" s="190"/>
      <c r="APG24" s="190"/>
      <c r="APH24" s="190"/>
      <c r="API24" s="190"/>
      <c r="APJ24" s="190"/>
      <c r="APK24" s="193"/>
      <c r="APL24" s="190"/>
      <c r="APM24" s="190"/>
      <c r="APN24" s="190"/>
      <c r="APO24" s="190"/>
      <c r="APP24" s="190"/>
      <c r="APQ24" s="192"/>
      <c r="APR24" s="190"/>
      <c r="APS24" s="190"/>
      <c r="APT24" s="190"/>
      <c r="APU24" s="190"/>
      <c r="APV24" s="190"/>
      <c r="APW24" s="193"/>
      <c r="APX24" s="190"/>
      <c r="APY24" s="190"/>
      <c r="APZ24" s="190"/>
      <c r="AQA24" s="190"/>
      <c r="AQB24" s="190"/>
      <c r="AQC24" s="192"/>
      <c r="AQD24" s="190"/>
      <c r="AQE24" s="190"/>
      <c r="AQF24" s="190"/>
      <c r="AQG24" s="190"/>
      <c r="AQH24" s="190"/>
      <c r="AQI24" s="193"/>
      <c r="AQJ24" s="190"/>
      <c r="AQK24" s="190"/>
      <c r="AQL24" s="190"/>
      <c r="AQM24" s="190"/>
      <c r="AQN24" s="190"/>
      <c r="AQO24" s="192"/>
      <c r="AQP24" s="190"/>
      <c r="AQQ24" s="190"/>
      <c r="AQR24" s="190"/>
      <c r="AQS24" s="190"/>
      <c r="AQT24" s="190"/>
      <c r="AQU24" s="193"/>
      <c r="AQV24" s="190"/>
      <c r="AQW24" s="190"/>
      <c r="AQX24" s="190"/>
      <c r="AQY24" s="190"/>
      <c r="AQZ24" s="190"/>
      <c r="ARA24" s="194"/>
      <c r="ARB24" s="189"/>
      <c r="ARC24" s="190"/>
      <c r="ARD24" s="190"/>
      <c r="ARE24" s="190"/>
      <c r="ARF24" s="190"/>
      <c r="ARG24" s="191"/>
      <c r="ARH24" s="190"/>
      <c r="ARI24" s="190"/>
      <c r="ARJ24" s="190"/>
      <c r="ARK24" s="190"/>
      <c r="ARL24" s="190"/>
      <c r="ARM24" s="192"/>
      <c r="ARN24" s="190"/>
      <c r="ARO24" s="190"/>
      <c r="ARP24" s="190"/>
      <c r="ARQ24" s="190"/>
      <c r="ARR24" s="190"/>
      <c r="ARS24" s="193"/>
      <c r="ART24" s="190"/>
      <c r="ARU24" s="190"/>
      <c r="ARV24" s="190"/>
      <c r="ARW24" s="190"/>
      <c r="ARX24" s="190"/>
      <c r="ARY24" s="192"/>
      <c r="ARZ24" s="190"/>
      <c r="ASA24" s="190"/>
      <c r="ASB24" s="190"/>
      <c r="ASC24" s="190"/>
      <c r="ASD24" s="190"/>
      <c r="ASE24" s="193"/>
      <c r="ASF24" s="190"/>
      <c r="ASG24" s="190"/>
      <c r="ASH24" s="190"/>
      <c r="ASI24" s="190"/>
      <c r="ASJ24" s="190"/>
      <c r="ASK24" s="192"/>
      <c r="ASL24" s="190"/>
      <c r="ASM24" s="190"/>
      <c r="ASN24" s="190"/>
      <c r="ASO24" s="190"/>
      <c r="ASP24" s="190"/>
      <c r="ASQ24" s="193"/>
      <c r="ASR24" s="190"/>
      <c r="ASS24" s="190"/>
      <c r="AST24" s="190"/>
      <c r="ASU24" s="190"/>
      <c r="ASV24" s="190"/>
      <c r="ASW24" s="192"/>
      <c r="ASX24" s="190"/>
      <c r="ASY24" s="190"/>
      <c r="ASZ24" s="190"/>
      <c r="ATA24" s="190"/>
      <c r="ATB24" s="190"/>
      <c r="ATC24" s="193"/>
      <c r="ATD24" s="190"/>
      <c r="ATE24" s="190"/>
      <c r="ATF24" s="190"/>
      <c r="ATG24" s="190"/>
      <c r="ATH24" s="190"/>
      <c r="ATI24" s="194"/>
      <c r="ATJ24" s="189"/>
      <c r="ATK24" s="190"/>
      <c r="ATL24" s="190"/>
      <c r="ATM24" s="190"/>
      <c r="ATN24" s="190"/>
      <c r="ATO24" s="191"/>
      <c r="ATP24" s="190"/>
      <c r="ATQ24" s="190"/>
      <c r="ATR24" s="190"/>
      <c r="ATS24" s="190"/>
      <c r="ATT24" s="190"/>
      <c r="ATU24" s="192"/>
      <c r="ATV24" s="190"/>
      <c r="ATW24" s="190"/>
      <c r="ATX24" s="190"/>
      <c r="ATY24" s="190"/>
      <c r="ATZ24" s="190"/>
      <c r="AUA24" s="193"/>
      <c r="AUB24" s="190"/>
      <c r="AUC24" s="190"/>
      <c r="AUD24" s="190"/>
      <c r="AUE24" s="190"/>
      <c r="AUF24" s="190"/>
      <c r="AUG24" s="192"/>
      <c r="AUH24" s="190"/>
      <c r="AUI24" s="190"/>
      <c r="AUJ24" s="190"/>
      <c r="AUK24" s="190"/>
      <c r="AUL24" s="190"/>
      <c r="AUM24" s="193"/>
      <c r="AUN24" s="190"/>
      <c r="AUO24" s="190"/>
      <c r="AUP24" s="190"/>
      <c r="AUQ24" s="190"/>
      <c r="AUR24" s="190"/>
      <c r="AUS24" s="192"/>
      <c r="AUT24" s="190"/>
      <c r="AUU24" s="190"/>
      <c r="AUV24" s="190"/>
      <c r="AUW24" s="190"/>
      <c r="AUX24" s="190"/>
      <c r="AUY24" s="193"/>
      <c r="AUZ24" s="190"/>
      <c r="AVA24" s="190"/>
      <c r="AVB24" s="190"/>
      <c r="AVC24" s="190"/>
      <c r="AVD24" s="190"/>
      <c r="AVE24" s="192"/>
      <c r="AVF24" s="190"/>
      <c r="AVG24" s="190"/>
      <c r="AVH24" s="190"/>
      <c r="AVI24" s="190"/>
      <c r="AVJ24" s="190"/>
      <c r="AVK24" s="193"/>
      <c r="AVL24" s="190"/>
      <c r="AVM24" s="190"/>
      <c r="AVN24" s="190"/>
      <c r="AVO24" s="190"/>
      <c r="AVP24" s="190"/>
      <c r="AVQ24" s="194"/>
      <c r="AVR24" s="189"/>
      <c r="AVS24" s="190"/>
      <c r="AVT24" s="190"/>
      <c r="AVU24" s="190"/>
      <c r="AVV24" s="190"/>
      <c r="AVW24" s="191"/>
      <c r="AVX24" s="190"/>
      <c r="AVY24" s="190"/>
      <c r="AVZ24" s="190"/>
      <c r="AWA24" s="190"/>
      <c r="AWB24" s="190"/>
      <c r="AWC24" s="192"/>
      <c r="AWD24" s="190"/>
      <c r="AWE24" s="190"/>
      <c r="AWF24" s="190"/>
      <c r="AWG24" s="190"/>
      <c r="AWH24" s="190"/>
      <c r="AWI24" s="193"/>
      <c r="AWJ24" s="190"/>
      <c r="AWK24" s="190"/>
      <c r="AWL24" s="190"/>
      <c r="AWM24" s="190"/>
      <c r="AWN24" s="190"/>
      <c r="AWO24" s="192"/>
      <c r="AWP24" s="190"/>
      <c r="AWQ24" s="190"/>
      <c r="AWR24" s="190"/>
      <c r="AWS24" s="190"/>
      <c r="AWT24" s="190"/>
      <c r="AWU24" s="193"/>
      <c r="AWV24" s="190"/>
      <c r="AWW24" s="190"/>
      <c r="AWX24" s="190"/>
      <c r="AWY24" s="190"/>
      <c r="AWZ24" s="190"/>
      <c r="AXA24" s="192"/>
      <c r="AXB24" s="190"/>
      <c r="AXC24" s="190"/>
      <c r="AXD24" s="190"/>
      <c r="AXE24" s="190"/>
      <c r="AXF24" s="190"/>
      <c r="AXG24" s="193"/>
      <c r="AXH24" s="190"/>
      <c r="AXI24" s="190"/>
      <c r="AXJ24" s="190"/>
      <c r="AXK24" s="190"/>
      <c r="AXL24" s="190"/>
      <c r="AXM24" s="192"/>
      <c r="AXN24" s="190"/>
      <c r="AXO24" s="190"/>
      <c r="AXP24" s="190"/>
      <c r="AXQ24" s="190"/>
      <c r="AXR24" s="190"/>
      <c r="AXS24" s="193"/>
      <c r="AXT24" s="190"/>
      <c r="AXU24" s="190"/>
      <c r="AXV24" s="190"/>
      <c r="AXW24" s="190"/>
      <c r="AXX24" s="190"/>
      <c r="AXY24" s="194"/>
      <c r="AXZ24" s="189"/>
      <c r="AYA24" s="190"/>
      <c r="AYB24" s="190"/>
      <c r="AYC24" s="190"/>
      <c r="AYD24" s="190"/>
      <c r="AYE24" s="191"/>
      <c r="AYF24" s="190"/>
      <c r="AYG24" s="190"/>
      <c r="AYH24" s="190"/>
      <c r="AYI24" s="190"/>
      <c r="AYJ24" s="190"/>
      <c r="AYK24" s="192"/>
      <c r="AYL24" s="190"/>
      <c r="AYM24" s="190"/>
      <c r="AYN24" s="190"/>
      <c r="AYO24" s="190"/>
      <c r="AYP24" s="190"/>
      <c r="AYQ24" s="193"/>
      <c r="AYR24" s="190"/>
      <c r="AYS24" s="190"/>
      <c r="AYT24" s="190"/>
      <c r="AYU24" s="190"/>
      <c r="AYV24" s="190"/>
      <c r="AYW24" s="192"/>
      <c r="AYX24" s="190"/>
      <c r="AYY24" s="190"/>
      <c r="AYZ24" s="190"/>
      <c r="AZA24" s="190"/>
      <c r="AZB24" s="190"/>
      <c r="AZC24" s="193"/>
      <c r="AZD24" s="190"/>
      <c r="AZE24" s="190"/>
      <c r="AZF24" s="190"/>
      <c r="AZG24" s="190"/>
      <c r="AZH24" s="190"/>
      <c r="AZI24" s="192"/>
      <c r="AZJ24" s="190"/>
      <c r="AZK24" s="190"/>
      <c r="AZL24" s="190"/>
      <c r="AZM24" s="190"/>
      <c r="AZN24" s="190"/>
      <c r="AZO24" s="193"/>
      <c r="AZP24" s="190"/>
      <c r="AZQ24" s="190"/>
      <c r="AZR24" s="190"/>
      <c r="AZS24" s="190"/>
      <c r="AZT24" s="190"/>
      <c r="AZU24" s="192"/>
      <c r="AZV24" s="190"/>
      <c r="AZW24" s="190"/>
      <c r="AZX24" s="190"/>
      <c r="AZY24" s="190"/>
      <c r="AZZ24" s="190"/>
      <c r="BAA24" s="193"/>
      <c r="BAB24" s="190"/>
      <c r="BAC24" s="190"/>
      <c r="BAD24" s="190"/>
      <c r="BAE24" s="190"/>
      <c r="BAF24" s="190"/>
      <c r="BAG24" s="194"/>
      <c r="BAH24" s="189"/>
      <c r="BAI24" s="190"/>
      <c r="BAJ24" s="190"/>
      <c r="BAK24" s="190"/>
      <c r="BAL24" s="190"/>
      <c r="BAM24" s="191"/>
      <c r="BAN24" s="190"/>
      <c r="BAO24" s="190"/>
      <c r="BAP24" s="190"/>
      <c r="BAQ24" s="190"/>
      <c r="BAR24" s="190"/>
      <c r="BAS24" s="192"/>
      <c r="BAT24" s="190"/>
      <c r="BAU24" s="190"/>
      <c r="BAV24" s="190"/>
      <c r="BAW24" s="190"/>
      <c r="BAX24" s="190"/>
      <c r="BAY24" s="193"/>
      <c r="BAZ24" s="190"/>
      <c r="BBA24" s="190"/>
      <c r="BBB24" s="190"/>
      <c r="BBC24" s="190"/>
      <c r="BBD24" s="190"/>
      <c r="BBE24" s="192"/>
      <c r="BBF24" s="190"/>
      <c r="BBG24" s="190"/>
      <c r="BBH24" s="190"/>
      <c r="BBI24" s="190"/>
      <c r="BBJ24" s="190"/>
      <c r="BBK24" s="193"/>
      <c r="BBL24" s="190"/>
      <c r="BBM24" s="190"/>
      <c r="BBN24" s="190"/>
      <c r="BBO24" s="190"/>
      <c r="BBP24" s="190"/>
      <c r="BBQ24" s="192"/>
      <c r="BBR24" s="190"/>
      <c r="BBS24" s="190"/>
      <c r="BBT24" s="190"/>
      <c r="BBU24" s="190"/>
      <c r="BBV24" s="190"/>
      <c r="BBW24" s="193"/>
      <c r="BBX24" s="190"/>
      <c r="BBY24" s="190"/>
      <c r="BBZ24" s="190"/>
      <c r="BCA24" s="190"/>
      <c r="BCB24" s="190"/>
      <c r="BCC24" s="192"/>
      <c r="BCD24" s="190"/>
      <c r="BCE24" s="190"/>
      <c r="BCF24" s="190"/>
      <c r="BCG24" s="190"/>
      <c r="BCH24" s="190"/>
      <c r="BCI24" s="193"/>
      <c r="BCJ24" s="190"/>
      <c r="BCK24" s="190"/>
      <c r="BCL24" s="190"/>
      <c r="BCM24" s="190"/>
      <c r="BCN24" s="190"/>
      <c r="BCO24" s="194"/>
      <c r="BCP24" s="189"/>
      <c r="BCQ24" s="190"/>
      <c r="BCR24" s="190"/>
      <c r="BCS24" s="190"/>
      <c r="BCT24" s="190"/>
      <c r="BCU24" s="191"/>
      <c r="BCV24" s="190"/>
      <c r="BCW24" s="190"/>
      <c r="BCX24" s="190"/>
      <c r="BCY24" s="190"/>
      <c r="BCZ24" s="190"/>
      <c r="BDA24" s="192"/>
      <c r="BDB24" s="190"/>
      <c r="BDC24" s="190"/>
      <c r="BDD24" s="190"/>
      <c r="BDE24" s="190"/>
      <c r="BDF24" s="190"/>
      <c r="BDG24" s="193"/>
      <c r="BDH24" s="190"/>
      <c r="BDI24" s="190"/>
      <c r="BDJ24" s="190"/>
      <c r="BDK24" s="190"/>
      <c r="BDL24" s="190"/>
      <c r="BDM24" s="192"/>
      <c r="BDN24" s="190"/>
      <c r="BDO24" s="190"/>
      <c r="BDP24" s="190"/>
      <c r="BDQ24" s="190"/>
      <c r="BDR24" s="190"/>
      <c r="BDS24" s="193"/>
      <c r="BDT24" s="190"/>
      <c r="BDU24" s="190"/>
      <c r="BDV24" s="190"/>
      <c r="BDW24" s="190"/>
      <c r="BDX24" s="190"/>
      <c r="BDY24" s="192"/>
      <c r="BDZ24" s="190"/>
      <c r="BEA24" s="190"/>
      <c r="BEB24" s="190"/>
      <c r="BEC24" s="190"/>
      <c r="BED24" s="190"/>
      <c r="BEE24" s="193"/>
      <c r="BEF24" s="190"/>
      <c r="BEG24" s="190"/>
      <c r="BEH24" s="190"/>
      <c r="BEI24" s="190"/>
      <c r="BEJ24" s="190"/>
      <c r="BEK24" s="192"/>
      <c r="BEL24" s="190"/>
      <c r="BEM24" s="190"/>
      <c r="BEN24" s="190"/>
      <c r="BEO24" s="190"/>
      <c r="BEP24" s="190"/>
      <c r="BEQ24" s="193"/>
      <c r="BER24" s="190"/>
      <c r="BES24" s="190"/>
      <c r="BET24" s="190"/>
      <c r="BEU24" s="190"/>
      <c r="BEV24" s="190"/>
      <c r="BEW24" s="194"/>
      <c r="BEX24" s="189"/>
      <c r="BEY24" s="190"/>
      <c r="BEZ24" s="190"/>
      <c r="BFA24" s="190"/>
      <c r="BFB24" s="190"/>
      <c r="BFC24" s="191"/>
      <c r="BFD24" s="190"/>
      <c r="BFE24" s="190"/>
      <c r="BFF24" s="190"/>
      <c r="BFG24" s="190"/>
      <c r="BFH24" s="190"/>
      <c r="BFI24" s="192"/>
      <c r="BFJ24" s="190"/>
      <c r="BFK24" s="190"/>
      <c r="BFL24" s="190"/>
      <c r="BFM24" s="190"/>
      <c r="BFN24" s="190"/>
      <c r="BFO24" s="193"/>
      <c r="BFP24" s="190"/>
      <c r="BFQ24" s="190"/>
      <c r="BFR24" s="190"/>
      <c r="BFS24" s="190"/>
      <c r="BFT24" s="190"/>
      <c r="BFU24" s="192"/>
      <c r="BFV24" s="190"/>
      <c r="BFW24" s="190"/>
      <c r="BFX24" s="190"/>
      <c r="BFY24" s="190"/>
      <c r="BFZ24" s="190"/>
      <c r="BGA24" s="193"/>
      <c r="BGB24" s="190"/>
      <c r="BGC24" s="190"/>
      <c r="BGD24" s="190"/>
      <c r="BGE24" s="190"/>
      <c r="BGF24" s="190"/>
      <c r="BGG24" s="192"/>
      <c r="BGH24" s="190"/>
      <c r="BGI24" s="190"/>
      <c r="BGJ24" s="190"/>
      <c r="BGK24" s="190"/>
      <c r="BGL24" s="190"/>
      <c r="BGM24" s="193"/>
      <c r="BGN24" s="190"/>
      <c r="BGO24" s="190"/>
      <c r="BGP24" s="190"/>
      <c r="BGQ24" s="190"/>
      <c r="BGR24" s="190"/>
      <c r="BGS24" s="192"/>
      <c r="BGT24" s="190"/>
      <c r="BGU24" s="190"/>
      <c r="BGV24" s="190"/>
      <c r="BGW24" s="190"/>
      <c r="BGX24" s="190"/>
      <c r="BGY24" s="193"/>
      <c r="BGZ24" s="190"/>
      <c r="BHA24" s="190"/>
      <c r="BHB24" s="190"/>
      <c r="BHC24" s="190"/>
      <c r="BHD24" s="190"/>
      <c r="BHE24" s="194"/>
      <c r="BHF24" s="187"/>
      <c r="BHG24" s="188"/>
      <c r="BHH24" s="188"/>
      <c r="BHI24" s="188"/>
      <c r="BHJ24" s="188"/>
      <c r="BHK24" s="188"/>
      <c r="BHL24" s="188"/>
      <c r="BHM24" s="188"/>
      <c r="BHN24" s="188"/>
      <c r="BHO24" s="188"/>
      <c r="BHP24" s="188"/>
      <c r="BHQ24" s="188"/>
      <c r="BHR24" s="188"/>
      <c r="BHS24" s="188"/>
      <c r="BHT24" s="188"/>
      <c r="BHU24" s="188"/>
      <c r="BHV24" s="188"/>
      <c r="BHW24" s="188"/>
      <c r="BHX24" s="188"/>
      <c r="BHY24" s="188"/>
      <c r="BHZ24" s="188"/>
      <c r="BIA24" s="188"/>
      <c r="BIB24" s="188"/>
      <c r="BIC24" s="188"/>
      <c r="BID24" s="188"/>
      <c r="BIE24" s="188"/>
      <c r="BIF24" s="188"/>
      <c r="BIG24" s="188"/>
      <c r="BIH24" s="188"/>
      <c r="BII24" s="188"/>
      <c r="BIJ24" s="188"/>
      <c r="BIK24" s="188"/>
      <c r="BIL24" s="188"/>
      <c r="BIM24" s="188"/>
      <c r="BIN24" s="188"/>
      <c r="BIO24" s="188"/>
      <c r="BIP24" s="188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230" t="s">
        <v>72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7"/>
      <c r="DX25" s="177"/>
      <c r="DY25" s="177"/>
      <c r="DZ25" s="177"/>
      <c r="EA25" s="178"/>
      <c r="EB25" s="177"/>
      <c r="EC25" s="177"/>
      <c r="ED25" s="177"/>
      <c r="EE25" s="177"/>
      <c r="EF25" s="177"/>
      <c r="EG25" s="179"/>
      <c r="EH25" s="177"/>
      <c r="EI25" s="177"/>
      <c r="EJ25" s="177"/>
      <c r="EK25" s="177"/>
      <c r="EL25" s="177"/>
      <c r="EM25" s="180"/>
      <c r="EN25" s="177"/>
      <c r="EO25" s="177"/>
      <c r="EP25" s="177"/>
      <c r="EQ25" s="177"/>
      <c r="ER25" s="177"/>
      <c r="ES25" s="179"/>
      <c r="ET25" s="177"/>
      <c r="EU25" s="177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76"/>
      <c r="GE25" s="177"/>
      <c r="GF25" s="177"/>
      <c r="GG25" s="177"/>
      <c r="GH25" s="177"/>
      <c r="GI25" s="178"/>
      <c r="GJ25" s="177"/>
      <c r="GK25" s="177"/>
      <c r="GL25" s="177"/>
      <c r="GM25" s="177"/>
      <c r="GN25" s="177"/>
      <c r="GO25" s="179"/>
      <c r="GP25" s="177"/>
      <c r="GQ25" s="177"/>
      <c r="GR25" s="177"/>
      <c r="GS25" s="177"/>
      <c r="GT25" s="177"/>
      <c r="GU25" s="180"/>
      <c r="GV25" s="177"/>
      <c r="GW25" s="177"/>
      <c r="GX25" s="177"/>
      <c r="GY25" s="177"/>
      <c r="GZ25" s="177"/>
      <c r="HA25" s="179"/>
      <c r="HB25" s="177"/>
      <c r="HC25" s="177"/>
      <c r="HD25" s="177"/>
      <c r="HE25" s="177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87"/>
      <c r="BHG25" s="188"/>
      <c r="BHH25" s="188"/>
      <c r="BHI25" s="188"/>
      <c r="BHJ25" s="188"/>
      <c r="BHK25" s="188"/>
      <c r="BHL25" s="188"/>
      <c r="BHM25" s="188"/>
      <c r="BHN25" s="188"/>
      <c r="BHO25" s="188"/>
      <c r="BHP25" s="188"/>
      <c r="BHQ25" s="188"/>
      <c r="BHR25" s="188"/>
      <c r="BHS25" s="188"/>
      <c r="BHT25" s="188"/>
      <c r="BHU25" s="188"/>
      <c r="BHV25" s="188"/>
      <c r="BHW25" s="188"/>
      <c r="BHX25" s="188"/>
      <c r="BHY25" s="188"/>
      <c r="BHZ25" s="188"/>
      <c r="BIA25" s="188"/>
      <c r="BIB25" s="188"/>
      <c r="BIC25" s="188"/>
      <c r="BID25" s="188"/>
      <c r="BIE25" s="188"/>
      <c r="BIF25" s="188"/>
      <c r="BIG25" s="188"/>
      <c r="BIH25" s="188"/>
      <c r="BII25" s="188"/>
      <c r="BIJ25" s="188"/>
      <c r="BIK25" s="188"/>
      <c r="BIL25" s="188"/>
      <c r="BIM25" s="188"/>
      <c r="BIN25" s="188"/>
      <c r="BIO25" s="188"/>
      <c r="BIP25" s="188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231"/>
      <c r="D26" s="121" t="str">
        <f t="shared" si="0"/>
        <v>4h 45 min</v>
      </c>
      <c r="E26" s="30">
        <v>57</v>
      </c>
      <c r="F26" s="195"/>
      <c r="G26" s="196"/>
      <c r="H26" s="196"/>
      <c r="I26" s="196"/>
      <c r="J26" s="196"/>
      <c r="K26" s="197"/>
      <c r="L26" s="196"/>
      <c r="M26" s="196"/>
      <c r="N26" s="196"/>
      <c r="O26" s="196"/>
      <c r="P26" s="196"/>
      <c r="Q26" s="198"/>
      <c r="R26" s="196"/>
      <c r="S26" s="196"/>
      <c r="T26" s="196"/>
      <c r="U26" s="196"/>
      <c r="V26" s="196"/>
      <c r="W26" s="199"/>
      <c r="X26" s="196"/>
      <c r="Y26" s="196"/>
      <c r="Z26" s="196"/>
      <c r="AA26" s="196"/>
      <c r="AB26" s="196"/>
      <c r="AC26" s="198"/>
      <c r="AD26" s="196"/>
      <c r="AE26" s="196"/>
      <c r="AF26" s="196"/>
      <c r="AG26" s="196"/>
      <c r="AH26" s="196"/>
      <c r="AI26" s="199"/>
      <c r="AJ26" s="196"/>
      <c r="AK26" s="196"/>
      <c r="AL26" s="196"/>
      <c r="AM26" s="196"/>
      <c r="AN26" s="196"/>
      <c r="AO26" s="198"/>
      <c r="AP26" s="196"/>
      <c r="AQ26" s="196"/>
      <c r="AR26" s="196"/>
      <c r="AS26" s="196"/>
      <c r="AT26" s="196"/>
      <c r="AU26" s="199"/>
      <c r="AV26" s="196"/>
      <c r="AW26" s="196"/>
      <c r="AX26" s="196"/>
      <c r="AY26" s="196"/>
      <c r="AZ26" s="196"/>
      <c r="BA26" s="198"/>
      <c r="BB26" s="196"/>
      <c r="BC26" s="196"/>
      <c r="BD26" s="196"/>
      <c r="BE26" s="196"/>
      <c r="BF26" s="196"/>
      <c r="BG26" s="199"/>
      <c r="BH26" s="196"/>
      <c r="BI26" s="196"/>
      <c r="BJ26" s="196"/>
      <c r="BK26" s="196"/>
      <c r="BL26" s="196"/>
      <c r="BM26" s="200"/>
      <c r="BN26" s="195"/>
      <c r="BO26" s="196"/>
      <c r="BP26" s="196"/>
      <c r="BQ26" s="196"/>
      <c r="BR26" s="196"/>
      <c r="BS26" s="197"/>
      <c r="BT26" s="196"/>
      <c r="BU26" s="196"/>
      <c r="BV26" s="196"/>
      <c r="BW26" s="196"/>
      <c r="BX26" s="196"/>
      <c r="BY26" s="198"/>
      <c r="BZ26" s="196"/>
      <c r="CA26" s="196"/>
      <c r="CB26" s="196"/>
      <c r="CC26" s="196"/>
      <c r="CD26" s="196"/>
      <c r="CE26" s="199"/>
      <c r="CF26" s="196"/>
      <c r="CG26" s="196"/>
      <c r="CH26" s="196"/>
      <c r="CI26" s="196"/>
      <c r="CJ26" s="196"/>
      <c r="CK26" s="198"/>
      <c r="CL26" s="196"/>
      <c r="CM26" s="196"/>
      <c r="CN26" s="196"/>
      <c r="CO26" s="196"/>
      <c r="CP26" s="196"/>
      <c r="CQ26" s="199"/>
      <c r="CR26" s="196"/>
      <c r="CS26" s="196"/>
      <c r="CT26" s="196"/>
      <c r="CU26" s="196"/>
      <c r="CV26" s="196"/>
      <c r="CW26" s="198"/>
      <c r="CX26" s="196"/>
      <c r="CY26" s="196"/>
      <c r="CZ26" s="196"/>
      <c r="DA26" s="196"/>
      <c r="DB26" s="196"/>
      <c r="DC26" s="199"/>
      <c r="DD26" s="196"/>
      <c r="DE26" s="196"/>
      <c r="DF26" s="196"/>
      <c r="DG26" s="196"/>
      <c r="DH26" s="196"/>
      <c r="DI26" s="198"/>
      <c r="DJ26" s="196"/>
      <c r="DK26" s="196"/>
      <c r="DL26" s="196"/>
      <c r="DM26" s="196"/>
      <c r="DN26" s="196"/>
      <c r="DO26" s="199"/>
      <c r="DP26" s="196"/>
      <c r="DQ26" s="196"/>
      <c r="DR26" s="196"/>
      <c r="DS26" s="196"/>
      <c r="DT26" s="196"/>
      <c r="DU26" s="200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05"/>
      <c r="EN26" s="207"/>
      <c r="EO26" s="207"/>
      <c r="EP26" s="207"/>
      <c r="EQ26" s="207"/>
      <c r="ER26" s="207"/>
      <c r="ES26" s="209"/>
      <c r="ET26" s="207"/>
      <c r="EU26" s="207"/>
      <c r="EV26" s="196"/>
      <c r="EW26" s="196"/>
      <c r="EX26" s="196"/>
      <c r="EY26" s="199"/>
      <c r="EZ26" s="196"/>
      <c r="FA26" s="196"/>
      <c r="FB26" s="196"/>
      <c r="FC26" s="207"/>
      <c r="FD26" s="207"/>
      <c r="FE26" s="209"/>
      <c r="FF26" s="196"/>
      <c r="FG26" s="196"/>
      <c r="FH26" s="196"/>
      <c r="FI26" s="196"/>
      <c r="FJ26" s="196"/>
      <c r="FK26" s="199"/>
      <c r="FL26" s="196"/>
      <c r="FM26" s="196"/>
      <c r="FN26" s="196"/>
      <c r="FO26" s="196"/>
      <c r="FP26" s="196"/>
      <c r="FQ26" s="198"/>
      <c r="FR26" s="196"/>
      <c r="FS26" s="196"/>
      <c r="FT26" s="196"/>
      <c r="FU26" s="196"/>
      <c r="FV26" s="196"/>
      <c r="FW26" s="199"/>
      <c r="FX26" s="196"/>
      <c r="FY26" s="196"/>
      <c r="FZ26" s="196"/>
      <c r="GA26" s="196"/>
      <c r="GB26" s="196"/>
      <c r="GC26" s="200"/>
      <c r="GD26" s="206"/>
      <c r="GE26" s="207"/>
      <c r="GF26" s="207"/>
      <c r="GG26" s="207"/>
      <c r="GH26" s="207"/>
      <c r="GI26" s="208"/>
      <c r="GJ26" s="207"/>
      <c r="GK26" s="207"/>
      <c r="GL26" s="207"/>
      <c r="GM26" s="207"/>
      <c r="GN26" s="207"/>
      <c r="GO26" s="209"/>
      <c r="GP26" s="207"/>
      <c r="GQ26" s="207"/>
      <c r="GR26" s="207"/>
      <c r="GS26" s="207"/>
      <c r="GT26" s="207"/>
      <c r="GU26" s="205"/>
      <c r="GV26" s="207"/>
      <c r="GW26" s="207"/>
      <c r="GX26" s="207"/>
      <c r="GY26" s="207"/>
      <c r="GZ26" s="207"/>
      <c r="HA26" s="209"/>
      <c r="HB26" s="196"/>
      <c r="HC26" s="196"/>
      <c r="HD26" s="196"/>
      <c r="HE26" s="196"/>
      <c r="HF26" s="196"/>
      <c r="HG26" s="199"/>
      <c r="HH26" s="196"/>
      <c r="HI26" s="196"/>
      <c r="HJ26" s="196"/>
      <c r="HK26" s="196"/>
      <c r="HL26" s="196"/>
      <c r="HM26" s="198"/>
      <c r="HN26" s="196"/>
      <c r="HO26" s="196"/>
      <c r="HP26" s="196"/>
      <c r="HQ26" s="196"/>
      <c r="HR26" s="196"/>
      <c r="HS26" s="199"/>
      <c r="HT26" s="196"/>
      <c r="HU26" s="196"/>
      <c r="HV26" s="196"/>
      <c r="HW26" s="196"/>
      <c r="HX26" s="196"/>
      <c r="HY26" s="198"/>
      <c r="HZ26" s="196"/>
      <c r="IA26" s="196"/>
      <c r="IB26" s="196"/>
      <c r="IC26" s="196"/>
      <c r="ID26" s="196"/>
      <c r="IE26" s="199"/>
      <c r="IF26" s="196"/>
      <c r="IG26" s="196"/>
      <c r="IH26" s="196"/>
      <c r="II26" s="196"/>
      <c r="IJ26" s="196"/>
      <c r="IK26" s="200"/>
      <c r="IL26" s="195"/>
      <c r="IM26" s="196"/>
      <c r="IN26" s="196"/>
      <c r="IO26" s="196"/>
      <c r="IP26" s="196"/>
      <c r="IQ26" s="197"/>
      <c r="IR26" s="196"/>
      <c r="IS26" s="196"/>
      <c r="IT26" s="196"/>
      <c r="IU26" s="196"/>
      <c r="IV26" s="196"/>
      <c r="IW26" s="209"/>
      <c r="IX26" s="207"/>
      <c r="IY26" s="207"/>
      <c r="IZ26" s="207"/>
      <c r="JA26" s="196"/>
      <c r="JB26" s="196"/>
      <c r="JC26" s="199"/>
      <c r="JD26" s="196"/>
      <c r="JE26" s="196"/>
      <c r="JF26" s="196"/>
      <c r="JG26" s="196"/>
      <c r="JH26" s="196"/>
      <c r="JI26" s="198"/>
      <c r="JJ26" s="196"/>
      <c r="JK26" s="196"/>
      <c r="JL26" s="196"/>
      <c r="JM26" s="196"/>
      <c r="JN26" s="196"/>
      <c r="JO26" s="199"/>
      <c r="JP26" s="196"/>
      <c r="JQ26" s="196"/>
      <c r="JR26" s="196"/>
      <c r="JS26" s="196"/>
      <c r="JT26" s="196"/>
      <c r="JU26" s="198"/>
      <c r="JV26" s="196"/>
      <c r="JW26" s="196"/>
      <c r="JX26" s="196"/>
      <c r="JY26" s="196"/>
      <c r="JZ26" s="196"/>
      <c r="KA26" s="199"/>
      <c r="KB26" s="196"/>
      <c r="KC26" s="196"/>
      <c r="KD26" s="196"/>
      <c r="KE26" s="196"/>
      <c r="KF26" s="196"/>
      <c r="KG26" s="198"/>
      <c r="KH26" s="196"/>
      <c r="KI26" s="196"/>
      <c r="KJ26" s="196"/>
      <c r="KK26" s="196"/>
      <c r="KL26" s="196"/>
      <c r="KM26" s="199"/>
      <c r="KN26" s="196"/>
      <c r="KO26" s="196"/>
      <c r="KP26" s="196"/>
      <c r="KQ26" s="196"/>
      <c r="KR26" s="196"/>
      <c r="KS26" s="200"/>
      <c r="KT26" s="195"/>
      <c r="KU26" s="196"/>
      <c r="KV26" s="196"/>
      <c r="KW26" s="196"/>
      <c r="KX26" s="196"/>
      <c r="KY26" s="197"/>
      <c r="KZ26" s="196"/>
      <c r="LA26" s="196"/>
      <c r="LB26" s="196"/>
      <c r="LC26" s="196"/>
      <c r="LD26" s="196"/>
      <c r="LE26" s="198"/>
      <c r="LF26" s="196"/>
      <c r="LG26" s="196"/>
      <c r="LH26" s="196"/>
      <c r="LI26" s="196"/>
      <c r="LJ26" s="196"/>
      <c r="LK26" s="199"/>
      <c r="LL26" s="196"/>
      <c r="LM26" s="196"/>
      <c r="LN26" s="196"/>
      <c r="LO26" s="196"/>
      <c r="LP26" s="196"/>
      <c r="LQ26" s="198"/>
      <c r="LR26" s="196"/>
      <c r="LS26" s="196"/>
      <c r="LT26" s="196"/>
      <c r="LU26" s="196"/>
      <c r="LV26" s="196"/>
      <c r="LW26" s="199"/>
      <c r="LX26" s="196"/>
      <c r="LY26" s="196"/>
      <c r="LZ26" s="196"/>
      <c r="MA26" s="196"/>
      <c r="MB26" s="196"/>
      <c r="MC26" s="198"/>
      <c r="MD26" s="196"/>
      <c r="ME26" s="196"/>
      <c r="MF26" s="196"/>
      <c r="MG26" s="196"/>
      <c r="MH26" s="196"/>
      <c r="MI26" s="199"/>
      <c r="MJ26" s="196"/>
      <c r="MK26" s="196"/>
      <c r="ML26" s="196"/>
      <c r="MM26" s="196"/>
      <c r="MN26" s="196"/>
      <c r="MO26" s="198"/>
      <c r="MP26" s="196"/>
      <c r="MQ26" s="196"/>
      <c r="MR26" s="196"/>
      <c r="MS26" s="196"/>
      <c r="MT26" s="196"/>
      <c r="MU26" s="199"/>
      <c r="MV26" s="196"/>
      <c r="MW26" s="196"/>
      <c r="MX26" s="196"/>
      <c r="MY26" s="196"/>
      <c r="MZ26" s="196"/>
      <c r="NA26" s="200"/>
      <c r="NB26" s="195"/>
      <c r="NC26" s="196"/>
      <c r="ND26" s="196"/>
      <c r="NE26" s="196"/>
      <c r="NF26" s="196"/>
      <c r="NG26" s="197"/>
      <c r="NH26" s="196"/>
      <c r="NI26" s="196"/>
      <c r="NJ26" s="196"/>
      <c r="NK26" s="196"/>
      <c r="NL26" s="196"/>
      <c r="NM26" s="198"/>
      <c r="NN26" s="196"/>
      <c r="NO26" s="196"/>
      <c r="NP26" s="196"/>
      <c r="NQ26" s="196"/>
      <c r="NR26" s="196"/>
      <c r="NS26" s="199"/>
      <c r="NT26" s="196"/>
      <c r="NU26" s="196"/>
      <c r="NV26" s="196"/>
      <c r="NW26" s="196"/>
      <c r="NX26" s="196"/>
      <c r="NY26" s="198"/>
      <c r="NZ26" s="196"/>
      <c r="OA26" s="196"/>
      <c r="OB26" s="196"/>
      <c r="OC26" s="196"/>
      <c r="OD26" s="196"/>
      <c r="OE26" s="199"/>
      <c r="OF26" s="196"/>
      <c r="OG26" s="196"/>
      <c r="OH26" s="196"/>
      <c r="OI26" s="196"/>
      <c r="OJ26" s="196"/>
      <c r="OK26" s="198"/>
      <c r="OL26" s="196"/>
      <c r="OM26" s="196"/>
      <c r="ON26" s="196"/>
      <c r="OO26" s="196"/>
      <c r="OP26" s="196"/>
      <c r="OQ26" s="199"/>
      <c r="OR26" s="196"/>
      <c r="OS26" s="196"/>
      <c r="OT26" s="196"/>
      <c r="OU26" s="196"/>
      <c r="OV26" s="196"/>
      <c r="OW26" s="198"/>
      <c r="OX26" s="196"/>
      <c r="OY26" s="196"/>
      <c r="OZ26" s="196"/>
      <c r="PA26" s="196"/>
      <c r="PB26" s="196"/>
      <c r="PC26" s="199"/>
      <c r="PD26" s="196"/>
      <c r="PE26" s="196"/>
      <c r="PF26" s="196"/>
      <c r="PG26" s="196"/>
      <c r="PH26" s="196"/>
      <c r="PI26" s="200"/>
      <c r="PJ26" s="195"/>
      <c r="PK26" s="196"/>
      <c r="PL26" s="196"/>
      <c r="PM26" s="196"/>
      <c r="PN26" s="196"/>
      <c r="PO26" s="197"/>
      <c r="PP26" s="196"/>
      <c r="PQ26" s="196"/>
      <c r="PR26" s="196"/>
      <c r="PS26" s="196"/>
      <c r="PT26" s="196"/>
      <c r="PU26" s="198"/>
      <c r="PV26" s="196"/>
      <c r="PW26" s="196"/>
      <c r="PX26" s="196"/>
      <c r="PY26" s="196"/>
      <c r="PZ26" s="196"/>
      <c r="QA26" s="199"/>
      <c r="QB26" s="196"/>
      <c r="QC26" s="196"/>
      <c r="QD26" s="196"/>
      <c r="QE26" s="196"/>
      <c r="QF26" s="196"/>
      <c r="QG26" s="198"/>
      <c r="QH26" s="196"/>
      <c r="QI26" s="196"/>
      <c r="QJ26" s="196"/>
      <c r="QK26" s="196"/>
      <c r="QL26" s="196"/>
      <c r="QM26" s="199"/>
      <c r="QN26" s="196"/>
      <c r="QO26" s="196"/>
      <c r="QP26" s="196"/>
      <c r="QQ26" s="196"/>
      <c r="QR26" s="196"/>
      <c r="QS26" s="198"/>
      <c r="QT26" s="196"/>
      <c r="QU26" s="196"/>
      <c r="QV26" s="196"/>
      <c r="QW26" s="196"/>
      <c r="QX26" s="196"/>
      <c r="QY26" s="199"/>
      <c r="QZ26" s="196"/>
      <c r="RA26" s="196"/>
      <c r="RB26" s="196"/>
      <c r="RC26" s="196"/>
      <c r="RD26" s="196"/>
      <c r="RE26" s="198"/>
      <c r="RF26" s="196"/>
      <c r="RG26" s="196"/>
      <c r="RH26" s="196"/>
      <c r="RI26" s="196"/>
      <c r="RJ26" s="196"/>
      <c r="RK26" s="199"/>
      <c r="RL26" s="196"/>
      <c r="RM26" s="196"/>
      <c r="RN26" s="196"/>
      <c r="RO26" s="196"/>
      <c r="RP26" s="196"/>
      <c r="RQ26" s="200"/>
      <c r="RR26" s="195"/>
      <c r="RS26" s="196"/>
      <c r="RT26" s="196"/>
      <c r="RU26" s="196"/>
      <c r="RV26" s="196"/>
      <c r="RW26" s="197"/>
      <c r="RX26" s="196"/>
      <c r="RY26" s="196"/>
      <c r="RZ26" s="196"/>
      <c r="SA26" s="196"/>
      <c r="SB26" s="196"/>
      <c r="SC26" s="198"/>
      <c r="SD26" s="196"/>
      <c r="SE26" s="196"/>
      <c r="SF26" s="196"/>
      <c r="SG26" s="196"/>
      <c r="SH26" s="196"/>
      <c r="SI26" s="199"/>
      <c r="SJ26" s="196"/>
      <c r="SK26" s="196"/>
      <c r="SL26" s="196"/>
      <c r="SM26" s="196"/>
      <c r="SN26" s="196"/>
      <c r="SO26" s="198"/>
      <c r="SP26" s="196"/>
      <c r="SQ26" s="196"/>
      <c r="SR26" s="196"/>
      <c r="SS26" s="196"/>
      <c r="ST26" s="196"/>
      <c r="SU26" s="199"/>
      <c r="SV26" s="196"/>
      <c r="SW26" s="196"/>
      <c r="SX26" s="196"/>
      <c r="SY26" s="196"/>
      <c r="SZ26" s="196"/>
      <c r="TA26" s="198"/>
      <c r="TB26" s="196"/>
      <c r="TC26" s="196"/>
      <c r="TD26" s="196"/>
      <c r="TE26" s="196"/>
      <c r="TF26" s="196"/>
      <c r="TG26" s="199"/>
      <c r="TH26" s="196"/>
      <c r="TI26" s="196"/>
      <c r="TJ26" s="196"/>
      <c r="TK26" s="196"/>
      <c r="TL26" s="196"/>
      <c r="TM26" s="198"/>
      <c r="TN26" s="196"/>
      <c r="TO26" s="196"/>
      <c r="TP26" s="196"/>
      <c r="TQ26" s="196"/>
      <c r="TR26" s="196"/>
      <c r="TS26" s="199"/>
      <c r="TT26" s="196"/>
      <c r="TU26" s="196"/>
      <c r="TV26" s="196"/>
      <c r="TW26" s="196"/>
      <c r="TX26" s="196"/>
      <c r="TY26" s="200"/>
      <c r="TZ26" s="195"/>
      <c r="UA26" s="196"/>
      <c r="UB26" s="196"/>
      <c r="UC26" s="196"/>
      <c r="UD26" s="196"/>
      <c r="UE26" s="197"/>
      <c r="UF26" s="196"/>
      <c r="UG26" s="196"/>
      <c r="UH26" s="196"/>
      <c r="UI26" s="196"/>
      <c r="UJ26" s="196"/>
      <c r="UK26" s="198"/>
      <c r="UL26" s="196"/>
      <c r="UM26" s="196"/>
      <c r="UN26" s="196"/>
      <c r="UO26" s="196"/>
      <c r="UP26" s="196"/>
      <c r="UQ26" s="199"/>
      <c r="UR26" s="196"/>
      <c r="US26" s="196"/>
      <c r="UT26" s="196"/>
      <c r="UU26" s="196"/>
      <c r="UV26" s="196"/>
      <c r="UW26" s="198"/>
      <c r="UX26" s="196"/>
      <c r="UY26" s="196"/>
      <c r="UZ26" s="196"/>
      <c r="VA26" s="196"/>
      <c r="VB26" s="196"/>
      <c r="VC26" s="199"/>
      <c r="VD26" s="196"/>
      <c r="VE26" s="196"/>
      <c r="VF26" s="196"/>
      <c r="VG26" s="196"/>
      <c r="VH26" s="196"/>
      <c r="VI26" s="198"/>
      <c r="VJ26" s="196"/>
      <c r="VK26" s="196"/>
      <c r="VL26" s="196"/>
      <c r="VM26" s="196"/>
      <c r="VN26" s="196"/>
      <c r="VO26" s="199"/>
      <c r="VP26" s="196"/>
      <c r="VQ26" s="196"/>
      <c r="VR26" s="196"/>
      <c r="VS26" s="196"/>
      <c r="VT26" s="196"/>
      <c r="VU26" s="198"/>
      <c r="VV26" s="196"/>
      <c r="VW26" s="196"/>
      <c r="VX26" s="196"/>
      <c r="VY26" s="196"/>
      <c r="VZ26" s="196"/>
      <c r="WA26" s="199"/>
      <c r="WB26" s="196"/>
      <c r="WC26" s="196"/>
      <c r="WD26" s="196"/>
      <c r="WE26" s="196"/>
      <c r="WF26" s="196"/>
      <c r="WG26" s="200"/>
      <c r="WH26" s="195"/>
      <c r="WI26" s="196"/>
      <c r="WJ26" s="196"/>
      <c r="WK26" s="196"/>
      <c r="WL26" s="196"/>
      <c r="WM26" s="197"/>
      <c r="WN26" s="196"/>
      <c r="WO26" s="196"/>
      <c r="WP26" s="196"/>
      <c r="WQ26" s="196"/>
      <c r="WR26" s="196"/>
      <c r="WS26" s="198"/>
      <c r="WT26" s="196"/>
      <c r="WU26" s="196"/>
      <c r="WV26" s="196"/>
      <c r="WW26" s="196"/>
      <c r="WX26" s="196"/>
      <c r="WY26" s="199"/>
      <c r="WZ26" s="196"/>
      <c r="XA26" s="196"/>
      <c r="XB26" s="196"/>
      <c r="XC26" s="196"/>
      <c r="XD26" s="196"/>
      <c r="XE26" s="198"/>
      <c r="XF26" s="196"/>
      <c r="XG26" s="196"/>
      <c r="XH26" s="196"/>
      <c r="XI26" s="196"/>
      <c r="XJ26" s="196"/>
      <c r="XK26" s="199"/>
      <c r="XL26" s="196"/>
      <c r="XM26" s="196"/>
      <c r="XN26" s="196"/>
      <c r="XO26" s="196"/>
      <c r="XP26" s="196"/>
      <c r="XQ26" s="198"/>
      <c r="XR26" s="196"/>
      <c r="XS26" s="196"/>
      <c r="XT26" s="196"/>
      <c r="XU26" s="196"/>
      <c r="XV26" s="196"/>
      <c r="XW26" s="199"/>
      <c r="XX26" s="196"/>
      <c r="XY26" s="196"/>
      <c r="XZ26" s="196"/>
      <c r="YA26" s="196"/>
      <c r="YB26" s="196"/>
      <c r="YC26" s="198"/>
      <c r="YD26" s="196"/>
      <c r="YE26" s="196"/>
      <c r="YF26" s="196"/>
      <c r="YG26" s="196"/>
      <c r="YH26" s="196"/>
      <c r="YI26" s="199"/>
      <c r="YJ26" s="196"/>
      <c r="YK26" s="196"/>
      <c r="YL26" s="196"/>
      <c r="YM26" s="196"/>
      <c r="YN26" s="196"/>
      <c r="YO26" s="200"/>
      <c r="YP26" s="195"/>
      <c r="YQ26" s="196"/>
      <c r="YR26" s="196"/>
      <c r="YS26" s="196"/>
      <c r="YT26" s="196"/>
      <c r="YU26" s="197"/>
      <c r="YV26" s="196"/>
      <c r="YW26" s="196"/>
      <c r="YX26" s="196"/>
      <c r="YY26" s="196"/>
      <c r="YZ26" s="196"/>
      <c r="ZA26" s="198"/>
      <c r="ZB26" s="196"/>
      <c r="ZC26" s="196"/>
      <c r="ZD26" s="196"/>
      <c r="ZE26" s="196"/>
      <c r="ZF26" s="196"/>
      <c r="ZG26" s="199"/>
      <c r="ZH26" s="196"/>
      <c r="ZI26" s="196"/>
      <c r="ZJ26" s="196"/>
      <c r="ZK26" s="196"/>
      <c r="ZL26" s="196"/>
      <c r="ZM26" s="198"/>
      <c r="ZN26" s="196"/>
      <c r="ZO26" s="196"/>
      <c r="ZP26" s="196"/>
      <c r="ZQ26" s="196"/>
      <c r="ZR26" s="196"/>
      <c r="ZS26" s="199"/>
      <c r="ZT26" s="196"/>
      <c r="ZU26" s="196"/>
      <c r="ZV26" s="196"/>
      <c r="ZW26" s="196"/>
      <c r="ZX26" s="196"/>
      <c r="ZY26" s="198"/>
      <c r="ZZ26" s="196"/>
      <c r="AAA26" s="196"/>
      <c r="AAB26" s="196"/>
      <c r="AAC26" s="196"/>
      <c r="AAD26" s="196"/>
      <c r="AAE26" s="199"/>
      <c r="AAF26" s="196"/>
      <c r="AAG26" s="196"/>
      <c r="AAH26" s="196"/>
      <c r="AAI26" s="196"/>
      <c r="AAJ26" s="196"/>
      <c r="AAK26" s="198"/>
      <c r="AAL26" s="196"/>
      <c r="AAM26" s="196"/>
      <c r="AAN26" s="196"/>
      <c r="AAO26" s="196"/>
      <c r="AAP26" s="196"/>
      <c r="AAQ26" s="199"/>
      <c r="AAR26" s="196"/>
      <c r="AAS26" s="196"/>
      <c r="AAT26" s="196"/>
      <c r="AAU26" s="196"/>
      <c r="AAV26" s="196"/>
      <c r="AAW26" s="200"/>
      <c r="AAX26" s="195"/>
      <c r="AAY26" s="196"/>
      <c r="AAZ26" s="196"/>
      <c r="ABA26" s="196"/>
      <c r="ABB26" s="196"/>
      <c r="ABC26" s="197"/>
      <c r="ABD26" s="196"/>
      <c r="ABE26" s="196"/>
      <c r="ABF26" s="196"/>
      <c r="ABG26" s="196"/>
      <c r="ABH26" s="196"/>
      <c r="ABI26" s="198"/>
      <c r="ABJ26" s="196"/>
      <c r="ABK26" s="196"/>
      <c r="ABL26" s="196"/>
      <c r="ABM26" s="196"/>
      <c r="ABN26" s="196"/>
      <c r="ABO26" s="199"/>
      <c r="ABP26" s="196"/>
      <c r="ABQ26" s="196"/>
      <c r="ABR26" s="196"/>
      <c r="ABS26" s="196"/>
      <c r="ABT26" s="196"/>
      <c r="ABU26" s="198"/>
      <c r="ABV26" s="196"/>
      <c r="ABW26" s="196"/>
      <c r="ABX26" s="196"/>
      <c r="ABY26" s="196"/>
      <c r="ABZ26" s="196"/>
      <c r="ACA26" s="199"/>
      <c r="ACB26" s="196"/>
      <c r="ACC26" s="196"/>
      <c r="ACD26" s="196"/>
      <c r="ACE26" s="196"/>
      <c r="ACF26" s="196"/>
      <c r="ACG26" s="198"/>
      <c r="ACH26" s="196"/>
      <c r="ACI26" s="196"/>
      <c r="ACJ26" s="196"/>
      <c r="ACK26" s="196"/>
      <c r="ACL26" s="196"/>
      <c r="ACM26" s="199"/>
      <c r="ACN26" s="196"/>
      <c r="ACO26" s="196"/>
      <c r="ACP26" s="196"/>
      <c r="ACQ26" s="196"/>
      <c r="ACR26" s="196"/>
      <c r="ACS26" s="198"/>
      <c r="ACT26" s="196"/>
      <c r="ACU26" s="196"/>
      <c r="ACV26" s="196"/>
      <c r="ACW26" s="196"/>
      <c r="ACX26" s="196"/>
      <c r="ACY26" s="199"/>
      <c r="ACZ26" s="196"/>
      <c r="ADA26" s="196"/>
      <c r="ADB26" s="196"/>
      <c r="ADC26" s="196"/>
      <c r="ADD26" s="196"/>
      <c r="ADE26" s="200"/>
      <c r="ADF26" s="195"/>
      <c r="ADG26" s="196"/>
      <c r="ADH26" s="196"/>
      <c r="ADI26" s="196"/>
      <c r="ADJ26" s="196"/>
      <c r="ADK26" s="197"/>
      <c r="ADL26" s="196"/>
      <c r="ADM26" s="196"/>
      <c r="ADN26" s="196"/>
      <c r="ADO26" s="196"/>
      <c r="ADP26" s="196"/>
      <c r="ADQ26" s="198"/>
      <c r="ADR26" s="196"/>
      <c r="ADS26" s="196"/>
      <c r="ADT26" s="196"/>
      <c r="ADU26" s="196"/>
      <c r="ADV26" s="196"/>
      <c r="ADW26" s="199"/>
      <c r="ADX26" s="196"/>
      <c r="ADY26" s="196"/>
      <c r="ADZ26" s="196"/>
      <c r="AEA26" s="196"/>
      <c r="AEB26" s="196"/>
      <c r="AEC26" s="198"/>
      <c r="AED26" s="196"/>
      <c r="AEE26" s="196"/>
      <c r="AEF26" s="196"/>
      <c r="AEG26" s="196"/>
      <c r="AEH26" s="196"/>
      <c r="AEI26" s="199"/>
      <c r="AEJ26" s="196"/>
      <c r="AEK26" s="196"/>
      <c r="AEL26" s="196"/>
      <c r="AEM26" s="196"/>
      <c r="AEN26" s="196"/>
      <c r="AEO26" s="198"/>
      <c r="AEP26" s="196"/>
      <c r="AEQ26" s="196"/>
      <c r="AER26" s="196"/>
      <c r="AES26" s="196"/>
      <c r="AET26" s="196"/>
      <c r="AEU26" s="199"/>
      <c r="AEV26" s="196"/>
      <c r="AEW26" s="196"/>
      <c r="AEX26" s="196"/>
      <c r="AEY26" s="196"/>
      <c r="AEZ26" s="196"/>
      <c r="AFA26" s="198"/>
      <c r="AFB26" s="196"/>
      <c r="AFC26" s="196"/>
      <c r="AFD26" s="196"/>
      <c r="AFE26" s="196"/>
      <c r="AFF26" s="196"/>
      <c r="AFG26" s="199"/>
      <c r="AFH26" s="196"/>
      <c r="AFI26" s="196"/>
      <c r="AFJ26" s="196"/>
      <c r="AFK26" s="196"/>
      <c r="AFL26" s="196"/>
      <c r="AFM26" s="200"/>
      <c r="AFN26" s="195"/>
      <c r="AFO26" s="196"/>
      <c r="AFP26" s="196"/>
      <c r="AFQ26" s="196"/>
      <c r="AFR26" s="196"/>
      <c r="AFS26" s="197"/>
      <c r="AFT26" s="196"/>
      <c r="AFU26" s="196"/>
      <c r="AFV26" s="196"/>
      <c r="AFW26" s="196"/>
      <c r="AFX26" s="196"/>
      <c r="AFY26" s="198"/>
      <c r="AFZ26" s="196"/>
      <c r="AGA26" s="196"/>
      <c r="AGB26" s="196"/>
      <c r="AGC26" s="196"/>
      <c r="AGD26" s="196"/>
      <c r="AGE26" s="199"/>
      <c r="AGF26" s="196"/>
      <c r="AGG26" s="196"/>
      <c r="AGH26" s="196"/>
      <c r="AGI26" s="196"/>
      <c r="AGJ26" s="196"/>
      <c r="AGK26" s="198"/>
      <c r="AGL26" s="196"/>
      <c r="AGM26" s="196"/>
      <c r="AGN26" s="196"/>
      <c r="AGO26" s="196"/>
      <c r="AGP26" s="196"/>
      <c r="AGQ26" s="199"/>
      <c r="AGR26" s="196"/>
      <c r="AGS26" s="196"/>
      <c r="AGT26" s="196"/>
      <c r="AGU26" s="196"/>
      <c r="AGV26" s="196"/>
      <c r="AGW26" s="198"/>
      <c r="AGX26" s="196"/>
      <c r="AGY26" s="196"/>
      <c r="AGZ26" s="196"/>
      <c r="AHA26" s="196"/>
      <c r="AHB26" s="196"/>
      <c r="AHC26" s="199"/>
      <c r="AHD26" s="196"/>
      <c r="AHE26" s="196"/>
      <c r="AHF26" s="196"/>
      <c r="AHG26" s="196"/>
      <c r="AHH26" s="196"/>
      <c r="AHI26" s="198"/>
      <c r="AHJ26" s="196"/>
      <c r="AHK26" s="196"/>
      <c r="AHL26" s="196"/>
      <c r="AHM26" s="196"/>
      <c r="AHN26" s="196"/>
      <c r="AHO26" s="199"/>
      <c r="AHP26" s="196"/>
      <c r="AHQ26" s="196"/>
      <c r="AHR26" s="196"/>
      <c r="AHS26" s="196"/>
      <c r="AHT26" s="196"/>
      <c r="AHU26" s="200"/>
      <c r="AHV26" s="195"/>
      <c r="AHW26" s="196"/>
      <c r="AHX26" s="196"/>
      <c r="AHY26" s="196"/>
      <c r="AHZ26" s="196"/>
      <c r="AIA26" s="197"/>
      <c r="AIB26" s="196"/>
      <c r="AIC26" s="196"/>
      <c r="AID26" s="196"/>
      <c r="AIE26" s="196"/>
      <c r="AIF26" s="196"/>
      <c r="AIG26" s="198"/>
      <c r="AIH26" s="196"/>
      <c r="AII26" s="196"/>
      <c r="AIJ26" s="196"/>
      <c r="AIK26" s="196"/>
      <c r="AIL26" s="196"/>
      <c r="AIM26" s="199"/>
      <c r="AIN26" s="196"/>
      <c r="AIO26" s="196"/>
      <c r="AIP26" s="196"/>
      <c r="AIQ26" s="196"/>
      <c r="AIR26" s="196"/>
      <c r="AIS26" s="198"/>
      <c r="AIT26" s="196"/>
      <c r="AIU26" s="196"/>
      <c r="AIV26" s="196"/>
      <c r="AIW26" s="196"/>
      <c r="AIX26" s="196"/>
      <c r="AIY26" s="199"/>
      <c r="AIZ26" s="196"/>
      <c r="AJA26" s="196"/>
      <c r="AJB26" s="196"/>
      <c r="AJC26" s="196"/>
      <c r="AJD26" s="196"/>
      <c r="AJE26" s="198"/>
      <c r="AJF26" s="196"/>
      <c r="AJG26" s="196"/>
      <c r="AJH26" s="196"/>
      <c r="AJI26" s="196"/>
      <c r="AJJ26" s="196"/>
      <c r="AJK26" s="199"/>
      <c r="AJL26" s="196"/>
      <c r="AJM26" s="196"/>
      <c r="AJN26" s="196"/>
      <c r="AJO26" s="196"/>
      <c r="AJP26" s="196"/>
      <c r="AJQ26" s="198"/>
      <c r="AJR26" s="196"/>
      <c r="AJS26" s="196"/>
      <c r="AJT26" s="196"/>
      <c r="AJU26" s="196"/>
      <c r="AJV26" s="196"/>
      <c r="AJW26" s="199"/>
      <c r="AJX26" s="196"/>
      <c r="AJY26" s="196"/>
      <c r="AJZ26" s="196"/>
      <c r="AKA26" s="196"/>
      <c r="AKB26" s="196"/>
      <c r="AKC26" s="200"/>
      <c r="AKD26" s="195"/>
      <c r="AKE26" s="196"/>
      <c r="AKF26" s="196"/>
      <c r="AKG26" s="196"/>
      <c r="AKH26" s="196"/>
      <c r="AKI26" s="197"/>
      <c r="AKJ26" s="196"/>
      <c r="AKK26" s="196"/>
      <c r="AKL26" s="196"/>
      <c r="AKM26" s="196"/>
      <c r="AKN26" s="196"/>
      <c r="AKO26" s="198"/>
      <c r="AKP26" s="196"/>
      <c r="AKQ26" s="196"/>
      <c r="AKR26" s="196"/>
      <c r="AKS26" s="196"/>
      <c r="AKT26" s="196"/>
      <c r="AKU26" s="199"/>
      <c r="AKV26" s="196"/>
      <c r="AKW26" s="196"/>
      <c r="AKX26" s="196"/>
      <c r="AKY26" s="196"/>
      <c r="AKZ26" s="196"/>
      <c r="ALA26" s="198"/>
      <c r="ALB26" s="196"/>
      <c r="ALC26" s="196"/>
      <c r="ALD26" s="196"/>
      <c r="ALE26" s="196"/>
      <c r="ALF26" s="196"/>
      <c r="ALG26" s="199"/>
      <c r="ALH26" s="196"/>
      <c r="ALI26" s="196"/>
      <c r="ALJ26" s="196"/>
      <c r="ALK26" s="196"/>
      <c r="ALL26" s="196"/>
      <c r="ALM26" s="198"/>
      <c r="ALN26" s="196"/>
      <c r="ALO26" s="196"/>
      <c r="ALP26" s="196"/>
      <c r="ALQ26" s="196"/>
      <c r="ALR26" s="196"/>
      <c r="ALS26" s="199"/>
      <c r="ALT26" s="196"/>
      <c r="ALU26" s="196"/>
      <c r="ALV26" s="196"/>
      <c r="ALW26" s="196"/>
      <c r="ALX26" s="196"/>
      <c r="ALY26" s="198"/>
      <c r="ALZ26" s="196"/>
      <c r="AMA26" s="196"/>
      <c r="AMB26" s="196"/>
      <c r="AMC26" s="196"/>
      <c r="AMD26" s="196"/>
      <c r="AME26" s="199"/>
      <c r="AMF26" s="196"/>
      <c r="AMG26" s="196"/>
      <c r="AMH26" s="196"/>
      <c r="AMI26" s="196"/>
      <c r="AMJ26" s="196"/>
      <c r="AMK26" s="200"/>
      <c r="AML26" s="195"/>
      <c r="AMM26" s="196"/>
      <c r="AMN26" s="196"/>
      <c r="AMO26" s="196"/>
      <c r="AMP26" s="196"/>
      <c r="AMQ26" s="197"/>
      <c r="AMR26" s="196"/>
      <c r="AMS26" s="196"/>
      <c r="AMT26" s="196"/>
      <c r="AMU26" s="196"/>
      <c r="AMV26" s="196"/>
      <c r="AMW26" s="198"/>
      <c r="AMX26" s="196"/>
      <c r="AMY26" s="196"/>
      <c r="AMZ26" s="196"/>
      <c r="ANA26" s="196"/>
      <c r="ANB26" s="196"/>
      <c r="ANC26" s="199"/>
      <c r="AND26" s="196"/>
      <c r="ANE26" s="196"/>
      <c r="ANF26" s="196"/>
      <c r="ANG26" s="196"/>
      <c r="ANH26" s="196"/>
      <c r="ANI26" s="198"/>
      <c r="ANJ26" s="196"/>
      <c r="ANK26" s="196"/>
      <c r="ANL26" s="196"/>
      <c r="ANM26" s="196"/>
      <c r="ANN26" s="196"/>
      <c r="ANO26" s="199"/>
      <c r="ANP26" s="196"/>
      <c r="ANQ26" s="196"/>
      <c r="ANR26" s="196"/>
      <c r="ANS26" s="196"/>
      <c r="ANT26" s="196"/>
      <c r="ANU26" s="198"/>
      <c r="ANV26" s="196"/>
      <c r="ANW26" s="196"/>
      <c r="ANX26" s="196"/>
      <c r="ANY26" s="196"/>
      <c r="ANZ26" s="196"/>
      <c r="AOA26" s="199"/>
      <c r="AOB26" s="196"/>
      <c r="AOC26" s="196"/>
      <c r="AOD26" s="196"/>
      <c r="AOE26" s="196"/>
      <c r="AOF26" s="196"/>
      <c r="AOG26" s="198"/>
      <c r="AOH26" s="196"/>
      <c r="AOI26" s="196"/>
      <c r="AOJ26" s="196"/>
      <c r="AOK26" s="196"/>
      <c r="AOL26" s="196"/>
      <c r="AOM26" s="199"/>
      <c r="AON26" s="196"/>
      <c r="AOO26" s="196"/>
      <c r="AOP26" s="196"/>
      <c r="AOQ26" s="196"/>
      <c r="AOR26" s="196"/>
      <c r="AOS26" s="200"/>
      <c r="AOT26" s="195"/>
      <c r="AOU26" s="196"/>
      <c r="AOV26" s="196"/>
      <c r="AOW26" s="196"/>
      <c r="AOX26" s="196"/>
      <c r="AOY26" s="197"/>
      <c r="AOZ26" s="196"/>
      <c r="APA26" s="196"/>
      <c r="APB26" s="196"/>
      <c r="APC26" s="196"/>
      <c r="APD26" s="196"/>
      <c r="APE26" s="198"/>
      <c r="APF26" s="196"/>
      <c r="APG26" s="196"/>
      <c r="APH26" s="196"/>
      <c r="API26" s="196"/>
      <c r="APJ26" s="196"/>
      <c r="APK26" s="199"/>
      <c r="APL26" s="196"/>
      <c r="APM26" s="196"/>
      <c r="APN26" s="196"/>
      <c r="APO26" s="196"/>
      <c r="APP26" s="196"/>
      <c r="APQ26" s="198"/>
      <c r="APR26" s="196"/>
      <c r="APS26" s="196"/>
      <c r="APT26" s="196"/>
      <c r="APU26" s="196"/>
      <c r="APV26" s="196"/>
      <c r="APW26" s="199"/>
      <c r="APX26" s="196"/>
      <c r="APY26" s="196"/>
      <c r="APZ26" s="196"/>
      <c r="AQA26" s="196"/>
      <c r="AQB26" s="196"/>
      <c r="AQC26" s="198"/>
      <c r="AQD26" s="196"/>
      <c r="AQE26" s="196"/>
      <c r="AQF26" s="196"/>
      <c r="AQG26" s="196"/>
      <c r="AQH26" s="196"/>
      <c r="AQI26" s="199"/>
      <c r="AQJ26" s="196"/>
      <c r="AQK26" s="196"/>
      <c r="AQL26" s="196"/>
      <c r="AQM26" s="196"/>
      <c r="AQN26" s="196"/>
      <c r="AQO26" s="198"/>
      <c r="AQP26" s="196"/>
      <c r="AQQ26" s="196"/>
      <c r="AQR26" s="196"/>
      <c r="AQS26" s="196"/>
      <c r="AQT26" s="196"/>
      <c r="AQU26" s="199"/>
      <c r="AQV26" s="196"/>
      <c r="AQW26" s="196"/>
      <c r="AQX26" s="196"/>
      <c r="AQY26" s="196"/>
      <c r="AQZ26" s="196"/>
      <c r="ARA26" s="200"/>
      <c r="ARB26" s="195"/>
      <c r="ARC26" s="196"/>
      <c r="ARD26" s="196"/>
      <c r="ARE26" s="196"/>
      <c r="ARF26" s="196"/>
      <c r="ARG26" s="197"/>
      <c r="ARH26" s="196"/>
      <c r="ARI26" s="196"/>
      <c r="ARJ26" s="196"/>
      <c r="ARK26" s="196"/>
      <c r="ARL26" s="196"/>
      <c r="ARM26" s="198"/>
      <c r="ARN26" s="196"/>
      <c r="ARO26" s="196"/>
      <c r="ARP26" s="196"/>
      <c r="ARQ26" s="196"/>
      <c r="ARR26" s="196"/>
      <c r="ARS26" s="199"/>
      <c r="ART26" s="196"/>
      <c r="ARU26" s="196"/>
      <c r="ARV26" s="196"/>
      <c r="ARW26" s="196"/>
      <c r="ARX26" s="196"/>
      <c r="ARY26" s="198"/>
      <c r="ARZ26" s="196"/>
      <c r="ASA26" s="196"/>
      <c r="ASB26" s="196"/>
      <c r="ASC26" s="196"/>
      <c r="ASD26" s="196"/>
      <c r="ASE26" s="199"/>
      <c r="ASF26" s="196"/>
      <c r="ASG26" s="196"/>
      <c r="ASH26" s="196"/>
      <c r="ASI26" s="196"/>
      <c r="ASJ26" s="196"/>
      <c r="ASK26" s="198"/>
      <c r="ASL26" s="196"/>
      <c r="ASM26" s="196"/>
      <c r="ASN26" s="196"/>
      <c r="ASO26" s="196"/>
      <c r="ASP26" s="196"/>
      <c r="ASQ26" s="199"/>
      <c r="ASR26" s="196"/>
      <c r="ASS26" s="196"/>
      <c r="AST26" s="196"/>
      <c r="ASU26" s="196"/>
      <c r="ASV26" s="196"/>
      <c r="ASW26" s="198"/>
      <c r="ASX26" s="196"/>
      <c r="ASY26" s="196"/>
      <c r="ASZ26" s="196"/>
      <c r="ATA26" s="196"/>
      <c r="ATB26" s="196"/>
      <c r="ATC26" s="199"/>
      <c r="ATD26" s="196"/>
      <c r="ATE26" s="196"/>
      <c r="ATF26" s="196"/>
      <c r="ATG26" s="196"/>
      <c r="ATH26" s="196"/>
      <c r="ATI26" s="200"/>
      <c r="ATJ26" s="195"/>
      <c r="ATK26" s="196"/>
      <c r="ATL26" s="196"/>
      <c r="ATM26" s="196"/>
      <c r="ATN26" s="196"/>
      <c r="ATO26" s="197"/>
      <c r="ATP26" s="196"/>
      <c r="ATQ26" s="196"/>
      <c r="ATR26" s="196"/>
      <c r="ATS26" s="196"/>
      <c r="ATT26" s="196"/>
      <c r="ATU26" s="198"/>
      <c r="ATV26" s="196"/>
      <c r="ATW26" s="196"/>
      <c r="ATX26" s="196"/>
      <c r="ATY26" s="196"/>
      <c r="ATZ26" s="196"/>
      <c r="AUA26" s="199"/>
      <c r="AUB26" s="196"/>
      <c r="AUC26" s="196"/>
      <c r="AUD26" s="196"/>
      <c r="AUE26" s="196"/>
      <c r="AUF26" s="196"/>
      <c r="AUG26" s="198"/>
      <c r="AUH26" s="196"/>
      <c r="AUI26" s="196"/>
      <c r="AUJ26" s="196"/>
      <c r="AUK26" s="196"/>
      <c r="AUL26" s="196"/>
      <c r="AUM26" s="199"/>
      <c r="AUN26" s="196"/>
      <c r="AUO26" s="196"/>
      <c r="AUP26" s="196"/>
      <c r="AUQ26" s="196"/>
      <c r="AUR26" s="196"/>
      <c r="AUS26" s="198"/>
      <c r="AUT26" s="196"/>
      <c r="AUU26" s="196"/>
      <c r="AUV26" s="196"/>
      <c r="AUW26" s="196"/>
      <c r="AUX26" s="196"/>
      <c r="AUY26" s="199"/>
      <c r="AUZ26" s="196"/>
      <c r="AVA26" s="196"/>
      <c r="AVB26" s="196"/>
      <c r="AVC26" s="196"/>
      <c r="AVD26" s="196"/>
      <c r="AVE26" s="198"/>
      <c r="AVF26" s="196"/>
      <c r="AVG26" s="196"/>
      <c r="AVH26" s="196"/>
      <c r="AVI26" s="196"/>
      <c r="AVJ26" s="196"/>
      <c r="AVK26" s="199"/>
      <c r="AVL26" s="196"/>
      <c r="AVM26" s="196"/>
      <c r="AVN26" s="196"/>
      <c r="AVO26" s="196"/>
      <c r="AVP26" s="196"/>
      <c r="AVQ26" s="200"/>
      <c r="AVR26" s="195"/>
      <c r="AVS26" s="196"/>
      <c r="AVT26" s="196"/>
      <c r="AVU26" s="196"/>
      <c r="AVV26" s="196"/>
      <c r="AVW26" s="197"/>
      <c r="AVX26" s="196"/>
      <c r="AVY26" s="196"/>
      <c r="AVZ26" s="196"/>
      <c r="AWA26" s="196"/>
      <c r="AWB26" s="196"/>
      <c r="AWC26" s="198"/>
      <c r="AWD26" s="196"/>
      <c r="AWE26" s="196"/>
      <c r="AWF26" s="196"/>
      <c r="AWG26" s="196"/>
      <c r="AWH26" s="196"/>
      <c r="AWI26" s="199"/>
      <c r="AWJ26" s="196"/>
      <c r="AWK26" s="196"/>
      <c r="AWL26" s="196"/>
      <c r="AWM26" s="196"/>
      <c r="AWN26" s="196"/>
      <c r="AWO26" s="198"/>
      <c r="AWP26" s="196"/>
      <c r="AWQ26" s="196"/>
      <c r="AWR26" s="196"/>
      <c r="AWS26" s="196"/>
      <c r="AWT26" s="196"/>
      <c r="AWU26" s="199"/>
      <c r="AWV26" s="196"/>
      <c r="AWW26" s="196"/>
      <c r="AWX26" s="196"/>
      <c r="AWY26" s="196"/>
      <c r="AWZ26" s="196"/>
      <c r="AXA26" s="198"/>
      <c r="AXB26" s="196"/>
      <c r="AXC26" s="196"/>
      <c r="AXD26" s="196"/>
      <c r="AXE26" s="196"/>
      <c r="AXF26" s="196"/>
      <c r="AXG26" s="199"/>
      <c r="AXH26" s="196"/>
      <c r="AXI26" s="196"/>
      <c r="AXJ26" s="196"/>
      <c r="AXK26" s="196"/>
      <c r="AXL26" s="196"/>
      <c r="AXM26" s="198"/>
      <c r="AXN26" s="196"/>
      <c r="AXO26" s="196"/>
      <c r="AXP26" s="196"/>
      <c r="AXQ26" s="196"/>
      <c r="AXR26" s="196"/>
      <c r="AXS26" s="199"/>
      <c r="AXT26" s="196"/>
      <c r="AXU26" s="196"/>
      <c r="AXV26" s="196"/>
      <c r="AXW26" s="196"/>
      <c r="AXX26" s="196"/>
      <c r="AXY26" s="200"/>
      <c r="AXZ26" s="195"/>
      <c r="AYA26" s="196"/>
      <c r="AYB26" s="196"/>
      <c r="AYC26" s="196"/>
      <c r="AYD26" s="196"/>
      <c r="AYE26" s="197"/>
      <c r="AYF26" s="196"/>
      <c r="AYG26" s="196"/>
      <c r="AYH26" s="196"/>
      <c r="AYI26" s="196"/>
      <c r="AYJ26" s="196"/>
      <c r="AYK26" s="198"/>
      <c r="AYL26" s="196"/>
      <c r="AYM26" s="196"/>
      <c r="AYN26" s="196"/>
      <c r="AYO26" s="196"/>
      <c r="AYP26" s="196"/>
      <c r="AYQ26" s="199"/>
      <c r="AYR26" s="196"/>
      <c r="AYS26" s="196"/>
      <c r="AYT26" s="196"/>
      <c r="AYU26" s="196"/>
      <c r="AYV26" s="196"/>
      <c r="AYW26" s="198"/>
      <c r="AYX26" s="196"/>
      <c r="AYY26" s="196"/>
      <c r="AYZ26" s="196"/>
      <c r="AZA26" s="196"/>
      <c r="AZB26" s="196"/>
      <c r="AZC26" s="199"/>
      <c r="AZD26" s="196"/>
      <c r="AZE26" s="196"/>
      <c r="AZF26" s="196"/>
      <c r="AZG26" s="196"/>
      <c r="AZH26" s="196"/>
      <c r="AZI26" s="198"/>
      <c r="AZJ26" s="196"/>
      <c r="AZK26" s="196"/>
      <c r="AZL26" s="196"/>
      <c r="AZM26" s="196"/>
      <c r="AZN26" s="196"/>
      <c r="AZO26" s="199"/>
      <c r="AZP26" s="196"/>
      <c r="AZQ26" s="196"/>
      <c r="AZR26" s="196"/>
      <c r="AZS26" s="196"/>
      <c r="AZT26" s="196"/>
      <c r="AZU26" s="198"/>
      <c r="AZV26" s="196"/>
      <c r="AZW26" s="196"/>
      <c r="AZX26" s="196"/>
      <c r="AZY26" s="196"/>
      <c r="AZZ26" s="196"/>
      <c r="BAA26" s="199"/>
      <c r="BAB26" s="196"/>
      <c r="BAC26" s="196"/>
      <c r="BAD26" s="196"/>
      <c r="BAE26" s="196"/>
      <c r="BAF26" s="196"/>
      <c r="BAG26" s="200"/>
      <c r="BAH26" s="195"/>
      <c r="BAI26" s="196"/>
      <c r="BAJ26" s="196"/>
      <c r="BAK26" s="196"/>
      <c r="BAL26" s="196"/>
      <c r="BAM26" s="197"/>
      <c r="BAN26" s="196"/>
      <c r="BAO26" s="196"/>
      <c r="BAP26" s="196"/>
      <c r="BAQ26" s="196"/>
      <c r="BAR26" s="196"/>
      <c r="BAS26" s="198"/>
      <c r="BAT26" s="196"/>
      <c r="BAU26" s="196"/>
      <c r="BAV26" s="196"/>
      <c r="BAW26" s="196"/>
      <c r="BAX26" s="196"/>
      <c r="BAY26" s="199"/>
      <c r="BAZ26" s="196"/>
      <c r="BBA26" s="196"/>
      <c r="BBB26" s="196"/>
      <c r="BBC26" s="196"/>
      <c r="BBD26" s="196"/>
      <c r="BBE26" s="198"/>
      <c r="BBF26" s="196"/>
      <c r="BBG26" s="196"/>
      <c r="BBH26" s="196"/>
      <c r="BBI26" s="196"/>
      <c r="BBJ26" s="196"/>
      <c r="BBK26" s="199"/>
      <c r="BBL26" s="196"/>
      <c r="BBM26" s="196"/>
      <c r="BBN26" s="196"/>
      <c r="BBO26" s="196"/>
      <c r="BBP26" s="196"/>
      <c r="BBQ26" s="198"/>
      <c r="BBR26" s="196"/>
      <c r="BBS26" s="196"/>
      <c r="BBT26" s="196"/>
      <c r="BBU26" s="196"/>
      <c r="BBV26" s="196"/>
      <c r="BBW26" s="199"/>
      <c r="BBX26" s="196"/>
      <c r="BBY26" s="196"/>
      <c r="BBZ26" s="196"/>
      <c r="BCA26" s="196"/>
      <c r="BCB26" s="196"/>
      <c r="BCC26" s="198"/>
      <c r="BCD26" s="196"/>
      <c r="BCE26" s="196"/>
      <c r="BCF26" s="196"/>
      <c r="BCG26" s="196"/>
      <c r="BCH26" s="196"/>
      <c r="BCI26" s="199"/>
      <c r="BCJ26" s="196"/>
      <c r="BCK26" s="196"/>
      <c r="BCL26" s="196"/>
      <c r="BCM26" s="196"/>
      <c r="BCN26" s="196"/>
      <c r="BCO26" s="200"/>
      <c r="BCP26" s="195"/>
      <c r="BCQ26" s="196"/>
      <c r="BCR26" s="196"/>
      <c r="BCS26" s="196"/>
      <c r="BCT26" s="196"/>
      <c r="BCU26" s="197"/>
      <c r="BCV26" s="196"/>
      <c r="BCW26" s="196"/>
      <c r="BCX26" s="196"/>
      <c r="BCY26" s="196"/>
      <c r="BCZ26" s="196"/>
      <c r="BDA26" s="198"/>
      <c r="BDB26" s="196"/>
      <c r="BDC26" s="196"/>
      <c r="BDD26" s="196"/>
      <c r="BDE26" s="196"/>
      <c r="BDF26" s="196"/>
      <c r="BDG26" s="199"/>
      <c r="BDH26" s="196"/>
      <c r="BDI26" s="196"/>
      <c r="BDJ26" s="196"/>
      <c r="BDK26" s="196"/>
      <c r="BDL26" s="196"/>
      <c r="BDM26" s="198"/>
      <c r="BDN26" s="196"/>
      <c r="BDO26" s="196"/>
      <c r="BDP26" s="196"/>
      <c r="BDQ26" s="196"/>
      <c r="BDR26" s="196"/>
      <c r="BDS26" s="199"/>
      <c r="BDT26" s="196"/>
      <c r="BDU26" s="196"/>
      <c r="BDV26" s="196"/>
      <c r="BDW26" s="196"/>
      <c r="BDX26" s="196"/>
      <c r="BDY26" s="198"/>
      <c r="BDZ26" s="196"/>
      <c r="BEA26" s="196"/>
      <c r="BEB26" s="196"/>
      <c r="BEC26" s="196"/>
      <c r="BED26" s="196"/>
      <c r="BEE26" s="199"/>
      <c r="BEF26" s="196"/>
      <c r="BEG26" s="196"/>
      <c r="BEH26" s="196"/>
      <c r="BEI26" s="196"/>
      <c r="BEJ26" s="196"/>
      <c r="BEK26" s="198"/>
      <c r="BEL26" s="196"/>
      <c r="BEM26" s="196"/>
      <c r="BEN26" s="196"/>
      <c r="BEO26" s="196"/>
      <c r="BEP26" s="196"/>
      <c r="BEQ26" s="199"/>
      <c r="BER26" s="196"/>
      <c r="BES26" s="196"/>
      <c r="BET26" s="196"/>
      <c r="BEU26" s="196"/>
      <c r="BEV26" s="196"/>
      <c r="BEW26" s="200"/>
      <c r="BEX26" s="195"/>
      <c r="BEY26" s="196"/>
      <c r="BEZ26" s="196"/>
      <c r="BFA26" s="196"/>
      <c r="BFB26" s="196"/>
      <c r="BFC26" s="197"/>
      <c r="BFD26" s="196"/>
      <c r="BFE26" s="196"/>
      <c r="BFF26" s="196"/>
      <c r="BFG26" s="196"/>
      <c r="BFH26" s="196"/>
      <c r="BFI26" s="198"/>
      <c r="BFJ26" s="196"/>
      <c r="BFK26" s="196"/>
      <c r="BFL26" s="196"/>
      <c r="BFM26" s="196"/>
      <c r="BFN26" s="196"/>
      <c r="BFO26" s="199"/>
      <c r="BFP26" s="196"/>
      <c r="BFQ26" s="196"/>
      <c r="BFR26" s="196"/>
      <c r="BFS26" s="196"/>
      <c r="BFT26" s="196"/>
      <c r="BFU26" s="198"/>
      <c r="BFV26" s="196"/>
      <c r="BFW26" s="196"/>
      <c r="BFX26" s="196"/>
      <c r="BFY26" s="196"/>
      <c r="BFZ26" s="196"/>
      <c r="BGA26" s="199"/>
      <c r="BGB26" s="196"/>
      <c r="BGC26" s="196"/>
      <c r="BGD26" s="196"/>
      <c r="BGE26" s="196"/>
      <c r="BGF26" s="196"/>
      <c r="BGG26" s="198"/>
      <c r="BGH26" s="196"/>
      <c r="BGI26" s="196"/>
      <c r="BGJ26" s="196"/>
      <c r="BGK26" s="196"/>
      <c r="BGL26" s="196"/>
      <c r="BGM26" s="199"/>
      <c r="BGN26" s="196"/>
      <c r="BGO26" s="196"/>
      <c r="BGP26" s="196"/>
      <c r="BGQ26" s="196"/>
      <c r="BGR26" s="196"/>
      <c r="BGS26" s="198"/>
      <c r="BGT26" s="196"/>
      <c r="BGU26" s="196"/>
      <c r="BGV26" s="196"/>
      <c r="BGW26" s="196"/>
      <c r="BGX26" s="196"/>
      <c r="BGY26" s="199"/>
      <c r="BGZ26" s="196"/>
      <c r="BHA26" s="196"/>
      <c r="BHB26" s="196"/>
      <c r="BHC26" s="196"/>
      <c r="BHD26" s="196"/>
      <c r="BHE26" s="200"/>
      <c r="BHF26" s="187"/>
      <c r="BHG26" s="188"/>
      <c r="BHH26" s="188"/>
      <c r="BHI26" s="188"/>
      <c r="BHJ26" s="188"/>
      <c r="BHK26" s="188"/>
      <c r="BHL26" s="188"/>
      <c r="BHM26" s="188"/>
      <c r="BHN26" s="188"/>
      <c r="BHO26" s="188"/>
      <c r="BHP26" s="188"/>
      <c r="BHQ26" s="188"/>
      <c r="BHR26" s="188"/>
      <c r="BHS26" s="188"/>
      <c r="BHT26" s="188"/>
      <c r="BHU26" s="188"/>
      <c r="BHV26" s="188"/>
      <c r="BHW26" s="188"/>
      <c r="BHX26" s="188"/>
      <c r="BHY26" s="188"/>
      <c r="BHZ26" s="188"/>
      <c r="BIA26" s="188"/>
      <c r="BIB26" s="188"/>
      <c r="BIC26" s="188"/>
      <c r="BID26" s="188"/>
      <c r="BIE26" s="188"/>
      <c r="BIF26" s="188"/>
      <c r="BIG26" s="188"/>
      <c r="BIH26" s="188"/>
      <c r="BII26" s="188"/>
      <c r="BIJ26" s="188"/>
      <c r="BIK26" s="188"/>
      <c r="BIL26" s="188"/>
      <c r="BIM26" s="188"/>
      <c r="BIN26" s="188"/>
      <c r="BIO26" s="188"/>
      <c r="BIP26" s="188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230" t="s">
        <v>82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72"/>
      <c r="IO27" s="172"/>
      <c r="IP27" s="172"/>
      <c r="IQ27" s="173"/>
      <c r="IR27" s="172"/>
      <c r="IS27" s="172"/>
      <c r="IT27" s="172"/>
      <c r="IU27" s="172"/>
      <c r="IV27" s="172"/>
      <c r="IW27" s="174"/>
      <c r="IX27" s="172"/>
      <c r="IY27" s="172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71"/>
      <c r="KU27" s="172"/>
      <c r="KV27" s="172"/>
      <c r="KW27" s="172"/>
      <c r="KX27" s="172"/>
      <c r="KY27" s="173"/>
      <c r="KZ27" s="172"/>
      <c r="LA27" s="172"/>
      <c r="LB27" s="172"/>
      <c r="LC27" s="172"/>
      <c r="LD27" s="172"/>
      <c r="LE27" s="174"/>
      <c r="LF27" s="172"/>
      <c r="LG27" s="172"/>
      <c r="LH27" s="172"/>
      <c r="LI27" s="172"/>
      <c r="LJ27" s="172"/>
      <c r="LK27" s="175"/>
      <c r="LL27" s="172"/>
      <c r="LM27" s="172"/>
      <c r="LN27" s="172"/>
      <c r="LO27" s="172"/>
      <c r="LP27" s="172"/>
      <c r="LQ27" s="174"/>
      <c r="LR27" s="172"/>
      <c r="LS27" s="172"/>
      <c r="LT27" s="172"/>
      <c r="LU27" s="172"/>
      <c r="LV27" s="172"/>
      <c r="LW27" s="175"/>
      <c r="LX27" s="172"/>
      <c r="LY27" s="172"/>
      <c r="LZ27" s="172"/>
      <c r="MA27" s="172"/>
      <c r="MB27" s="172"/>
      <c r="MC27" s="174"/>
      <c r="MD27" s="172"/>
      <c r="ME27" s="172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71"/>
      <c r="NC27" s="172"/>
      <c r="ND27" s="172"/>
      <c r="NE27" s="172"/>
      <c r="NF27" s="172"/>
      <c r="NG27" s="173"/>
      <c r="NH27" s="172"/>
      <c r="NI27" s="172"/>
      <c r="NJ27" s="172"/>
      <c r="NK27" s="172"/>
      <c r="NL27" s="172"/>
      <c r="NM27" s="174"/>
      <c r="NN27" s="172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87"/>
      <c r="BHG27" s="188"/>
      <c r="BHH27" s="188"/>
      <c r="BHI27" s="188"/>
      <c r="BHJ27" s="188"/>
      <c r="BHK27" s="188"/>
      <c r="BHL27" s="188"/>
      <c r="BHM27" s="188"/>
      <c r="BHN27" s="188"/>
      <c r="BHO27" s="188"/>
      <c r="BHP27" s="188"/>
      <c r="BHQ27" s="188"/>
      <c r="BHR27" s="188"/>
      <c r="BHS27" s="188"/>
      <c r="BHT27" s="188"/>
      <c r="BHU27" s="188"/>
      <c r="BHV27" s="188"/>
      <c r="BHW27" s="188"/>
      <c r="BHX27" s="188"/>
      <c r="BHY27" s="188"/>
      <c r="BHZ27" s="188"/>
      <c r="BIA27" s="188"/>
      <c r="BIB27" s="188"/>
      <c r="BIC27" s="188"/>
      <c r="BID27" s="188"/>
      <c r="BIE27" s="188"/>
      <c r="BIF27" s="188"/>
      <c r="BIG27" s="188"/>
      <c r="BIH27" s="188"/>
      <c r="BII27" s="188"/>
      <c r="BIJ27" s="188"/>
      <c r="BIK27" s="188"/>
      <c r="BIL27" s="188"/>
      <c r="BIM27" s="188"/>
      <c r="BIN27" s="188"/>
      <c r="BIO27" s="188"/>
      <c r="BIP27" s="188"/>
    </row>
    <row r="28" spans="1:1602" ht="20.100000000000001" customHeight="1" x14ac:dyDescent="0.3">
      <c r="A28" s="78" t="s">
        <v>50</v>
      </c>
      <c r="B28" s="51" t="str">
        <f>IF(LEN(C41)=0,"",C41)</f>
        <v>Réalisation - Base de données</v>
      </c>
      <c r="C28" s="236"/>
      <c r="D28" s="121" t="str">
        <f t="shared" si="0"/>
        <v>2h 55 min</v>
      </c>
      <c r="E28" s="22">
        <v>35</v>
      </c>
      <c r="F28" s="189"/>
      <c r="G28" s="190"/>
      <c r="H28" s="190"/>
      <c r="I28" s="190"/>
      <c r="J28" s="190"/>
      <c r="K28" s="191"/>
      <c r="L28" s="190"/>
      <c r="M28" s="190"/>
      <c r="N28" s="190"/>
      <c r="O28" s="190"/>
      <c r="P28" s="190"/>
      <c r="Q28" s="192"/>
      <c r="R28" s="190"/>
      <c r="S28" s="190"/>
      <c r="T28" s="190"/>
      <c r="U28" s="190"/>
      <c r="V28" s="190"/>
      <c r="W28" s="193"/>
      <c r="X28" s="190"/>
      <c r="Y28" s="190"/>
      <c r="Z28" s="190"/>
      <c r="AA28" s="190"/>
      <c r="AB28" s="190"/>
      <c r="AC28" s="192"/>
      <c r="AD28" s="190"/>
      <c r="AE28" s="190"/>
      <c r="AF28" s="190"/>
      <c r="AG28" s="190"/>
      <c r="AH28" s="190"/>
      <c r="AI28" s="193"/>
      <c r="AJ28" s="190"/>
      <c r="AK28" s="190"/>
      <c r="AL28" s="190"/>
      <c r="AM28" s="190"/>
      <c r="AN28" s="190"/>
      <c r="AO28" s="192"/>
      <c r="AP28" s="190"/>
      <c r="AQ28" s="190"/>
      <c r="AR28" s="190"/>
      <c r="AS28" s="190"/>
      <c r="AT28" s="190"/>
      <c r="AU28" s="193"/>
      <c r="AV28" s="190"/>
      <c r="AW28" s="190"/>
      <c r="AX28" s="190"/>
      <c r="AY28" s="190"/>
      <c r="AZ28" s="190"/>
      <c r="BA28" s="192"/>
      <c r="BB28" s="190"/>
      <c r="BC28" s="190"/>
      <c r="BD28" s="190"/>
      <c r="BE28" s="190"/>
      <c r="BF28" s="190"/>
      <c r="BG28" s="193"/>
      <c r="BH28" s="190"/>
      <c r="BI28" s="190"/>
      <c r="BJ28" s="190"/>
      <c r="BK28" s="190"/>
      <c r="BL28" s="190"/>
      <c r="BM28" s="194"/>
      <c r="BN28" s="189"/>
      <c r="BO28" s="190"/>
      <c r="BP28" s="190"/>
      <c r="BQ28" s="190"/>
      <c r="BR28" s="190"/>
      <c r="BS28" s="191"/>
      <c r="BT28" s="190"/>
      <c r="BU28" s="190"/>
      <c r="BV28" s="190"/>
      <c r="BW28" s="190"/>
      <c r="BX28" s="190"/>
      <c r="BY28" s="192"/>
      <c r="BZ28" s="190"/>
      <c r="CA28" s="190"/>
      <c r="CB28" s="190"/>
      <c r="CC28" s="190"/>
      <c r="CD28" s="190"/>
      <c r="CE28" s="193"/>
      <c r="CF28" s="190"/>
      <c r="CG28" s="190"/>
      <c r="CH28" s="190"/>
      <c r="CI28" s="190"/>
      <c r="CJ28" s="190"/>
      <c r="CK28" s="192"/>
      <c r="CL28" s="190"/>
      <c r="CM28" s="190"/>
      <c r="CN28" s="190"/>
      <c r="CO28" s="190"/>
      <c r="CP28" s="190"/>
      <c r="CQ28" s="193"/>
      <c r="CR28" s="190"/>
      <c r="CS28" s="190"/>
      <c r="CT28" s="190"/>
      <c r="CU28" s="190"/>
      <c r="CV28" s="190"/>
      <c r="CW28" s="192"/>
      <c r="CX28" s="190"/>
      <c r="CY28" s="190"/>
      <c r="CZ28" s="190"/>
      <c r="DA28" s="190"/>
      <c r="DB28" s="190"/>
      <c r="DC28" s="193"/>
      <c r="DD28" s="190"/>
      <c r="DE28" s="190"/>
      <c r="DF28" s="190"/>
      <c r="DG28" s="190"/>
      <c r="DH28" s="190"/>
      <c r="DI28" s="192"/>
      <c r="DJ28" s="190"/>
      <c r="DK28" s="190"/>
      <c r="DL28" s="190"/>
      <c r="DM28" s="190"/>
      <c r="DN28" s="190"/>
      <c r="DO28" s="193"/>
      <c r="DP28" s="190"/>
      <c r="DQ28" s="190"/>
      <c r="DR28" s="190"/>
      <c r="DS28" s="190"/>
      <c r="DT28" s="190"/>
      <c r="DU28" s="194"/>
      <c r="DV28" s="189"/>
      <c r="DW28" s="190"/>
      <c r="DX28" s="190"/>
      <c r="DY28" s="190"/>
      <c r="DZ28" s="190"/>
      <c r="EA28" s="191"/>
      <c r="EB28" s="190"/>
      <c r="EC28" s="190"/>
      <c r="ED28" s="190"/>
      <c r="EE28" s="190"/>
      <c r="EF28" s="190"/>
      <c r="EG28" s="192"/>
      <c r="EH28" s="190"/>
      <c r="EI28" s="190"/>
      <c r="EJ28" s="190"/>
      <c r="EK28" s="190"/>
      <c r="EL28" s="190"/>
      <c r="EM28" s="193"/>
      <c r="EN28" s="190"/>
      <c r="EO28" s="190"/>
      <c r="EP28" s="190"/>
      <c r="EQ28" s="190"/>
      <c r="ER28" s="190"/>
      <c r="ES28" s="192"/>
      <c r="ET28" s="190"/>
      <c r="EU28" s="190"/>
      <c r="EV28" s="190"/>
      <c r="EW28" s="190"/>
      <c r="EX28" s="190"/>
      <c r="EY28" s="193"/>
      <c r="EZ28" s="190"/>
      <c r="FA28" s="190"/>
      <c r="FB28" s="190"/>
      <c r="FC28" s="190"/>
      <c r="FD28" s="190"/>
      <c r="FE28" s="192"/>
      <c r="FF28" s="190"/>
      <c r="FG28" s="190"/>
      <c r="FH28" s="190"/>
      <c r="FI28" s="190"/>
      <c r="FJ28" s="190"/>
      <c r="FK28" s="193"/>
      <c r="FL28" s="190"/>
      <c r="FM28" s="190"/>
      <c r="FN28" s="190"/>
      <c r="FO28" s="190"/>
      <c r="FP28" s="190"/>
      <c r="FQ28" s="192"/>
      <c r="FR28" s="190"/>
      <c r="FS28" s="190"/>
      <c r="FT28" s="190"/>
      <c r="FU28" s="190"/>
      <c r="FV28" s="190"/>
      <c r="FW28" s="193"/>
      <c r="FX28" s="190"/>
      <c r="FY28" s="190"/>
      <c r="FZ28" s="190"/>
      <c r="GA28" s="190"/>
      <c r="GB28" s="190"/>
      <c r="GC28" s="194"/>
      <c r="GD28" s="189"/>
      <c r="GE28" s="190"/>
      <c r="GF28" s="190"/>
      <c r="GG28" s="190"/>
      <c r="GH28" s="190"/>
      <c r="GI28" s="191"/>
      <c r="GJ28" s="190"/>
      <c r="GK28" s="190"/>
      <c r="GL28" s="190"/>
      <c r="GM28" s="190"/>
      <c r="GN28" s="190"/>
      <c r="GO28" s="192"/>
      <c r="GP28" s="190"/>
      <c r="GQ28" s="190"/>
      <c r="GR28" s="190"/>
      <c r="GS28" s="190"/>
      <c r="GT28" s="190"/>
      <c r="GU28" s="193"/>
      <c r="GV28" s="190"/>
      <c r="GW28" s="190"/>
      <c r="GX28" s="190"/>
      <c r="GY28" s="190"/>
      <c r="GZ28" s="190"/>
      <c r="HA28" s="192"/>
      <c r="HB28" s="190"/>
      <c r="HC28" s="190"/>
      <c r="HD28" s="190"/>
      <c r="HE28" s="190"/>
      <c r="HF28" s="190"/>
      <c r="HG28" s="193"/>
      <c r="HH28" s="190"/>
      <c r="HI28" s="190"/>
      <c r="HJ28" s="190"/>
      <c r="HK28" s="190"/>
      <c r="HL28" s="190"/>
      <c r="HM28" s="192"/>
      <c r="HN28" s="190"/>
      <c r="HO28" s="190"/>
      <c r="HP28" s="190"/>
      <c r="HQ28" s="190"/>
      <c r="HR28" s="190"/>
      <c r="HS28" s="193"/>
      <c r="HT28" s="190"/>
      <c r="HU28" s="190"/>
      <c r="HV28" s="190"/>
      <c r="HW28" s="190"/>
      <c r="HX28" s="190"/>
      <c r="HY28" s="192"/>
      <c r="HZ28" s="190"/>
      <c r="IA28" s="190"/>
      <c r="IB28" s="190"/>
      <c r="IC28" s="190"/>
      <c r="ID28" s="190"/>
      <c r="IE28" s="193"/>
      <c r="IF28" s="190"/>
      <c r="IG28" s="190"/>
      <c r="IH28" s="190"/>
      <c r="II28" s="190"/>
      <c r="IJ28" s="190"/>
      <c r="IK28" s="194"/>
      <c r="IL28" s="189"/>
      <c r="IM28" s="190"/>
      <c r="IN28" s="190"/>
      <c r="IO28" s="190"/>
      <c r="IP28" s="190"/>
      <c r="IQ28" s="191"/>
      <c r="IR28" s="190"/>
      <c r="IS28" s="190"/>
      <c r="IT28" s="190"/>
      <c r="IU28" s="190"/>
      <c r="IV28" s="190"/>
      <c r="IW28" s="192"/>
      <c r="IX28" s="190"/>
      <c r="IY28" s="190"/>
      <c r="IZ28" s="190"/>
      <c r="JA28" s="190"/>
      <c r="JB28" s="190"/>
      <c r="JC28" s="193"/>
      <c r="JD28" s="190"/>
      <c r="JE28" s="190"/>
      <c r="JF28" s="190"/>
      <c r="JG28" s="190"/>
      <c r="JH28" s="190"/>
      <c r="JI28" s="204"/>
      <c r="JJ28" s="202"/>
      <c r="JK28" s="202"/>
      <c r="JL28" s="202"/>
      <c r="JM28" s="202"/>
      <c r="JN28" s="202"/>
      <c r="JO28" s="212"/>
      <c r="JP28" s="202"/>
      <c r="JQ28" s="202"/>
      <c r="JR28" s="202"/>
      <c r="JS28" s="202"/>
      <c r="JT28" s="202"/>
      <c r="JU28" s="204"/>
      <c r="JV28" s="202"/>
      <c r="JW28" s="202"/>
      <c r="JX28" s="190"/>
      <c r="JY28" s="190"/>
      <c r="JZ28" s="190"/>
      <c r="KA28" s="193"/>
      <c r="KB28" s="190"/>
      <c r="KC28" s="190"/>
      <c r="KD28" s="190"/>
      <c r="KE28" s="190"/>
      <c r="KF28" s="190"/>
      <c r="KG28" s="192"/>
      <c r="KH28" s="190"/>
      <c r="KI28" s="190"/>
      <c r="KJ28" s="190"/>
      <c r="KK28" s="190"/>
      <c r="KL28" s="190"/>
      <c r="KM28" s="193"/>
      <c r="KN28" s="190"/>
      <c r="KO28" s="190"/>
      <c r="KP28" s="190"/>
      <c r="KQ28" s="190"/>
      <c r="KR28" s="190"/>
      <c r="KS28" s="194"/>
      <c r="KT28" s="201"/>
      <c r="KU28" s="202"/>
      <c r="KV28" s="202"/>
      <c r="KW28" s="202"/>
      <c r="KX28" s="202"/>
      <c r="KY28" s="203"/>
      <c r="KZ28" s="202"/>
      <c r="LA28" s="202"/>
      <c r="LB28" s="202"/>
      <c r="LC28" s="202"/>
      <c r="LD28" s="202"/>
      <c r="LE28" s="204"/>
      <c r="LF28" s="202"/>
      <c r="LG28" s="202"/>
      <c r="LH28" s="202"/>
      <c r="LI28" s="202"/>
      <c r="LJ28" s="202"/>
      <c r="LK28" s="212"/>
      <c r="LL28" s="202"/>
      <c r="LM28" s="202"/>
      <c r="LN28" s="190"/>
      <c r="LO28" s="190"/>
      <c r="LP28" s="190"/>
      <c r="LQ28" s="192"/>
      <c r="LR28" s="190"/>
      <c r="LS28" s="190"/>
      <c r="LT28" s="190"/>
      <c r="LU28" s="190"/>
      <c r="LV28" s="190"/>
      <c r="LW28" s="193"/>
      <c r="LX28" s="190"/>
      <c r="LY28" s="190"/>
      <c r="LZ28" s="190"/>
      <c r="MA28" s="190"/>
      <c r="MB28" s="190"/>
      <c r="MC28" s="192"/>
      <c r="MD28" s="190"/>
      <c r="ME28" s="190"/>
      <c r="MF28" s="190"/>
      <c r="MG28" s="190"/>
      <c r="MH28" s="190"/>
      <c r="MI28" s="193"/>
      <c r="MJ28" s="190"/>
      <c r="MK28" s="190"/>
      <c r="ML28" s="190"/>
      <c r="MM28" s="190"/>
      <c r="MN28" s="190"/>
      <c r="MO28" s="192"/>
      <c r="MP28" s="190"/>
      <c r="MQ28" s="190"/>
      <c r="MR28" s="190"/>
      <c r="MS28" s="190"/>
      <c r="MT28" s="190"/>
      <c r="MU28" s="193"/>
      <c r="MV28" s="190"/>
      <c r="MW28" s="190"/>
      <c r="MX28" s="190"/>
      <c r="MY28" s="190"/>
      <c r="MZ28" s="190"/>
      <c r="NA28" s="194"/>
      <c r="NB28" s="189"/>
      <c r="NC28" s="190"/>
      <c r="ND28" s="190"/>
      <c r="NE28" s="190"/>
      <c r="NF28" s="190"/>
      <c r="NG28" s="191"/>
      <c r="NH28" s="190"/>
      <c r="NI28" s="190"/>
      <c r="NJ28" s="190"/>
      <c r="NK28" s="190"/>
      <c r="NL28" s="190"/>
      <c r="NM28" s="192"/>
      <c r="NN28" s="190"/>
      <c r="NO28" s="190"/>
      <c r="NP28" s="190"/>
      <c r="NQ28" s="190"/>
      <c r="NR28" s="190"/>
      <c r="NS28" s="193"/>
      <c r="NT28" s="190"/>
      <c r="NU28" s="190"/>
      <c r="NV28" s="190"/>
      <c r="NW28" s="190"/>
      <c r="NX28" s="190"/>
      <c r="NY28" s="192"/>
      <c r="NZ28" s="190"/>
      <c r="OA28" s="190"/>
      <c r="OB28" s="190"/>
      <c r="OC28" s="190"/>
      <c r="OD28" s="190"/>
      <c r="OE28" s="193"/>
      <c r="OF28" s="190"/>
      <c r="OG28" s="190"/>
      <c r="OH28" s="190"/>
      <c r="OI28" s="190"/>
      <c r="OJ28" s="190"/>
      <c r="OK28" s="192"/>
      <c r="OL28" s="190"/>
      <c r="OM28" s="190"/>
      <c r="ON28" s="190"/>
      <c r="OO28" s="190"/>
      <c r="OP28" s="190"/>
      <c r="OQ28" s="193"/>
      <c r="OR28" s="190"/>
      <c r="OS28" s="190"/>
      <c r="OT28" s="190"/>
      <c r="OU28" s="190"/>
      <c r="OV28" s="190"/>
      <c r="OW28" s="192"/>
      <c r="OX28" s="190"/>
      <c r="OY28" s="190"/>
      <c r="OZ28" s="190"/>
      <c r="PA28" s="190"/>
      <c r="PB28" s="190"/>
      <c r="PC28" s="193"/>
      <c r="PD28" s="190"/>
      <c r="PE28" s="190"/>
      <c r="PF28" s="190"/>
      <c r="PG28" s="190"/>
      <c r="PH28" s="190"/>
      <c r="PI28" s="194"/>
      <c r="PJ28" s="189"/>
      <c r="PK28" s="190"/>
      <c r="PL28" s="190"/>
      <c r="PM28" s="190"/>
      <c r="PN28" s="190"/>
      <c r="PO28" s="191"/>
      <c r="PP28" s="190"/>
      <c r="PQ28" s="190"/>
      <c r="PR28" s="190"/>
      <c r="PS28" s="190"/>
      <c r="PT28" s="190"/>
      <c r="PU28" s="192"/>
      <c r="PV28" s="190"/>
      <c r="PW28" s="190"/>
      <c r="PX28" s="190"/>
      <c r="PY28" s="190"/>
      <c r="PZ28" s="190"/>
      <c r="QA28" s="193"/>
      <c r="QB28" s="190"/>
      <c r="QC28" s="190"/>
      <c r="QD28" s="190"/>
      <c r="QE28" s="190"/>
      <c r="QF28" s="190"/>
      <c r="QG28" s="192"/>
      <c r="QH28" s="190"/>
      <c r="QI28" s="190"/>
      <c r="QJ28" s="190"/>
      <c r="QK28" s="190"/>
      <c r="QL28" s="190"/>
      <c r="QM28" s="193"/>
      <c r="QN28" s="190"/>
      <c r="QO28" s="190"/>
      <c r="QP28" s="190"/>
      <c r="QQ28" s="190"/>
      <c r="QR28" s="190"/>
      <c r="QS28" s="192"/>
      <c r="QT28" s="190"/>
      <c r="QU28" s="190"/>
      <c r="QV28" s="190"/>
      <c r="QW28" s="190"/>
      <c r="QX28" s="190"/>
      <c r="QY28" s="193"/>
      <c r="QZ28" s="190"/>
      <c r="RA28" s="190"/>
      <c r="RB28" s="190"/>
      <c r="RC28" s="190"/>
      <c r="RD28" s="190"/>
      <c r="RE28" s="192"/>
      <c r="RF28" s="190"/>
      <c r="RG28" s="190"/>
      <c r="RH28" s="190"/>
      <c r="RI28" s="190"/>
      <c r="RJ28" s="190"/>
      <c r="RK28" s="193"/>
      <c r="RL28" s="190"/>
      <c r="RM28" s="190"/>
      <c r="RN28" s="190"/>
      <c r="RO28" s="190"/>
      <c r="RP28" s="190"/>
      <c r="RQ28" s="194"/>
      <c r="RR28" s="189"/>
      <c r="RS28" s="190"/>
      <c r="RT28" s="190"/>
      <c r="RU28" s="190"/>
      <c r="RV28" s="190"/>
      <c r="RW28" s="191"/>
      <c r="RX28" s="190"/>
      <c r="RY28" s="190"/>
      <c r="RZ28" s="190"/>
      <c r="SA28" s="190"/>
      <c r="SB28" s="190"/>
      <c r="SC28" s="192"/>
      <c r="SD28" s="190"/>
      <c r="SE28" s="190"/>
      <c r="SF28" s="190"/>
      <c r="SG28" s="190"/>
      <c r="SH28" s="190"/>
      <c r="SI28" s="193"/>
      <c r="SJ28" s="190"/>
      <c r="SK28" s="190"/>
      <c r="SL28" s="190"/>
      <c r="SM28" s="190"/>
      <c r="SN28" s="190"/>
      <c r="SO28" s="192"/>
      <c r="SP28" s="190"/>
      <c r="SQ28" s="190"/>
      <c r="SR28" s="190"/>
      <c r="SS28" s="190"/>
      <c r="ST28" s="190"/>
      <c r="SU28" s="193"/>
      <c r="SV28" s="190"/>
      <c r="SW28" s="190"/>
      <c r="SX28" s="190"/>
      <c r="SY28" s="190"/>
      <c r="SZ28" s="190"/>
      <c r="TA28" s="192"/>
      <c r="TB28" s="190"/>
      <c r="TC28" s="190"/>
      <c r="TD28" s="190"/>
      <c r="TE28" s="190"/>
      <c r="TF28" s="190"/>
      <c r="TG28" s="193"/>
      <c r="TH28" s="190"/>
      <c r="TI28" s="190"/>
      <c r="TJ28" s="190"/>
      <c r="TK28" s="190"/>
      <c r="TL28" s="190"/>
      <c r="TM28" s="192"/>
      <c r="TN28" s="190"/>
      <c r="TO28" s="190"/>
      <c r="TP28" s="190"/>
      <c r="TQ28" s="190"/>
      <c r="TR28" s="190"/>
      <c r="TS28" s="193"/>
      <c r="TT28" s="190"/>
      <c r="TU28" s="190"/>
      <c r="TV28" s="190"/>
      <c r="TW28" s="190"/>
      <c r="TX28" s="190"/>
      <c r="TY28" s="194"/>
      <c r="TZ28" s="189"/>
      <c r="UA28" s="190"/>
      <c r="UB28" s="190"/>
      <c r="UC28" s="190"/>
      <c r="UD28" s="190"/>
      <c r="UE28" s="191"/>
      <c r="UF28" s="190"/>
      <c r="UG28" s="190"/>
      <c r="UH28" s="190"/>
      <c r="UI28" s="190"/>
      <c r="UJ28" s="190"/>
      <c r="UK28" s="192"/>
      <c r="UL28" s="190"/>
      <c r="UM28" s="190"/>
      <c r="UN28" s="190"/>
      <c r="UO28" s="190"/>
      <c r="UP28" s="190"/>
      <c r="UQ28" s="193"/>
      <c r="UR28" s="190"/>
      <c r="US28" s="190"/>
      <c r="UT28" s="190"/>
      <c r="UU28" s="190"/>
      <c r="UV28" s="190"/>
      <c r="UW28" s="192"/>
      <c r="UX28" s="190"/>
      <c r="UY28" s="190"/>
      <c r="UZ28" s="190"/>
      <c r="VA28" s="190"/>
      <c r="VB28" s="190"/>
      <c r="VC28" s="193"/>
      <c r="VD28" s="190"/>
      <c r="VE28" s="190"/>
      <c r="VF28" s="190"/>
      <c r="VG28" s="190"/>
      <c r="VH28" s="190"/>
      <c r="VI28" s="192"/>
      <c r="VJ28" s="190"/>
      <c r="VK28" s="190"/>
      <c r="VL28" s="190"/>
      <c r="VM28" s="190"/>
      <c r="VN28" s="190"/>
      <c r="VO28" s="193"/>
      <c r="VP28" s="190"/>
      <c r="VQ28" s="190"/>
      <c r="VR28" s="190"/>
      <c r="VS28" s="190"/>
      <c r="VT28" s="190"/>
      <c r="VU28" s="192"/>
      <c r="VV28" s="190"/>
      <c r="VW28" s="190"/>
      <c r="VX28" s="190"/>
      <c r="VY28" s="190"/>
      <c r="VZ28" s="190"/>
      <c r="WA28" s="193"/>
      <c r="WB28" s="190"/>
      <c r="WC28" s="190"/>
      <c r="WD28" s="190"/>
      <c r="WE28" s="190"/>
      <c r="WF28" s="190"/>
      <c r="WG28" s="194"/>
      <c r="WH28" s="189"/>
      <c r="WI28" s="190"/>
      <c r="WJ28" s="190"/>
      <c r="WK28" s="190"/>
      <c r="WL28" s="190"/>
      <c r="WM28" s="191"/>
      <c r="WN28" s="190"/>
      <c r="WO28" s="190"/>
      <c r="WP28" s="190"/>
      <c r="WQ28" s="190"/>
      <c r="WR28" s="190"/>
      <c r="WS28" s="192"/>
      <c r="WT28" s="190"/>
      <c r="WU28" s="190"/>
      <c r="WV28" s="190"/>
      <c r="WW28" s="190"/>
      <c r="WX28" s="190"/>
      <c r="WY28" s="193"/>
      <c r="WZ28" s="190"/>
      <c r="XA28" s="190"/>
      <c r="XB28" s="190"/>
      <c r="XC28" s="190"/>
      <c r="XD28" s="190"/>
      <c r="XE28" s="192"/>
      <c r="XF28" s="190"/>
      <c r="XG28" s="190"/>
      <c r="XH28" s="190"/>
      <c r="XI28" s="190"/>
      <c r="XJ28" s="190"/>
      <c r="XK28" s="193"/>
      <c r="XL28" s="190"/>
      <c r="XM28" s="190"/>
      <c r="XN28" s="190"/>
      <c r="XO28" s="190"/>
      <c r="XP28" s="190"/>
      <c r="XQ28" s="192"/>
      <c r="XR28" s="190"/>
      <c r="XS28" s="190"/>
      <c r="XT28" s="190"/>
      <c r="XU28" s="190"/>
      <c r="XV28" s="190"/>
      <c r="XW28" s="193"/>
      <c r="XX28" s="190"/>
      <c r="XY28" s="190"/>
      <c r="XZ28" s="190"/>
      <c r="YA28" s="190"/>
      <c r="YB28" s="190"/>
      <c r="YC28" s="192"/>
      <c r="YD28" s="190"/>
      <c r="YE28" s="190"/>
      <c r="YF28" s="190"/>
      <c r="YG28" s="190"/>
      <c r="YH28" s="190"/>
      <c r="YI28" s="193"/>
      <c r="YJ28" s="190"/>
      <c r="YK28" s="190"/>
      <c r="YL28" s="190"/>
      <c r="YM28" s="190"/>
      <c r="YN28" s="190"/>
      <c r="YO28" s="194"/>
      <c r="YP28" s="189"/>
      <c r="YQ28" s="190"/>
      <c r="YR28" s="190"/>
      <c r="YS28" s="190"/>
      <c r="YT28" s="190"/>
      <c r="YU28" s="191"/>
      <c r="YV28" s="190"/>
      <c r="YW28" s="190"/>
      <c r="YX28" s="190"/>
      <c r="YY28" s="190"/>
      <c r="YZ28" s="190"/>
      <c r="ZA28" s="192"/>
      <c r="ZB28" s="190"/>
      <c r="ZC28" s="190"/>
      <c r="ZD28" s="190"/>
      <c r="ZE28" s="190"/>
      <c r="ZF28" s="190"/>
      <c r="ZG28" s="193"/>
      <c r="ZH28" s="190"/>
      <c r="ZI28" s="190"/>
      <c r="ZJ28" s="190"/>
      <c r="ZK28" s="190"/>
      <c r="ZL28" s="190"/>
      <c r="ZM28" s="192"/>
      <c r="ZN28" s="190"/>
      <c r="ZO28" s="190"/>
      <c r="ZP28" s="190"/>
      <c r="ZQ28" s="190"/>
      <c r="ZR28" s="190"/>
      <c r="ZS28" s="193"/>
      <c r="ZT28" s="190"/>
      <c r="ZU28" s="190"/>
      <c r="ZV28" s="190"/>
      <c r="ZW28" s="190"/>
      <c r="ZX28" s="190"/>
      <c r="ZY28" s="192"/>
      <c r="ZZ28" s="190"/>
      <c r="AAA28" s="190"/>
      <c r="AAB28" s="190"/>
      <c r="AAC28" s="190"/>
      <c r="AAD28" s="190"/>
      <c r="AAE28" s="193"/>
      <c r="AAF28" s="190"/>
      <c r="AAG28" s="190"/>
      <c r="AAH28" s="190"/>
      <c r="AAI28" s="190"/>
      <c r="AAJ28" s="190"/>
      <c r="AAK28" s="192"/>
      <c r="AAL28" s="190"/>
      <c r="AAM28" s="190"/>
      <c r="AAN28" s="190"/>
      <c r="AAO28" s="190"/>
      <c r="AAP28" s="190"/>
      <c r="AAQ28" s="193"/>
      <c r="AAR28" s="190"/>
      <c r="AAS28" s="190"/>
      <c r="AAT28" s="190"/>
      <c r="AAU28" s="190"/>
      <c r="AAV28" s="190"/>
      <c r="AAW28" s="194"/>
      <c r="AAX28" s="189"/>
      <c r="AAY28" s="190"/>
      <c r="AAZ28" s="190"/>
      <c r="ABA28" s="190"/>
      <c r="ABB28" s="190"/>
      <c r="ABC28" s="191"/>
      <c r="ABD28" s="190"/>
      <c r="ABE28" s="190"/>
      <c r="ABF28" s="190"/>
      <c r="ABG28" s="190"/>
      <c r="ABH28" s="190"/>
      <c r="ABI28" s="192"/>
      <c r="ABJ28" s="190"/>
      <c r="ABK28" s="190"/>
      <c r="ABL28" s="190"/>
      <c r="ABM28" s="190"/>
      <c r="ABN28" s="190"/>
      <c r="ABO28" s="193"/>
      <c r="ABP28" s="190"/>
      <c r="ABQ28" s="190"/>
      <c r="ABR28" s="190"/>
      <c r="ABS28" s="190"/>
      <c r="ABT28" s="190"/>
      <c r="ABU28" s="192"/>
      <c r="ABV28" s="190"/>
      <c r="ABW28" s="190"/>
      <c r="ABX28" s="190"/>
      <c r="ABY28" s="190"/>
      <c r="ABZ28" s="190"/>
      <c r="ACA28" s="193"/>
      <c r="ACB28" s="190"/>
      <c r="ACC28" s="190"/>
      <c r="ACD28" s="190"/>
      <c r="ACE28" s="190"/>
      <c r="ACF28" s="190"/>
      <c r="ACG28" s="192"/>
      <c r="ACH28" s="190"/>
      <c r="ACI28" s="190"/>
      <c r="ACJ28" s="190"/>
      <c r="ACK28" s="190"/>
      <c r="ACL28" s="190"/>
      <c r="ACM28" s="193"/>
      <c r="ACN28" s="190"/>
      <c r="ACO28" s="190"/>
      <c r="ACP28" s="190"/>
      <c r="ACQ28" s="190"/>
      <c r="ACR28" s="190"/>
      <c r="ACS28" s="192"/>
      <c r="ACT28" s="190"/>
      <c r="ACU28" s="190"/>
      <c r="ACV28" s="190"/>
      <c r="ACW28" s="190"/>
      <c r="ACX28" s="190"/>
      <c r="ACY28" s="193"/>
      <c r="ACZ28" s="190"/>
      <c r="ADA28" s="190"/>
      <c r="ADB28" s="190"/>
      <c r="ADC28" s="190"/>
      <c r="ADD28" s="190"/>
      <c r="ADE28" s="194"/>
      <c r="ADF28" s="189"/>
      <c r="ADG28" s="190"/>
      <c r="ADH28" s="190"/>
      <c r="ADI28" s="190"/>
      <c r="ADJ28" s="190"/>
      <c r="ADK28" s="191"/>
      <c r="ADL28" s="190"/>
      <c r="ADM28" s="190"/>
      <c r="ADN28" s="190"/>
      <c r="ADO28" s="190"/>
      <c r="ADP28" s="190"/>
      <c r="ADQ28" s="192"/>
      <c r="ADR28" s="190"/>
      <c r="ADS28" s="190"/>
      <c r="ADT28" s="190"/>
      <c r="ADU28" s="190"/>
      <c r="ADV28" s="190"/>
      <c r="ADW28" s="193"/>
      <c r="ADX28" s="190"/>
      <c r="ADY28" s="190"/>
      <c r="ADZ28" s="190"/>
      <c r="AEA28" s="190"/>
      <c r="AEB28" s="190"/>
      <c r="AEC28" s="192"/>
      <c r="AED28" s="190"/>
      <c r="AEE28" s="190"/>
      <c r="AEF28" s="190"/>
      <c r="AEG28" s="190"/>
      <c r="AEH28" s="190"/>
      <c r="AEI28" s="193"/>
      <c r="AEJ28" s="190"/>
      <c r="AEK28" s="190"/>
      <c r="AEL28" s="190"/>
      <c r="AEM28" s="190"/>
      <c r="AEN28" s="190"/>
      <c r="AEO28" s="192"/>
      <c r="AEP28" s="190"/>
      <c r="AEQ28" s="190"/>
      <c r="AER28" s="190"/>
      <c r="AES28" s="190"/>
      <c r="AET28" s="190"/>
      <c r="AEU28" s="193"/>
      <c r="AEV28" s="190"/>
      <c r="AEW28" s="190"/>
      <c r="AEX28" s="190"/>
      <c r="AEY28" s="190"/>
      <c r="AEZ28" s="190"/>
      <c r="AFA28" s="192"/>
      <c r="AFB28" s="190"/>
      <c r="AFC28" s="190"/>
      <c r="AFD28" s="190"/>
      <c r="AFE28" s="190"/>
      <c r="AFF28" s="190"/>
      <c r="AFG28" s="193"/>
      <c r="AFH28" s="190"/>
      <c r="AFI28" s="190"/>
      <c r="AFJ28" s="190"/>
      <c r="AFK28" s="190"/>
      <c r="AFL28" s="190"/>
      <c r="AFM28" s="194"/>
      <c r="AFN28" s="189"/>
      <c r="AFO28" s="190"/>
      <c r="AFP28" s="190"/>
      <c r="AFQ28" s="190"/>
      <c r="AFR28" s="190"/>
      <c r="AFS28" s="191"/>
      <c r="AFT28" s="190"/>
      <c r="AFU28" s="190"/>
      <c r="AFV28" s="190"/>
      <c r="AFW28" s="190"/>
      <c r="AFX28" s="190"/>
      <c r="AFY28" s="192"/>
      <c r="AFZ28" s="190"/>
      <c r="AGA28" s="190"/>
      <c r="AGB28" s="190"/>
      <c r="AGC28" s="190"/>
      <c r="AGD28" s="190"/>
      <c r="AGE28" s="193"/>
      <c r="AGF28" s="190"/>
      <c r="AGG28" s="190"/>
      <c r="AGH28" s="190"/>
      <c r="AGI28" s="190"/>
      <c r="AGJ28" s="190"/>
      <c r="AGK28" s="192"/>
      <c r="AGL28" s="190"/>
      <c r="AGM28" s="190"/>
      <c r="AGN28" s="190"/>
      <c r="AGO28" s="190"/>
      <c r="AGP28" s="190"/>
      <c r="AGQ28" s="193"/>
      <c r="AGR28" s="190"/>
      <c r="AGS28" s="190"/>
      <c r="AGT28" s="190"/>
      <c r="AGU28" s="190"/>
      <c r="AGV28" s="190"/>
      <c r="AGW28" s="192"/>
      <c r="AGX28" s="190"/>
      <c r="AGY28" s="190"/>
      <c r="AGZ28" s="190"/>
      <c r="AHA28" s="190"/>
      <c r="AHB28" s="190"/>
      <c r="AHC28" s="193"/>
      <c r="AHD28" s="190"/>
      <c r="AHE28" s="190"/>
      <c r="AHF28" s="190"/>
      <c r="AHG28" s="190"/>
      <c r="AHH28" s="190"/>
      <c r="AHI28" s="192"/>
      <c r="AHJ28" s="190"/>
      <c r="AHK28" s="190"/>
      <c r="AHL28" s="190"/>
      <c r="AHM28" s="190"/>
      <c r="AHN28" s="190"/>
      <c r="AHO28" s="193"/>
      <c r="AHP28" s="190"/>
      <c r="AHQ28" s="190"/>
      <c r="AHR28" s="190"/>
      <c r="AHS28" s="190"/>
      <c r="AHT28" s="190"/>
      <c r="AHU28" s="194"/>
      <c r="AHV28" s="189"/>
      <c r="AHW28" s="190"/>
      <c r="AHX28" s="190"/>
      <c r="AHY28" s="190"/>
      <c r="AHZ28" s="190"/>
      <c r="AIA28" s="191"/>
      <c r="AIB28" s="190"/>
      <c r="AIC28" s="190"/>
      <c r="AID28" s="190"/>
      <c r="AIE28" s="190"/>
      <c r="AIF28" s="190"/>
      <c r="AIG28" s="192"/>
      <c r="AIH28" s="190"/>
      <c r="AII28" s="190"/>
      <c r="AIJ28" s="190"/>
      <c r="AIK28" s="190"/>
      <c r="AIL28" s="190"/>
      <c r="AIM28" s="193"/>
      <c r="AIN28" s="190"/>
      <c r="AIO28" s="190"/>
      <c r="AIP28" s="190"/>
      <c r="AIQ28" s="190"/>
      <c r="AIR28" s="190"/>
      <c r="AIS28" s="192"/>
      <c r="AIT28" s="190"/>
      <c r="AIU28" s="190"/>
      <c r="AIV28" s="190"/>
      <c r="AIW28" s="190"/>
      <c r="AIX28" s="190"/>
      <c r="AIY28" s="193"/>
      <c r="AIZ28" s="190"/>
      <c r="AJA28" s="190"/>
      <c r="AJB28" s="190"/>
      <c r="AJC28" s="190"/>
      <c r="AJD28" s="190"/>
      <c r="AJE28" s="192"/>
      <c r="AJF28" s="190"/>
      <c r="AJG28" s="190"/>
      <c r="AJH28" s="190"/>
      <c r="AJI28" s="190"/>
      <c r="AJJ28" s="190"/>
      <c r="AJK28" s="193"/>
      <c r="AJL28" s="190"/>
      <c r="AJM28" s="190"/>
      <c r="AJN28" s="190"/>
      <c r="AJO28" s="190"/>
      <c r="AJP28" s="190"/>
      <c r="AJQ28" s="192"/>
      <c r="AJR28" s="190"/>
      <c r="AJS28" s="190"/>
      <c r="AJT28" s="190"/>
      <c r="AJU28" s="190"/>
      <c r="AJV28" s="190"/>
      <c r="AJW28" s="193"/>
      <c r="AJX28" s="190"/>
      <c r="AJY28" s="190"/>
      <c r="AJZ28" s="190"/>
      <c r="AKA28" s="190"/>
      <c r="AKB28" s="190"/>
      <c r="AKC28" s="194"/>
      <c r="AKD28" s="189"/>
      <c r="AKE28" s="190"/>
      <c r="AKF28" s="190"/>
      <c r="AKG28" s="190"/>
      <c r="AKH28" s="190"/>
      <c r="AKI28" s="191"/>
      <c r="AKJ28" s="190"/>
      <c r="AKK28" s="190"/>
      <c r="AKL28" s="190"/>
      <c r="AKM28" s="190"/>
      <c r="AKN28" s="190"/>
      <c r="AKO28" s="192"/>
      <c r="AKP28" s="190"/>
      <c r="AKQ28" s="190"/>
      <c r="AKR28" s="190"/>
      <c r="AKS28" s="190"/>
      <c r="AKT28" s="190"/>
      <c r="AKU28" s="193"/>
      <c r="AKV28" s="190"/>
      <c r="AKW28" s="190"/>
      <c r="AKX28" s="190"/>
      <c r="AKY28" s="190"/>
      <c r="AKZ28" s="190"/>
      <c r="ALA28" s="192"/>
      <c r="ALB28" s="190"/>
      <c r="ALC28" s="190"/>
      <c r="ALD28" s="190"/>
      <c r="ALE28" s="190"/>
      <c r="ALF28" s="190"/>
      <c r="ALG28" s="193"/>
      <c r="ALH28" s="190"/>
      <c r="ALI28" s="190"/>
      <c r="ALJ28" s="190"/>
      <c r="ALK28" s="190"/>
      <c r="ALL28" s="190"/>
      <c r="ALM28" s="192"/>
      <c r="ALN28" s="190"/>
      <c r="ALO28" s="190"/>
      <c r="ALP28" s="190"/>
      <c r="ALQ28" s="190"/>
      <c r="ALR28" s="190"/>
      <c r="ALS28" s="193"/>
      <c r="ALT28" s="190"/>
      <c r="ALU28" s="190"/>
      <c r="ALV28" s="190"/>
      <c r="ALW28" s="190"/>
      <c r="ALX28" s="190"/>
      <c r="ALY28" s="192"/>
      <c r="ALZ28" s="190"/>
      <c r="AMA28" s="190"/>
      <c r="AMB28" s="190"/>
      <c r="AMC28" s="190"/>
      <c r="AMD28" s="190"/>
      <c r="AME28" s="193"/>
      <c r="AMF28" s="190"/>
      <c r="AMG28" s="190"/>
      <c r="AMH28" s="190"/>
      <c r="AMI28" s="190"/>
      <c r="AMJ28" s="190"/>
      <c r="AMK28" s="194"/>
      <c r="AML28" s="189"/>
      <c r="AMM28" s="190"/>
      <c r="AMN28" s="190"/>
      <c r="AMO28" s="190"/>
      <c r="AMP28" s="190"/>
      <c r="AMQ28" s="191"/>
      <c r="AMR28" s="190"/>
      <c r="AMS28" s="190"/>
      <c r="AMT28" s="190"/>
      <c r="AMU28" s="190"/>
      <c r="AMV28" s="190"/>
      <c r="AMW28" s="192"/>
      <c r="AMX28" s="190"/>
      <c r="AMY28" s="190"/>
      <c r="AMZ28" s="190"/>
      <c r="ANA28" s="190"/>
      <c r="ANB28" s="190"/>
      <c r="ANC28" s="193"/>
      <c r="AND28" s="190"/>
      <c r="ANE28" s="190"/>
      <c r="ANF28" s="190"/>
      <c r="ANG28" s="190"/>
      <c r="ANH28" s="190"/>
      <c r="ANI28" s="192"/>
      <c r="ANJ28" s="190"/>
      <c r="ANK28" s="190"/>
      <c r="ANL28" s="190"/>
      <c r="ANM28" s="190"/>
      <c r="ANN28" s="190"/>
      <c r="ANO28" s="193"/>
      <c r="ANP28" s="190"/>
      <c r="ANQ28" s="190"/>
      <c r="ANR28" s="190"/>
      <c r="ANS28" s="190"/>
      <c r="ANT28" s="190"/>
      <c r="ANU28" s="192"/>
      <c r="ANV28" s="190"/>
      <c r="ANW28" s="190"/>
      <c r="ANX28" s="190"/>
      <c r="ANY28" s="190"/>
      <c r="ANZ28" s="190"/>
      <c r="AOA28" s="193"/>
      <c r="AOB28" s="190"/>
      <c r="AOC28" s="190"/>
      <c r="AOD28" s="190"/>
      <c r="AOE28" s="190"/>
      <c r="AOF28" s="190"/>
      <c r="AOG28" s="192"/>
      <c r="AOH28" s="190"/>
      <c r="AOI28" s="190"/>
      <c r="AOJ28" s="190"/>
      <c r="AOK28" s="190"/>
      <c r="AOL28" s="190"/>
      <c r="AOM28" s="193"/>
      <c r="AON28" s="190"/>
      <c r="AOO28" s="190"/>
      <c r="AOP28" s="190"/>
      <c r="AOQ28" s="190"/>
      <c r="AOR28" s="190"/>
      <c r="AOS28" s="194"/>
      <c r="AOT28" s="189"/>
      <c r="AOU28" s="190"/>
      <c r="AOV28" s="190"/>
      <c r="AOW28" s="190"/>
      <c r="AOX28" s="190"/>
      <c r="AOY28" s="191"/>
      <c r="AOZ28" s="190"/>
      <c r="APA28" s="190"/>
      <c r="APB28" s="190"/>
      <c r="APC28" s="190"/>
      <c r="APD28" s="190"/>
      <c r="APE28" s="192"/>
      <c r="APF28" s="190"/>
      <c r="APG28" s="190"/>
      <c r="APH28" s="190"/>
      <c r="API28" s="190"/>
      <c r="APJ28" s="190"/>
      <c r="APK28" s="193"/>
      <c r="APL28" s="190"/>
      <c r="APM28" s="190"/>
      <c r="APN28" s="190"/>
      <c r="APO28" s="190"/>
      <c r="APP28" s="190"/>
      <c r="APQ28" s="192"/>
      <c r="APR28" s="190"/>
      <c r="APS28" s="190"/>
      <c r="APT28" s="190"/>
      <c r="APU28" s="190"/>
      <c r="APV28" s="190"/>
      <c r="APW28" s="193"/>
      <c r="APX28" s="190"/>
      <c r="APY28" s="190"/>
      <c r="APZ28" s="190"/>
      <c r="AQA28" s="190"/>
      <c r="AQB28" s="190"/>
      <c r="AQC28" s="192"/>
      <c r="AQD28" s="190"/>
      <c r="AQE28" s="190"/>
      <c r="AQF28" s="190"/>
      <c r="AQG28" s="190"/>
      <c r="AQH28" s="190"/>
      <c r="AQI28" s="193"/>
      <c r="AQJ28" s="190"/>
      <c r="AQK28" s="190"/>
      <c r="AQL28" s="190"/>
      <c r="AQM28" s="190"/>
      <c r="AQN28" s="190"/>
      <c r="AQO28" s="192"/>
      <c r="AQP28" s="190"/>
      <c r="AQQ28" s="190"/>
      <c r="AQR28" s="190"/>
      <c r="AQS28" s="190"/>
      <c r="AQT28" s="190"/>
      <c r="AQU28" s="193"/>
      <c r="AQV28" s="190"/>
      <c r="AQW28" s="190"/>
      <c r="AQX28" s="190"/>
      <c r="AQY28" s="190"/>
      <c r="AQZ28" s="190"/>
      <c r="ARA28" s="194"/>
      <c r="ARB28" s="189"/>
      <c r="ARC28" s="190"/>
      <c r="ARD28" s="190"/>
      <c r="ARE28" s="190"/>
      <c r="ARF28" s="190"/>
      <c r="ARG28" s="191"/>
      <c r="ARH28" s="190"/>
      <c r="ARI28" s="190"/>
      <c r="ARJ28" s="190"/>
      <c r="ARK28" s="190"/>
      <c r="ARL28" s="190"/>
      <c r="ARM28" s="192"/>
      <c r="ARN28" s="190"/>
      <c r="ARO28" s="190"/>
      <c r="ARP28" s="190"/>
      <c r="ARQ28" s="190"/>
      <c r="ARR28" s="190"/>
      <c r="ARS28" s="193"/>
      <c r="ART28" s="190"/>
      <c r="ARU28" s="190"/>
      <c r="ARV28" s="190"/>
      <c r="ARW28" s="190"/>
      <c r="ARX28" s="190"/>
      <c r="ARY28" s="192"/>
      <c r="ARZ28" s="190"/>
      <c r="ASA28" s="190"/>
      <c r="ASB28" s="190"/>
      <c r="ASC28" s="190"/>
      <c r="ASD28" s="190"/>
      <c r="ASE28" s="193"/>
      <c r="ASF28" s="190"/>
      <c r="ASG28" s="190"/>
      <c r="ASH28" s="190"/>
      <c r="ASI28" s="190"/>
      <c r="ASJ28" s="190"/>
      <c r="ASK28" s="192"/>
      <c r="ASL28" s="190"/>
      <c r="ASM28" s="190"/>
      <c r="ASN28" s="190"/>
      <c r="ASO28" s="190"/>
      <c r="ASP28" s="190"/>
      <c r="ASQ28" s="193"/>
      <c r="ASR28" s="190"/>
      <c r="ASS28" s="190"/>
      <c r="AST28" s="190"/>
      <c r="ASU28" s="190"/>
      <c r="ASV28" s="190"/>
      <c r="ASW28" s="192"/>
      <c r="ASX28" s="190"/>
      <c r="ASY28" s="190"/>
      <c r="ASZ28" s="190"/>
      <c r="ATA28" s="190"/>
      <c r="ATB28" s="190"/>
      <c r="ATC28" s="193"/>
      <c r="ATD28" s="190"/>
      <c r="ATE28" s="190"/>
      <c r="ATF28" s="190"/>
      <c r="ATG28" s="190"/>
      <c r="ATH28" s="190"/>
      <c r="ATI28" s="194"/>
      <c r="ATJ28" s="189"/>
      <c r="ATK28" s="190"/>
      <c r="ATL28" s="190"/>
      <c r="ATM28" s="190"/>
      <c r="ATN28" s="190"/>
      <c r="ATO28" s="191"/>
      <c r="ATP28" s="190"/>
      <c r="ATQ28" s="190"/>
      <c r="ATR28" s="190"/>
      <c r="ATS28" s="190"/>
      <c r="ATT28" s="190"/>
      <c r="ATU28" s="192"/>
      <c r="ATV28" s="190"/>
      <c r="ATW28" s="190"/>
      <c r="ATX28" s="190"/>
      <c r="ATY28" s="190"/>
      <c r="ATZ28" s="190"/>
      <c r="AUA28" s="193"/>
      <c r="AUB28" s="190"/>
      <c r="AUC28" s="190"/>
      <c r="AUD28" s="190"/>
      <c r="AUE28" s="190"/>
      <c r="AUF28" s="190"/>
      <c r="AUG28" s="192"/>
      <c r="AUH28" s="190"/>
      <c r="AUI28" s="190"/>
      <c r="AUJ28" s="190"/>
      <c r="AUK28" s="190"/>
      <c r="AUL28" s="190"/>
      <c r="AUM28" s="193"/>
      <c r="AUN28" s="190"/>
      <c r="AUO28" s="190"/>
      <c r="AUP28" s="190"/>
      <c r="AUQ28" s="190"/>
      <c r="AUR28" s="190"/>
      <c r="AUS28" s="192"/>
      <c r="AUT28" s="190"/>
      <c r="AUU28" s="190"/>
      <c r="AUV28" s="190"/>
      <c r="AUW28" s="190"/>
      <c r="AUX28" s="190"/>
      <c r="AUY28" s="193"/>
      <c r="AUZ28" s="190"/>
      <c r="AVA28" s="190"/>
      <c r="AVB28" s="190"/>
      <c r="AVC28" s="190"/>
      <c r="AVD28" s="190"/>
      <c r="AVE28" s="192"/>
      <c r="AVF28" s="190"/>
      <c r="AVG28" s="190"/>
      <c r="AVH28" s="190"/>
      <c r="AVI28" s="190"/>
      <c r="AVJ28" s="190"/>
      <c r="AVK28" s="193"/>
      <c r="AVL28" s="190"/>
      <c r="AVM28" s="190"/>
      <c r="AVN28" s="190"/>
      <c r="AVO28" s="190"/>
      <c r="AVP28" s="190"/>
      <c r="AVQ28" s="194"/>
      <c r="AVR28" s="189"/>
      <c r="AVS28" s="190"/>
      <c r="AVT28" s="190"/>
      <c r="AVU28" s="190"/>
      <c r="AVV28" s="190"/>
      <c r="AVW28" s="191"/>
      <c r="AVX28" s="190"/>
      <c r="AVY28" s="190"/>
      <c r="AVZ28" s="190"/>
      <c r="AWA28" s="190"/>
      <c r="AWB28" s="190"/>
      <c r="AWC28" s="192"/>
      <c r="AWD28" s="190"/>
      <c r="AWE28" s="190"/>
      <c r="AWF28" s="190"/>
      <c r="AWG28" s="190"/>
      <c r="AWH28" s="190"/>
      <c r="AWI28" s="193"/>
      <c r="AWJ28" s="190"/>
      <c r="AWK28" s="190"/>
      <c r="AWL28" s="190"/>
      <c r="AWM28" s="190"/>
      <c r="AWN28" s="190"/>
      <c r="AWO28" s="192"/>
      <c r="AWP28" s="190"/>
      <c r="AWQ28" s="190"/>
      <c r="AWR28" s="190"/>
      <c r="AWS28" s="190"/>
      <c r="AWT28" s="190"/>
      <c r="AWU28" s="193"/>
      <c r="AWV28" s="190"/>
      <c r="AWW28" s="190"/>
      <c r="AWX28" s="190"/>
      <c r="AWY28" s="190"/>
      <c r="AWZ28" s="190"/>
      <c r="AXA28" s="192"/>
      <c r="AXB28" s="190"/>
      <c r="AXC28" s="190"/>
      <c r="AXD28" s="190"/>
      <c r="AXE28" s="190"/>
      <c r="AXF28" s="190"/>
      <c r="AXG28" s="193"/>
      <c r="AXH28" s="190"/>
      <c r="AXI28" s="190"/>
      <c r="AXJ28" s="190"/>
      <c r="AXK28" s="190"/>
      <c r="AXL28" s="190"/>
      <c r="AXM28" s="192"/>
      <c r="AXN28" s="190"/>
      <c r="AXO28" s="190"/>
      <c r="AXP28" s="190"/>
      <c r="AXQ28" s="190"/>
      <c r="AXR28" s="190"/>
      <c r="AXS28" s="193"/>
      <c r="AXT28" s="190"/>
      <c r="AXU28" s="190"/>
      <c r="AXV28" s="190"/>
      <c r="AXW28" s="190"/>
      <c r="AXX28" s="190"/>
      <c r="AXY28" s="194"/>
      <c r="AXZ28" s="189"/>
      <c r="AYA28" s="190"/>
      <c r="AYB28" s="190"/>
      <c r="AYC28" s="190"/>
      <c r="AYD28" s="190"/>
      <c r="AYE28" s="191"/>
      <c r="AYF28" s="190"/>
      <c r="AYG28" s="190"/>
      <c r="AYH28" s="190"/>
      <c r="AYI28" s="190"/>
      <c r="AYJ28" s="190"/>
      <c r="AYK28" s="192"/>
      <c r="AYL28" s="190"/>
      <c r="AYM28" s="190"/>
      <c r="AYN28" s="190"/>
      <c r="AYO28" s="190"/>
      <c r="AYP28" s="190"/>
      <c r="AYQ28" s="193"/>
      <c r="AYR28" s="190"/>
      <c r="AYS28" s="190"/>
      <c r="AYT28" s="190"/>
      <c r="AYU28" s="190"/>
      <c r="AYV28" s="190"/>
      <c r="AYW28" s="192"/>
      <c r="AYX28" s="190"/>
      <c r="AYY28" s="190"/>
      <c r="AYZ28" s="190"/>
      <c r="AZA28" s="190"/>
      <c r="AZB28" s="190"/>
      <c r="AZC28" s="193"/>
      <c r="AZD28" s="190"/>
      <c r="AZE28" s="190"/>
      <c r="AZF28" s="190"/>
      <c r="AZG28" s="190"/>
      <c r="AZH28" s="190"/>
      <c r="AZI28" s="192"/>
      <c r="AZJ28" s="190"/>
      <c r="AZK28" s="190"/>
      <c r="AZL28" s="190"/>
      <c r="AZM28" s="190"/>
      <c r="AZN28" s="190"/>
      <c r="AZO28" s="193"/>
      <c r="AZP28" s="190"/>
      <c r="AZQ28" s="190"/>
      <c r="AZR28" s="190"/>
      <c r="AZS28" s="190"/>
      <c r="AZT28" s="190"/>
      <c r="AZU28" s="192"/>
      <c r="AZV28" s="190"/>
      <c r="AZW28" s="190"/>
      <c r="AZX28" s="190"/>
      <c r="AZY28" s="190"/>
      <c r="AZZ28" s="190"/>
      <c r="BAA28" s="193"/>
      <c r="BAB28" s="190"/>
      <c r="BAC28" s="190"/>
      <c r="BAD28" s="190"/>
      <c r="BAE28" s="190"/>
      <c r="BAF28" s="190"/>
      <c r="BAG28" s="194"/>
      <c r="BAH28" s="189"/>
      <c r="BAI28" s="190"/>
      <c r="BAJ28" s="190"/>
      <c r="BAK28" s="190"/>
      <c r="BAL28" s="190"/>
      <c r="BAM28" s="191"/>
      <c r="BAN28" s="190"/>
      <c r="BAO28" s="190"/>
      <c r="BAP28" s="190"/>
      <c r="BAQ28" s="190"/>
      <c r="BAR28" s="190"/>
      <c r="BAS28" s="192"/>
      <c r="BAT28" s="190"/>
      <c r="BAU28" s="190"/>
      <c r="BAV28" s="190"/>
      <c r="BAW28" s="190"/>
      <c r="BAX28" s="190"/>
      <c r="BAY28" s="193"/>
      <c r="BAZ28" s="190"/>
      <c r="BBA28" s="190"/>
      <c r="BBB28" s="190"/>
      <c r="BBC28" s="190"/>
      <c r="BBD28" s="190"/>
      <c r="BBE28" s="192"/>
      <c r="BBF28" s="190"/>
      <c r="BBG28" s="190"/>
      <c r="BBH28" s="190"/>
      <c r="BBI28" s="190"/>
      <c r="BBJ28" s="190"/>
      <c r="BBK28" s="193"/>
      <c r="BBL28" s="190"/>
      <c r="BBM28" s="190"/>
      <c r="BBN28" s="190"/>
      <c r="BBO28" s="190"/>
      <c r="BBP28" s="190"/>
      <c r="BBQ28" s="192"/>
      <c r="BBR28" s="190"/>
      <c r="BBS28" s="190"/>
      <c r="BBT28" s="190"/>
      <c r="BBU28" s="190"/>
      <c r="BBV28" s="190"/>
      <c r="BBW28" s="193"/>
      <c r="BBX28" s="190"/>
      <c r="BBY28" s="190"/>
      <c r="BBZ28" s="190"/>
      <c r="BCA28" s="190"/>
      <c r="BCB28" s="190"/>
      <c r="BCC28" s="192"/>
      <c r="BCD28" s="190"/>
      <c r="BCE28" s="190"/>
      <c r="BCF28" s="190"/>
      <c r="BCG28" s="190"/>
      <c r="BCH28" s="190"/>
      <c r="BCI28" s="193"/>
      <c r="BCJ28" s="190"/>
      <c r="BCK28" s="190"/>
      <c r="BCL28" s="190"/>
      <c r="BCM28" s="190"/>
      <c r="BCN28" s="190"/>
      <c r="BCO28" s="194"/>
      <c r="BCP28" s="189"/>
      <c r="BCQ28" s="190"/>
      <c r="BCR28" s="190"/>
      <c r="BCS28" s="190"/>
      <c r="BCT28" s="190"/>
      <c r="BCU28" s="191"/>
      <c r="BCV28" s="190"/>
      <c r="BCW28" s="190"/>
      <c r="BCX28" s="190"/>
      <c r="BCY28" s="190"/>
      <c r="BCZ28" s="190"/>
      <c r="BDA28" s="192"/>
      <c r="BDB28" s="190"/>
      <c r="BDC28" s="190"/>
      <c r="BDD28" s="190"/>
      <c r="BDE28" s="190"/>
      <c r="BDF28" s="190"/>
      <c r="BDG28" s="193"/>
      <c r="BDH28" s="190"/>
      <c r="BDI28" s="190"/>
      <c r="BDJ28" s="190"/>
      <c r="BDK28" s="190"/>
      <c r="BDL28" s="190"/>
      <c r="BDM28" s="192"/>
      <c r="BDN28" s="190"/>
      <c r="BDO28" s="190"/>
      <c r="BDP28" s="190"/>
      <c r="BDQ28" s="190"/>
      <c r="BDR28" s="190"/>
      <c r="BDS28" s="193"/>
      <c r="BDT28" s="190"/>
      <c r="BDU28" s="190"/>
      <c r="BDV28" s="190"/>
      <c r="BDW28" s="190"/>
      <c r="BDX28" s="190"/>
      <c r="BDY28" s="192"/>
      <c r="BDZ28" s="190"/>
      <c r="BEA28" s="190"/>
      <c r="BEB28" s="190"/>
      <c r="BEC28" s="190"/>
      <c r="BED28" s="190"/>
      <c r="BEE28" s="193"/>
      <c r="BEF28" s="190"/>
      <c r="BEG28" s="190"/>
      <c r="BEH28" s="190"/>
      <c r="BEI28" s="190"/>
      <c r="BEJ28" s="190"/>
      <c r="BEK28" s="192"/>
      <c r="BEL28" s="190"/>
      <c r="BEM28" s="190"/>
      <c r="BEN28" s="190"/>
      <c r="BEO28" s="190"/>
      <c r="BEP28" s="190"/>
      <c r="BEQ28" s="193"/>
      <c r="BER28" s="190"/>
      <c r="BES28" s="190"/>
      <c r="BET28" s="190"/>
      <c r="BEU28" s="190"/>
      <c r="BEV28" s="190"/>
      <c r="BEW28" s="194"/>
      <c r="BEX28" s="189"/>
      <c r="BEY28" s="190"/>
      <c r="BEZ28" s="190"/>
      <c r="BFA28" s="190"/>
      <c r="BFB28" s="190"/>
      <c r="BFC28" s="191"/>
      <c r="BFD28" s="190"/>
      <c r="BFE28" s="190"/>
      <c r="BFF28" s="190"/>
      <c r="BFG28" s="190"/>
      <c r="BFH28" s="190"/>
      <c r="BFI28" s="192"/>
      <c r="BFJ28" s="190"/>
      <c r="BFK28" s="190"/>
      <c r="BFL28" s="190"/>
      <c r="BFM28" s="190"/>
      <c r="BFN28" s="190"/>
      <c r="BFO28" s="193"/>
      <c r="BFP28" s="190"/>
      <c r="BFQ28" s="190"/>
      <c r="BFR28" s="190"/>
      <c r="BFS28" s="190"/>
      <c r="BFT28" s="190"/>
      <c r="BFU28" s="192"/>
      <c r="BFV28" s="190"/>
      <c r="BFW28" s="190"/>
      <c r="BFX28" s="190"/>
      <c r="BFY28" s="190"/>
      <c r="BFZ28" s="190"/>
      <c r="BGA28" s="193"/>
      <c r="BGB28" s="190"/>
      <c r="BGC28" s="190"/>
      <c r="BGD28" s="190"/>
      <c r="BGE28" s="190"/>
      <c r="BGF28" s="190"/>
      <c r="BGG28" s="192"/>
      <c r="BGH28" s="190"/>
      <c r="BGI28" s="190"/>
      <c r="BGJ28" s="190"/>
      <c r="BGK28" s="190"/>
      <c r="BGL28" s="190"/>
      <c r="BGM28" s="193"/>
      <c r="BGN28" s="190"/>
      <c r="BGO28" s="190"/>
      <c r="BGP28" s="190"/>
      <c r="BGQ28" s="190"/>
      <c r="BGR28" s="190"/>
      <c r="BGS28" s="192"/>
      <c r="BGT28" s="190"/>
      <c r="BGU28" s="190"/>
      <c r="BGV28" s="190"/>
      <c r="BGW28" s="190"/>
      <c r="BGX28" s="190"/>
      <c r="BGY28" s="193"/>
      <c r="BGZ28" s="190"/>
      <c r="BHA28" s="190"/>
      <c r="BHB28" s="190"/>
      <c r="BHC28" s="190"/>
      <c r="BHD28" s="190"/>
      <c r="BHE28" s="194"/>
      <c r="BHF28" s="187"/>
      <c r="BHG28" s="188"/>
      <c r="BHH28" s="188"/>
      <c r="BHI28" s="188"/>
      <c r="BHJ28" s="188"/>
      <c r="BHK28" s="188"/>
      <c r="BHL28" s="188"/>
      <c r="BHM28" s="188"/>
      <c r="BHN28" s="188"/>
      <c r="BHO28" s="188"/>
      <c r="BHP28" s="188"/>
      <c r="BHQ28" s="188"/>
      <c r="BHR28" s="188"/>
      <c r="BHS28" s="188"/>
      <c r="BHT28" s="188"/>
      <c r="BHU28" s="188"/>
      <c r="BHV28" s="188"/>
      <c r="BHW28" s="188"/>
      <c r="BHX28" s="188"/>
      <c r="BHY28" s="188"/>
      <c r="BHZ28" s="188"/>
      <c r="BIA28" s="188"/>
      <c r="BIB28" s="188"/>
      <c r="BIC28" s="188"/>
      <c r="BID28" s="188"/>
      <c r="BIE28" s="188"/>
      <c r="BIF28" s="188"/>
      <c r="BIG28" s="188"/>
      <c r="BIH28" s="188"/>
      <c r="BII28" s="188"/>
      <c r="BIJ28" s="188"/>
      <c r="BIK28" s="188"/>
      <c r="BIL28" s="188"/>
      <c r="BIM28" s="188"/>
      <c r="BIN28" s="188"/>
      <c r="BIO28" s="188"/>
      <c r="BIP28" s="188"/>
    </row>
    <row r="29" spans="1:1602" ht="20.100000000000001" customHeight="1" x14ac:dyDescent="0.25">
      <c r="A29" s="78" t="s">
        <v>49</v>
      </c>
      <c r="B29" s="51" t="str">
        <f>IF(LEN(C43)=0,"",C43)</f>
        <v>Réalisation - Détails Thé</v>
      </c>
      <c r="C29" s="230" t="s">
        <v>87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134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77"/>
      <c r="NP29" s="177"/>
      <c r="NQ29" s="177"/>
      <c r="NR29" s="177"/>
      <c r="NS29" s="180"/>
      <c r="NT29" s="177"/>
      <c r="NU29" s="177"/>
      <c r="NV29" s="177"/>
      <c r="NW29" s="177"/>
      <c r="NX29" s="177"/>
      <c r="NY29" s="179"/>
      <c r="NZ29" s="177"/>
      <c r="OA29" s="177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87"/>
      <c r="BHG29" s="188"/>
      <c r="BHH29" s="188"/>
      <c r="BHI29" s="188"/>
      <c r="BHJ29" s="188"/>
      <c r="BHK29" s="188"/>
      <c r="BHL29" s="188"/>
      <c r="BHM29" s="188"/>
      <c r="BHN29" s="188"/>
      <c r="BHO29" s="188"/>
      <c r="BHP29" s="188"/>
      <c r="BHQ29" s="188"/>
      <c r="BHR29" s="188"/>
      <c r="BHS29" s="188"/>
      <c r="BHT29" s="188"/>
      <c r="BHU29" s="188"/>
      <c r="BHV29" s="188"/>
      <c r="BHW29" s="188"/>
      <c r="BHX29" s="188"/>
      <c r="BHY29" s="188"/>
      <c r="BHZ29" s="188"/>
      <c r="BIA29" s="188"/>
      <c r="BIB29" s="188"/>
      <c r="BIC29" s="188"/>
      <c r="BID29" s="188"/>
      <c r="BIE29" s="188"/>
      <c r="BIF29" s="188"/>
      <c r="BIG29" s="188"/>
      <c r="BIH29" s="188"/>
      <c r="BII29" s="188"/>
      <c r="BIJ29" s="188"/>
      <c r="BIK29" s="188"/>
      <c r="BIL29" s="188"/>
      <c r="BIM29" s="188"/>
      <c r="BIN29" s="188"/>
      <c r="BIO29" s="188"/>
      <c r="BIP29" s="188"/>
    </row>
    <row r="30" spans="1:1602" ht="20.100000000000001" customHeight="1" x14ac:dyDescent="0.3">
      <c r="A30" s="78" t="s">
        <v>50</v>
      </c>
      <c r="B30" s="51" t="str">
        <f>IF(LEN(C45)=0,"",C45)</f>
        <v>Réalisation - Gestion Provenance</v>
      </c>
      <c r="C30" s="236"/>
      <c r="D30" s="121" t="str">
        <f t="shared" si="0"/>
        <v/>
      </c>
      <c r="E30" s="30">
        <v>0</v>
      </c>
      <c r="F30" s="195"/>
      <c r="G30" s="196"/>
      <c r="H30" s="196"/>
      <c r="I30" s="196"/>
      <c r="J30" s="196"/>
      <c r="K30" s="197"/>
      <c r="L30" s="196"/>
      <c r="M30" s="196"/>
      <c r="N30" s="196"/>
      <c r="O30" s="196"/>
      <c r="P30" s="196"/>
      <c r="Q30" s="198"/>
      <c r="R30" s="196"/>
      <c r="S30" s="196"/>
      <c r="T30" s="196"/>
      <c r="U30" s="196"/>
      <c r="V30" s="196"/>
      <c r="W30" s="199"/>
      <c r="X30" s="196"/>
      <c r="Y30" s="196"/>
      <c r="Z30" s="196"/>
      <c r="AA30" s="196"/>
      <c r="AB30" s="196"/>
      <c r="AC30" s="198"/>
      <c r="AD30" s="196"/>
      <c r="AE30" s="196"/>
      <c r="AF30" s="196"/>
      <c r="AG30" s="196"/>
      <c r="AH30" s="196"/>
      <c r="AI30" s="199"/>
      <c r="AJ30" s="196"/>
      <c r="AK30" s="196"/>
      <c r="AL30" s="196"/>
      <c r="AM30" s="196"/>
      <c r="AN30" s="196"/>
      <c r="AO30" s="198"/>
      <c r="AP30" s="196"/>
      <c r="AQ30" s="196"/>
      <c r="AR30" s="196"/>
      <c r="AS30" s="196"/>
      <c r="AT30" s="196"/>
      <c r="AU30" s="199"/>
      <c r="AV30" s="196"/>
      <c r="AW30" s="196"/>
      <c r="AX30" s="196"/>
      <c r="AY30" s="196"/>
      <c r="AZ30" s="196"/>
      <c r="BA30" s="198"/>
      <c r="BB30" s="196"/>
      <c r="BC30" s="196"/>
      <c r="BD30" s="196"/>
      <c r="BE30" s="196"/>
      <c r="BF30" s="196"/>
      <c r="BG30" s="199"/>
      <c r="BH30" s="196"/>
      <c r="BI30" s="196"/>
      <c r="BJ30" s="196"/>
      <c r="BK30" s="196"/>
      <c r="BL30" s="196"/>
      <c r="BM30" s="200"/>
      <c r="BN30" s="195"/>
      <c r="BO30" s="196"/>
      <c r="BP30" s="196"/>
      <c r="BQ30" s="196"/>
      <c r="BR30" s="196"/>
      <c r="BS30" s="197"/>
      <c r="BT30" s="196"/>
      <c r="BU30" s="196"/>
      <c r="BV30" s="196"/>
      <c r="BW30" s="196"/>
      <c r="BX30" s="196"/>
      <c r="BY30" s="198"/>
      <c r="BZ30" s="196"/>
      <c r="CA30" s="196"/>
      <c r="CB30" s="196"/>
      <c r="CC30" s="196"/>
      <c r="CD30" s="196"/>
      <c r="CE30" s="199"/>
      <c r="CF30" s="196"/>
      <c r="CG30" s="196"/>
      <c r="CH30" s="196"/>
      <c r="CI30" s="196"/>
      <c r="CJ30" s="196"/>
      <c r="CK30" s="198"/>
      <c r="CL30" s="196"/>
      <c r="CM30" s="196"/>
      <c r="CN30" s="196"/>
      <c r="CO30" s="196"/>
      <c r="CP30" s="196"/>
      <c r="CQ30" s="199"/>
      <c r="CR30" s="196"/>
      <c r="CS30" s="196"/>
      <c r="CT30" s="196"/>
      <c r="CU30" s="196"/>
      <c r="CV30" s="196"/>
      <c r="CW30" s="198"/>
      <c r="CX30" s="196"/>
      <c r="CY30" s="196"/>
      <c r="CZ30" s="196"/>
      <c r="DA30" s="196"/>
      <c r="DB30" s="196"/>
      <c r="DC30" s="199"/>
      <c r="DD30" s="196"/>
      <c r="DE30" s="196"/>
      <c r="DF30" s="196"/>
      <c r="DG30" s="196"/>
      <c r="DH30" s="196"/>
      <c r="DI30" s="198"/>
      <c r="DJ30" s="196"/>
      <c r="DK30" s="196"/>
      <c r="DL30" s="196"/>
      <c r="DM30" s="196"/>
      <c r="DN30" s="196"/>
      <c r="DO30" s="199"/>
      <c r="DP30" s="196"/>
      <c r="DQ30" s="196"/>
      <c r="DR30" s="196"/>
      <c r="DS30" s="196"/>
      <c r="DT30" s="196"/>
      <c r="DU30" s="200"/>
      <c r="DV30" s="195"/>
      <c r="DW30" s="196"/>
      <c r="DX30" s="196"/>
      <c r="DY30" s="196"/>
      <c r="DZ30" s="196"/>
      <c r="EA30" s="197"/>
      <c r="EB30" s="196"/>
      <c r="EC30" s="196"/>
      <c r="ED30" s="196"/>
      <c r="EE30" s="196"/>
      <c r="EF30" s="196"/>
      <c r="EG30" s="198"/>
      <c r="EH30" s="196"/>
      <c r="EI30" s="196"/>
      <c r="EJ30" s="196"/>
      <c r="EK30" s="196"/>
      <c r="EL30" s="196"/>
      <c r="EM30" s="199"/>
      <c r="EN30" s="196"/>
      <c r="EO30" s="196"/>
      <c r="EP30" s="196"/>
      <c r="EQ30" s="196"/>
      <c r="ER30" s="196"/>
      <c r="ES30" s="198"/>
      <c r="ET30" s="196"/>
      <c r="EU30" s="196"/>
      <c r="EV30" s="196"/>
      <c r="EW30" s="196"/>
      <c r="EX30" s="196"/>
      <c r="EY30" s="199"/>
      <c r="EZ30" s="196"/>
      <c r="FA30" s="196"/>
      <c r="FB30" s="196"/>
      <c r="FC30" s="196"/>
      <c r="FD30" s="196"/>
      <c r="FE30" s="198"/>
      <c r="FF30" s="196"/>
      <c r="FG30" s="196"/>
      <c r="FH30" s="196"/>
      <c r="FI30" s="196"/>
      <c r="FJ30" s="196"/>
      <c r="FK30" s="199"/>
      <c r="FL30" s="196"/>
      <c r="FM30" s="196"/>
      <c r="FN30" s="196"/>
      <c r="FO30" s="196"/>
      <c r="FP30" s="196"/>
      <c r="FQ30" s="198"/>
      <c r="FR30" s="196"/>
      <c r="FS30" s="196"/>
      <c r="FT30" s="196"/>
      <c r="FU30" s="196"/>
      <c r="FV30" s="196"/>
      <c r="FW30" s="199"/>
      <c r="FX30" s="196"/>
      <c r="FY30" s="196"/>
      <c r="FZ30" s="196"/>
      <c r="GA30" s="196"/>
      <c r="GB30" s="196"/>
      <c r="GC30" s="200"/>
      <c r="GD30" s="195"/>
      <c r="GE30" s="196"/>
      <c r="GF30" s="196"/>
      <c r="GG30" s="196"/>
      <c r="GH30" s="196"/>
      <c r="GI30" s="197"/>
      <c r="GJ30" s="196"/>
      <c r="GK30" s="196"/>
      <c r="GL30" s="196"/>
      <c r="GM30" s="196"/>
      <c r="GN30" s="196"/>
      <c r="GO30" s="198"/>
      <c r="GP30" s="196"/>
      <c r="GQ30" s="196"/>
      <c r="GR30" s="196"/>
      <c r="GS30" s="196"/>
      <c r="GT30" s="196"/>
      <c r="GU30" s="199"/>
      <c r="GV30" s="196"/>
      <c r="GW30" s="196"/>
      <c r="GX30" s="196"/>
      <c r="GY30" s="196"/>
      <c r="GZ30" s="196"/>
      <c r="HA30" s="198"/>
      <c r="HB30" s="196"/>
      <c r="HC30" s="196"/>
      <c r="HD30" s="196"/>
      <c r="HE30" s="196"/>
      <c r="HF30" s="196"/>
      <c r="HG30" s="199"/>
      <c r="HH30" s="196"/>
      <c r="HI30" s="196"/>
      <c r="HJ30" s="196"/>
      <c r="HK30" s="196"/>
      <c r="HL30" s="196"/>
      <c r="HM30" s="198"/>
      <c r="HN30" s="196"/>
      <c r="HO30" s="196"/>
      <c r="HP30" s="196"/>
      <c r="HQ30" s="196"/>
      <c r="HR30" s="196"/>
      <c r="HS30" s="199"/>
      <c r="HT30" s="196"/>
      <c r="HU30" s="196"/>
      <c r="HV30" s="196"/>
      <c r="HW30" s="196"/>
      <c r="HX30" s="196"/>
      <c r="HY30" s="198"/>
      <c r="HZ30" s="196"/>
      <c r="IA30" s="196"/>
      <c r="IB30" s="196"/>
      <c r="IC30" s="196"/>
      <c r="ID30" s="196"/>
      <c r="IE30" s="199"/>
      <c r="IF30" s="196"/>
      <c r="IG30" s="196"/>
      <c r="IH30" s="196"/>
      <c r="II30" s="196"/>
      <c r="IJ30" s="196"/>
      <c r="IK30" s="200"/>
      <c r="IL30" s="195"/>
      <c r="IM30" s="196"/>
      <c r="IN30" s="196"/>
      <c r="IO30" s="196"/>
      <c r="IP30" s="196"/>
      <c r="IQ30" s="197"/>
      <c r="IR30" s="196"/>
      <c r="IS30" s="196"/>
      <c r="IT30" s="196"/>
      <c r="IU30" s="196"/>
      <c r="IV30" s="196"/>
      <c r="IW30" s="198"/>
      <c r="IX30" s="196"/>
      <c r="IY30" s="196"/>
      <c r="IZ30" s="196"/>
      <c r="JA30" s="196"/>
      <c r="JB30" s="196"/>
      <c r="JC30" s="199"/>
      <c r="JD30" s="196"/>
      <c r="JE30" s="196"/>
      <c r="JF30" s="196"/>
      <c r="JG30" s="196"/>
      <c r="JH30" s="196"/>
      <c r="JI30" s="198"/>
      <c r="JJ30" s="196"/>
      <c r="JK30" s="196"/>
      <c r="JL30" s="196"/>
      <c r="JM30" s="196"/>
      <c r="JN30" s="196"/>
      <c r="JO30" s="199"/>
      <c r="JP30" s="196"/>
      <c r="JQ30" s="196"/>
      <c r="JR30" s="196"/>
      <c r="JS30" s="196"/>
      <c r="JT30" s="196"/>
      <c r="JU30" s="198"/>
      <c r="JV30" s="196"/>
      <c r="JW30" s="196"/>
      <c r="JX30" s="196"/>
      <c r="JY30" s="196"/>
      <c r="JZ30" s="196"/>
      <c r="KA30" s="199"/>
      <c r="KB30" s="196"/>
      <c r="KC30" s="196"/>
      <c r="KD30" s="196"/>
      <c r="KE30" s="196"/>
      <c r="KF30" s="196"/>
      <c r="KG30" s="198"/>
      <c r="KH30" s="196"/>
      <c r="KI30" s="196"/>
      <c r="KJ30" s="196"/>
      <c r="KK30" s="196"/>
      <c r="KL30" s="196"/>
      <c r="KM30" s="199"/>
      <c r="KN30" s="196"/>
      <c r="KO30" s="196"/>
      <c r="KP30" s="196"/>
      <c r="KQ30" s="196"/>
      <c r="KR30" s="196"/>
      <c r="KS30" s="200"/>
      <c r="KT30" s="195"/>
      <c r="KU30" s="196"/>
      <c r="KV30" s="196"/>
      <c r="KW30" s="196"/>
      <c r="KX30" s="196"/>
      <c r="KY30" s="197"/>
      <c r="KZ30" s="196"/>
      <c r="LA30" s="196"/>
      <c r="LB30" s="196"/>
      <c r="LC30" s="196"/>
      <c r="LD30" s="196"/>
      <c r="LE30" s="198"/>
      <c r="LF30" s="196"/>
      <c r="LG30" s="196"/>
      <c r="LH30" s="196"/>
      <c r="LI30" s="196"/>
      <c r="LJ30" s="196"/>
      <c r="LK30" s="199"/>
      <c r="LL30" s="196"/>
      <c r="LM30" s="196"/>
      <c r="LN30" s="196"/>
      <c r="LO30" s="196"/>
      <c r="LP30" s="196"/>
      <c r="LQ30" s="198"/>
      <c r="LR30" s="196"/>
      <c r="LS30" s="196"/>
      <c r="LT30" s="196"/>
      <c r="LU30" s="196"/>
      <c r="LV30" s="196"/>
      <c r="LW30" s="199"/>
      <c r="LX30" s="196"/>
      <c r="LY30" s="196"/>
      <c r="LZ30" s="196"/>
      <c r="MA30" s="196"/>
      <c r="MB30" s="196"/>
      <c r="MC30" s="198"/>
      <c r="MD30" s="196"/>
      <c r="ME30" s="196"/>
      <c r="MF30" s="196"/>
      <c r="MG30" s="196"/>
      <c r="MH30" s="196"/>
      <c r="MI30" s="199"/>
      <c r="MJ30" s="196"/>
      <c r="MK30" s="196"/>
      <c r="ML30" s="196"/>
      <c r="MM30" s="196"/>
      <c r="MN30" s="196"/>
      <c r="MO30" s="198"/>
      <c r="MP30" s="196"/>
      <c r="MQ30" s="196"/>
      <c r="MR30" s="196"/>
      <c r="MS30" s="196"/>
      <c r="MT30" s="196"/>
      <c r="MU30" s="199"/>
      <c r="MV30" s="196"/>
      <c r="MW30" s="196"/>
      <c r="MX30" s="196"/>
      <c r="MY30" s="196"/>
      <c r="MZ30" s="196"/>
      <c r="NA30" s="200"/>
      <c r="NB30" s="195"/>
      <c r="NC30" s="196"/>
      <c r="ND30" s="196"/>
      <c r="NE30" s="196"/>
      <c r="NF30" s="196"/>
      <c r="NG30" s="197"/>
      <c r="NH30" s="196"/>
      <c r="NI30" s="196"/>
      <c r="NJ30" s="196"/>
      <c r="NK30" s="196"/>
      <c r="NL30" s="196"/>
      <c r="NM30" s="198"/>
      <c r="NN30" s="196"/>
      <c r="NO30" s="196"/>
      <c r="NP30" s="196"/>
      <c r="NQ30" s="196"/>
      <c r="NR30" s="196"/>
      <c r="NS30" s="199"/>
      <c r="NT30" s="196"/>
      <c r="NU30" s="196"/>
      <c r="NV30" s="196"/>
      <c r="NW30" s="196"/>
      <c r="NX30" s="196"/>
      <c r="NY30" s="198"/>
      <c r="NZ30" s="196"/>
      <c r="OA30" s="196"/>
      <c r="OB30" s="196"/>
      <c r="OC30" s="196"/>
      <c r="OD30" s="196"/>
      <c r="OE30" s="199"/>
      <c r="OF30" s="196"/>
      <c r="OG30" s="196"/>
      <c r="OH30" s="196"/>
      <c r="OI30" s="196"/>
      <c r="OJ30" s="196"/>
      <c r="OK30" s="198"/>
      <c r="OL30" s="196"/>
      <c r="OM30" s="196"/>
      <c r="ON30" s="196"/>
      <c r="OO30" s="196"/>
      <c r="OP30" s="196"/>
      <c r="OQ30" s="199"/>
      <c r="OR30" s="196"/>
      <c r="OS30" s="196"/>
      <c r="OT30" s="196"/>
      <c r="OU30" s="196"/>
      <c r="OV30" s="196"/>
      <c r="OW30" s="198"/>
      <c r="OX30" s="196"/>
      <c r="OY30" s="196"/>
      <c r="OZ30" s="196"/>
      <c r="PA30" s="196"/>
      <c r="PB30" s="196"/>
      <c r="PC30" s="199"/>
      <c r="PD30" s="196"/>
      <c r="PE30" s="196"/>
      <c r="PF30" s="196"/>
      <c r="PG30" s="196"/>
      <c r="PH30" s="196"/>
      <c r="PI30" s="200"/>
      <c r="PJ30" s="195"/>
      <c r="PK30" s="196"/>
      <c r="PL30" s="196"/>
      <c r="PM30" s="196"/>
      <c r="PN30" s="196"/>
      <c r="PO30" s="197"/>
      <c r="PP30" s="196"/>
      <c r="PQ30" s="196"/>
      <c r="PR30" s="196"/>
      <c r="PS30" s="196"/>
      <c r="PT30" s="196"/>
      <c r="PU30" s="198"/>
      <c r="PV30" s="196"/>
      <c r="PW30" s="196"/>
      <c r="PX30" s="196"/>
      <c r="PY30" s="196"/>
      <c r="PZ30" s="196"/>
      <c r="QA30" s="199"/>
      <c r="QB30" s="196"/>
      <c r="QC30" s="196"/>
      <c r="QD30" s="196"/>
      <c r="QE30" s="196"/>
      <c r="QF30" s="196"/>
      <c r="QG30" s="198"/>
      <c r="QH30" s="196"/>
      <c r="QI30" s="196"/>
      <c r="QJ30" s="196"/>
      <c r="QK30" s="196"/>
      <c r="QL30" s="196"/>
      <c r="QM30" s="199"/>
      <c r="QN30" s="196"/>
      <c r="QO30" s="196"/>
      <c r="QP30" s="196"/>
      <c r="QQ30" s="196"/>
      <c r="QR30" s="196"/>
      <c r="QS30" s="198"/>
      <c r="QT30" s="196"/>
      <c r="QU30" s="196"/>
      <c r="QV30" s="196"/>
      <c r="QW30" s="196"/>
      <c r="QX30" s="196"/>
      <c r="QY30" s="199"/>
      <c r="QZ30" s="196"/>
      <c r="RA30" s="196"/>
      <c r="RB30" s="196"/>
      <c r="RC30" s="196"/>
      <c r="RD30" s="196"/>
      <c r="RE30" s="198"/>
      <c r="RF30" s="196"/>
      <c r="RG30" s="196"/>
      <c r="RH30" s="196"/>
      <c r="RI30" s="196"/>
      <c r="RJ30" s="196"/>
      <c r="RK30" s="199"/>
      <c r="RL30" s="196"/>
      <c r="RM30" s="196"/>
      <c r="RN30" s="196"/>
      <c r="RO30" s="196"/>
      <c r="RP30" s="196"/>
      <c r="RQ30" s="200"/>
      <c r="RR30" s="195"/>
      <c r="RS30" s="196"/>
      <c r="RT30" s="196"/>
      <c r="RU30" s="196"/>
      <c r="RV30" s="196"/>
      <c r="RW30" s="197"/>
      <c r="RX30" s="196"/>
      <c r="RY30" s="196"/>
      <c r="RZ30" s="196"/>
      <c r="SA30" s="196"/>
      <c r="SB30" s="196"/>
      <c r="SC30" s="198"/>
      <c r="SD30" s="196"/>
      <c r="SE30" s="196"/>
      <c r="SF30" s="196"/>
      <c r="SG30" s="196"/>
      <c r="SH30" s="196"/>
      <c r="SI30" s="199"/>
      <c r="SJ30" s="196"/>
      <c r="SK30" s="196"/>
      <c r="SL30" s="196"/>
      <c r="SM30" s="196"/>
      <c r="SN30" s="196"/>
      <c r="SO30" s="198"/>
      <c r="SP30" s="196"/>
      <c r="SQ30" s="196"/>
      <c r="SR30" s="196"/>
      <c r="SS30" s="196"/>
      <c r="ST30" s="196"/>
      <c r="SU30" s="199"/>
      <c r="SV30" s="196"/>
      <c r="SW30" s="196"/>
      <c r="SX30" s="196"/>
      <c r="SY30" s="196"/>
      <c r="SZ30" s="196"/>
      <c r="TA30" s="198"/>
      <c r="TB30" s="196"/>
      <c r="TC30" s="196"/>
      <c r="TD30" s="196"/>
      <c r="TE30" s="196"/>
      <c r="TF30" s="196"/>
      <c r="TG30" s="199"/>
      <c r="TH30" s="196"/>
      <c r="TI30" s="196"/>
      <c r="TJ30" s="196"/>
      <c r="TK30" s="196"/>
      <c r="TL30" s="196"/>
      <c r="TM30" s="198"/>
      <c r="TN30" s="196"/>
      <c r="TO30" s="196"/>
      <c r="TP30" s="196"/>
      <c r="TQ30" s="196"/>
      <c r="TR30" s="196"/>
      <c r="TS30" s="199"/>
      <c r="TT30" s="196"/>
      <c r="TU30" s="196"/>
      <c r="TV30" s="196"/>
      <c r="TW30" s="196"/>
      <c r="TX30" s="196"/>
      <c r="TY30" s="200"/>
      <c r="TZ30" s="195"/>
      <c r="UA30" s="196"/>
      <c r="UB30" s="196"/>
      <c r="UC30" s="196"/>
      <c r="UD30" s="196"/>
      <c r="UE30" s="197"/>
      <c r="UF30" s="196"/>
      <c r="UG30" s="196"/>
      <c r="UH30" s="196"/>
      <c r="UI30" s="196"/>
      <c r="UJ30" s="196"/>
      <c r="UK30" s="198"/>
      <c r="UL30" s="196"/>
      <c r="UM30" s="196"/>
      <c r="UN30" s="196"/>
      <c r="UO30" s="196"/>
      <c r="UP30" s="196"/>
      <c r="UQ30" s="199"/>
      <c r="UR30" s="196"/>
      <c r="US30" s="196"/>
      <c r="UT30" s="196"/>
      <c r="UU30" s="196"/>
      <c r="UV30" s="196"/>
      <c r="UW30" s="198"/>
      <c r="UX30" s="196"/>
      <c r="UY30" s="196"/>
      <c r="UZ30" s="196"/>
      <c r="VA30" s="196"/>
      <c r="VB30" s="196"/>
      <c r="VC30" s="199"/>
      <c r="VD30" s="196"/>
      <c r="VE30" s="196"/>
      <c r="VF30" s="196"/>
      <c r="VG30" s="196"/>
      <c r="VH30" s="196"/>
      <c r="VI30" s="198"/>
      <c r="VJ30" s="196"/>
      <c r="VK30" s="196"/>
      <c r="VL30" s="196"/>
      <c r="VM30" s="196"/>
      <c r="VN30" s="196"/>
      <c r="VO30" s="199"/>
      <c r="VP30" s="196"/>
      <c r="VQ30" s="196"/>
      <c r="VR30" s="196"/>
      <c r="VS30" s="196"/>
      <c r="VT30" s="196"/>
      <c r="VU30" s="198"/>
      <c r="VV30" s="196"/>
      <c r="VW30" s="196"/>
      <c r="VX30" s="196"/>
      <c r="VY30" s="196"/>
      <c r="VZ30" s="196"/>
      <c r="WA30" s="199"/>
      <c r="WB30" s="196"/>
      <c r="WC30" s="196"/>
      <c r="WD30" s="196"/>
      <c r="WE30" s="196"/>
      <c r="WF30" s="196"/>
      <c r="WG30" s="200"/>
      <c r="WH30" s="195"/>
      <c r="WI30" s="196"/>
      <c r="WJ30" s="196"/>
      <c r="WK30" s="196"/>
      <c r="WL30" s="196"/>
      <c r="WM30" s="197"/>
      <c r="WN30" s="196"/>
      <c r="WO30" s="196"/>
      <c r="WP30" s="196"/>
      <c r="WQ30" s="196"/>
      <c r="WR30" s="196"/>
      <c r="WS30" s="198"/>
      <c r="WT30" s="196"/>
      <c r="WU30" s="196"/>
      <c r="WV30" s="196"/>
      <c r="WW30" s="196"/>
      <c r="WX30" s="196"/>
      <c r="WY30" s="199"/>
      <c r="WZ30" s="196"/>
      <c r="XA30" s="196"/>
      <c r="XB30" s="196"/>
      <c r="XC30" s="196"/>
      <c r="XD30" s="196"/>
      <c r="XE30" s="198"/>
      <c r="XF30" s="196"/>
      <c r="XG30" s="196"/>
      <c r="XH30" s="196"/>
      <c r="XI30" s="196"/>
      <c r="XJ30" s="196"/>
      <c r="XK30" s="199"/>
      <c r="XL30" s="196"/>
      <c r="XM30" s="196"/>
      <c r="XN30" s="196"/>
      <c r="XO30" s="196"/>
      <c r="XP30" s="196"/>
      <c r="XQ30" s="198"/>
      <c r="XR30" s="196"/>
      <c r="XS30" s="196"/>
      <c r="XT30" s="196"/>
      <c r="XU30" s="196"/>
      <c r="XV30" s="196"/>
      <c r="XW30" s="199"/>
      <c r="XX30" s="196"/>
      <c r="XY30" s="196"/>
      <c r="XZ30" s="196"/>
      <c r="YA30" s="196"/>
      <c r="YB30" s="196"/>
      <c r="YC30" s="198"/>
      <c r="YD30" s="196"/>
      <c r="YE30" s="196"/>
      <c r="YF30" s="196"/>
      <c r="YG30" s="196"/>
      <c r="YH30" s="196"/>
      <c r="YI30" s="199"/>
      <c r="YJ30" s="196"/>
      <c r="YK30" s="196"/>
      <c r="YL30" s="196"/>
      <c r="YM30" s="196"/>
      <c r="YN30" s="196"/>
      <c r="YO30" s="200"/>
      <c r="YP30" s="195"/>
      <c r="YQ30" s="196"/>
      <c r="YR30" s="196"/>
      <c r="YS30" s="196"/>
      <c r="YT30" s="196"/>
      <c r="YU30" s="197"/>
      <c r="YV30" s="196"/>
      <c r="YW30" s="196"/>
      <c r="YX30" s="196"/>
      <c r="YY30" s="196"/>
      <c r="YZ30" s="196"/>
      <c r="ZA30" s="198"/>
      <c r="ZB30" s="196"/>
      <c r="ZC30" s="196"/>
      <c r="ZD30" s="196"/>
      <c r="ZE30" s="196"/>
      <c r="ZF30" s="196"/>
      <c r="ZG30" s="199"/>
      <c r="ZH30" s="196"/>
      <c r="ZI30" s="196"/>
      <c r="ZJ30" s="196"/>
      <c r="ZK30" s="196"/>
      <c r="ZL30" s="196"/>
      <c r="ZM30" s="198"/>
      <c r="ZN30" s="196"/>
      <c r="ZO30" s="196"/>
      <c r="ZP30" s="196"/>
      <c r="ZQ30" s="196"/>
      <c r="ZR30" s="196"/>
      <c r="ZS30" s="199"/>
      <c r="ZT30" s="196"/>
      <c r="ZU30" s="196"/>
      <c r="ZV30" s="196"/>
      <c r="ZW30" s="196"/>
      <c r="ZX30" s="196"/>
      <c r="ZY30" s="198"/>
      <c r="ZZ30" s="196"/>
      <c r="AAA30" s="196"/>
      <c r="AAB30" s="196"/>
      <c r="AAC30" s="196"/>
      <c r="AAD30" s="196"/>
      <c r="AAE30" s="199"/>
      <c r="AAF30" s="196"/>
      <c r="AAG30" s="196"/>
      <c r="AAH30" s="196"/>
      <c r="AAI30" s="196"/>
      <c r="AAJ30" s="196"/>
      <c r="AAK30" s="198"/>
      <c r="AAL30" s="196"/>
      <c r="AAM30" s="196"/>
      <c r="AAN30" s="196"/>
      <c r="AAO30" s="196"/>
      <c r="AAP30" s="196"/>
      <c r="AAQ30" s="199"/>
      <c r="AAR30" s="196"/>
      <c r="AAS30" s="196"/>
      <c r="AAT30" s="196"/>
      <c r="AAU30" s="196"/>
      <c r="AAV30" s="196"/>
      <c r="AAW30" s="200"/>
      <c r="AAX30" s="195"/>
      <c r="AAY30" s="196"/>
      <c r="AAZ30" s="196"/>
      <c r="ABA30" s="196"/>
      <c r="ABB30" s="196"/>
      <c r="ABC30" s="197"/>
      <c r="ABD30" s="196"/>
      <c r="ABE30" s="196"/>
      <c r="ABF30" s="196"/>
      <c r="ABG30" s="196"/>
      <c r="ABH30" s="196"/>
      <c r="ABI30" s="198"/>
      <c r="ABJ30" s="196"/>
      <c r="ABK30" s="196"/>
      <c r="ABL30" s="196"/>
      <c r="ABM30" s="196"/>
      <c r="ABN30" s="196"/>
      <c r="ABO30" s="199"/>
      <c r="ABP30" s="196"/>
      <c r="ABQ30" s="196"/>
      <c r="ABR30" s="196"/>
      <c r="ABS30" s="196"/>
      <c r="ABT30" s="196"/>
      <c r="ABU30" s="198"/>
      <c r="ABV30" s="196"/>
      <c r="ABW30" s="196"/>
      <c r="ABX30" s="196"/>
      <c r="ABY30" s="196"/>
      <c r="ABZ30" s="196"/>
      <c r="ACA30" s="199"/>
      <c r="ACB30" s="196"/>
      <c r="ACC30" s="196"/>
      <c r="ACD30" s="196"/>
      <c r="ACE30" s="196"/>
      <c r="ACF30" s="196"/>
      <c r="ACG30" s="198"/>
      <c r="ACH30" s="196"/>
      <c r="ACI30" s="196"/>
      <c r="ACJ30" s="196"/>
      <c r="ACK30" s="196"/>
      <c r="ACL30" s="196"/>
      <c r="ACM30" s="199"/>
      <c r="ACN30" s="196"/>
      <c r="ACO30" s="196"/>
      <c r="ACP30" s="196"/>
      <c r="ACQ30" s="196"/>
      <c r="ACR30" s="196"/>
      <c r="ACS30" s="198"/>
      <c r="ACT30" s="196"/>
      <c r="ACU30" s="196"/>
      <c r="ACV30" s="196"/>
      <c r="ACW30" s="196"/>
      <c r="ACX30" s="196"/>
      <c r="ACY30" s="199"/>
      <c r="ACZ30" s="196"/>
      <c r="ADA30" s="196"/>
      <c r="ADB30" s="196"/>
      <c r="ADC30" s="196"/>
      <c r="ADD30" s="196"/>
      <c r="ADE30" s="200"/>
      <c r="ADF30" s="195"/>
      <c r="ADG30" s="196"/>
      <c r="ADH30" s="196"/>
      <c r="ADI30" s="196"/>
      <c r="ADJ30" s="196"/>
      <c r="ADK30" s="197"/>
      <c r="ADL30" s="196"/>
      <c r="ADM30" s="196"/>
      <c r="ADN30" s="196"/>
      <c r="ADO30" s="196"/>
      <c r="ADP30" s="196"/>
      <c r="ADQ30" s="198"/>
      <c r="ADR30" s="196"/>
      <c r="ADS30" s="196"/>
      <c r="ADT30" s="196"/>
      <c r="ADU30" s="196"/>
      <c r="ADV30" s="196"/>
      <c r="ADW30" s="199"/>
      <c r="ADX30" s="196"/>
      <c r="ADY30" s="196"/>
      <c r="ADZ30" s="196"/>
      <c r="AEA30" s="196"/>
      <c r="AEB30" s="196"/>
      <c r="AEC30" s="198"/>
      <c r="AED30" s="196"/>
      <c r="AEE30" s="196"/>
      <c r="AEF30" s="196"/>
      <c r="AEG30" s="196"/>
      <c r="AEH30" s="196"/>
      <c r="AEI30" s="199"/>
      <c r="AEJ30" s="196"/>
      <c r="AEK30" s="196"/>
      <c r="AEL30" s="196"/>
      <c r="AEM30" s="196"/>
      <c r="AEN30" s="196"/>
      <c r="AEO30" s="198"/>
      <c r="AEP30" s="196"/>
      <c r="AEQ30" s="196"/>
      <c r="AER30" s="196"/>
      <c r="AES30" s="196"/>
      <c r="AET30" s="196"/>
      <c r="AEU30" s="199"/>
      <c r="AEV30" s="196"/>
      <c r="AEW30" s="196"/>
      <c r="AEX30" s="196"/>
      <c r="AEY30" s="196"/>
      <c r="AEZ30" s="196"/>
      <c r="AFA30" s="198"/>
      <c r="AFB30" s="196"/>
      <c r="AFC30" s="196"/>
      <c r="AFD30" s="196"/>
      <c r="AFE30" s="196"/>
      <c r="AFF30" s="196"/>
      <c r="AFG30" s="199"/>
      <c r="AFH30" s="196"/>
      <c r="AFI30" s="196"/>
      <c r="AFJ30" s="196"/>
      <c r="AFK30" s="196"/>
      <c r="AFL30" s="196"/>
      <c r="AFM30" s="200"/>
      <c r="AFN30" s="195"/>
      <c r="AFO30" s="196"/>
      <c r="AFP30" s="196"/>
      <c r="AFQ30" s="196"/>
      <c r="AFR30" s="196"/>
      <c r="AFS30" s="197"/>
      <c r="AFT30" s="196"/>
      <c r="AFU30" s="196"/>
      <c r="AFV30" s="196"/>
      <c r="AFW30" s="196"/>
      <c r="AFX30" s="196"/>
      <c r="AFY30" s="198"/>
      <c r="AFZ30" s="196"/>
      <c r="AGA30" s="196"/>
      <c r="AGB30" s="196"/>
      <c r="AGC30" s="196"/>
      <c r="AGD30" s="196"/>
      <c r="AGE30" s="199"/>
      <c r="AGF30" s="196"/>
      <c r="AGG30" s="196"/>
      <c r="AGH30" s="196"/>
      <c r="AGI30" s="196"/>
      <c r="AGJ30" s="196"/>
      <c r="AGK30" s="198"/>
      <c r="AGL30" s="196"/>
      <c r="AGM30" s="196"/>
      <c r="AGN30" s="196"/>
      <c r="AGO30" s="196"/>
      <c r="AGP30" s="196"/>
      <c r="AGQ30" s="199"/>
      <c r="AGR30" s="196"/>
      <c r="AGS30" s="196"/>
      <c r="AGT30" s="196"/>
      <c r="AGU30" s="196"/>
      <c r="AGV30" s="196"/>
      <c r="AGW30" s="198"/>
      <c r="AGX30" s="196"/>
      <c r="AGY30" s="196"/>
      <c r="AGZ30" s="196"/>
      <c r="AHA30" s="196"/>
      <c r="AHB30" s="196"/>
      <c r="AHC30" s="199"/>
      <c r="AHD30" s="196"/>
      <c r="AHE30" s="196"/>
      <c r="AHF30" s="196"/>
      <c r="AHG30" s="196"/>
      <c r="AHH30" s="196"/>
      <c r="AHI30" s="198"/>
      <c r="AHJ30" s="196"/>
      <c r="AHK30" s="196"/>
      <c r="AHL30" s="196"/>
      <c r="AHM30" s="196"/>
      <c r="AHN30" s="196"/>
      <c r="AHO30" s="199"/>
      <c r="AHP30" s="196"/>
      <c r="AHQ30" s="196"/>
      <c r="AHR30" s="196"/>
      <c r="AHS30" s="196"/>
      <c r="AHT30" s="196"/>
      <c r="AHU30" s="200"/>
      <c r="AHV30" s="195"/>
      <c r="AHW30" s="196"/>
      <c r="AHX30" s="196"/>
      <c r="AHY30" s="196"/>
      <c r="AHZ30" s="196"/>
      <c r="AIA30" s="197"/>
      <c r="AIB30" s="196"/>
      <c r="AIC30" s="196"/>
      <c r="AID30" s="196"/>
      <c r="AIE30" s="196"/>
      <c r="AIF30" s="196"/>
      <c r="AIG30" s="198"/>
      <c r="AIH30" s="196"/>
      <c r="AII30" s="196"/>
      <c r="AIJ30" s="196"/>
      <c r="AIK30" s="196"/>
      <c r="AIL30" s="196"/>
      <c r="AIM30" s="199"/>
      <c r="AIN30" s="196"/>
      <c r="AIO30" s="196"/>
      <c r="AIP30" s="196"/>
      <c r="AIQ30" s="196"/>
      <c r="AIR30" s="196"/>
      <c r="AIS30" s="198"/>
      <c r="AIT30" s="196"/>
      <c r="AIU30" s="196"/>
      <c r="AIV30" s="196"/>
      <c r="AIW30" s="196"/>
      <c r="AIX30" s="196"/>
      <c r="AIY30" s="199"/>
      <c r="AIZ30" s="196"/>
      <c r="AJA30" s="196"/>
      <c r="AJB30" s="196"/>
      <c r="AJC30" s="196"/>
      <c r="AJD30" s="196"/>
      <c r="AJE30" s="198"/>
      <c r="AJF30" s="196"/>
      <c r="AJG30" s="196"/>
      <c r="AJH30" s="196"/>
      <c r="AJI30" s="196"/>
      <c r="AJJ30" s="196"/>
      <c r="AJK30" s="199"/>
      <c r="AJL30" s="196"/>
      <c r="AJM30" s="196"/>
      <c r="AJN30" s="196"/>
      <c r="AJO30" s="196"/>
      <c r="AJP30" s="196"/>
      <c r="AJQ30" s="198"/>
      <c r="AJR30" s="196"/>
      <c r="AJS30" s="196"/>
      <c r="AJT30" s="196"/>
      <c r="AJU30" s="196"/>
      <c r="AJV30" s="196"/>
      <c r="AJW30" s="199"/>
      <c r="AJX30" s="196"/>
      <c r="AJY30" s="196"/>
      <c r="AJZ30" s="196"/>
      <c r="AKA30" s="196"/>
      <c r="AKB30" s="196"/>
      <c r="AKC30" s="200"/>
      <c r="AKD30" s="195"/>
      <c r="AKE30" s="196"/>
      <c r="AKF30" s="196"/>
      <c r="AKG30" s="196"/>
      <c r="AKH30" s="196"/>
      <c r="AKI30" s="197"/>
      <c r="AKJ30" s="196"/>
      <c r="AKK30" s="196"/>
      <c r="AKL30" s="196"/>
      <c r="AKM30" s="196"/>
      <c r="AKN30" s="196"/>
      <c r="AKO30" s="198"/>
      <c r="AKP30" s="196"/>
      <c r="AKQ30" s="196"/>
      <c r="AKR30" s="196"/>
      <c r="AKS30" s="196"/>
      <c r="AKT30" s="196"/>
      <c r="AKU30" s="199"/>
      <c r="AKV30" s="196"/>
      <c r="AKW30" s="196"/>
      <c r="AKX30" s="196"/>
      <c r="AKY30" s="196"/>
      <c r="AKZ30" s="196"/>
      <c r="ALA30" s="198"/>
      <c r="ALB30" s="196"/>
      <c r="ALC30" s="196"/>
      <c r="ALD30" s="196"/>
      <c r="ALE30" s="196"/>
      <c r="ALF30" s="196"/>
      <c r="ALG30" s="199"/>
      <c r="ALH30" s="196"/>
      <c r="ALI30" s="196"/>
      <c r="ALJ30" s="196"/>
      <c r="ALK30" s="196"/>
      <c r="ALL30" s="196"/>
      <c r="ALM30" s="198"/>
      <c r="ALN30" s="196"/>
      <c r="ALO30" s="196"/>
      <c r="ALP30" s="196"/>
      <c r="ALQ30" s="196"/>
      <c r="ALR30" s="196"/>
      <c r="ALS30" s="199"/>
      <c r="ALT30" s="196"/>
      <c r="ALU30" s="196"/>
      <c r="ALV30" s="196"/>
      <c r="ALW30" s="196"/>
      <c r="ALX30" s="196"/>
      <c r="ALY30" s="198"/>
      <c r="ALZ30" s="196"/>
      <c r="AMA30" s="196"/>
      <c r="AMB30" s="196"/>
      <c r="AMC30" s="196"/>
      <c r="AMD30" s="196"/>
      <c r="AME30" s="199"/>
      <c r="AMF30" s="196"/>
      <c r="AMG30" s="196"/>
      <c r="AMH30" s="196"/>
      <c r="AMI30" s="196"/>
      <c r="AMJ30" s="196"/>
      <c r="AMK30" s="200"/>
      <c r="AML30" s="195"/>
      <c r="AMM30" s="196"/>
      <c r="AMN30" s="196"/>
      <c r="AMO30" s="196"/>
      <c r="AMP30" s="196"/>
      <c r="AMQ30" s="197"/>
      <c r="AMR30" s="196"/>
      <c r="AMS30" s="196"/>
      <c r="AMT30" s="196"/>
      <c r="AMU30" s="196"/>
      <c r="AMV30" s="196"/>
      <c r="AMW30" s="198"/>
      <c r="AMX30" s="196"/>
      <c r="AMY30" s="196"/>
      <c r="AMZ30" s="196"/>
      <c r="ANA30" s="196"/>
      <c r="ANB30" s="196"/>
      <c r="ANC30" s="199"/>
      <c r="AND30" s="196"/>
      <c r="ANE30" s="196"/>
      <c r="ANF30" s="196"/>
      <c r="ANG30" s="196"/>
      <c r="ANH30" s="196"/>
      <c r="ANI30" s="198"/>
      <c r="ANJ30" s="196"/>
      <c r="ANK30" s="196"/>
      <c r="ANL30" s="196"/>
      <c r="ANM30" s="196"/>
      <c r="ANN30" s="196"/>
      <c r="ANO30" s="199"/>
      <c r="ANP30" s="196"/>
      <c r="ANQ30" s="196"/>
      <c r="ANR30" s="196"/>
      <c r="ANS30" s="196"/>
      <c r="ANT30" s="196"/>
      <c r="ANU30" s="198"/>
      <c r="ANV30" s="196"/>
      <c r="ANW30" s="196"/>
      <c r="ANX30" s="196"/>
      <c r="ANY30" s="196"/>
      <c r="ANZ30" s="196"/>
      <c r="AOA30" s="199"/>
      <c r="AOB30" s="196"/>
      <c r="AOC30" s="196"/>
      <c r="AOD30" s="196"/>
      <c r="AOE30" s="196"/>
      <c r="AOF30" s="196"/>
      <c r="AOG30" s="198"/>
      <c r="AOH30" s="196"/>
      <c r="AOI30" s="196"/>
      <c r="AOJ30" s="196"/>
      <c r="AOK30" s="196"/>
      <c r="AOL30" s="196"/>
      <c r="AOM30" s="199"/>
      <c r="AON30" s="196"/>
      <c r="AOO30" s="196"/>
      <c r="AOP30" s="196"/>
      <c r="AOQ30" s="196"/>
      <c r="AOR30" s="196"/>
      <c r="AOS30" s="200"/>
      <c r="AOT30" s="195"/>
      <c r="AOU30" s="196"/>
      <c r="AOV30" s="196"/>
      <c r="AOW30" s="196"/>
      <c r="AOX30" s="196"/>
      <c r="AOY30" s="197"/>
      <c r="AOZ30" s="196"/>
      <c r="APA30" s="196"/>
      <c r="APB30" s="196"/>
      <c r="APC30" s="196"/>
      <c r="APD30" s="196"/>
      <c r="APE30" s="198"/>
      <c r="APF30" s="196"/>
      <c r="APG30" s="196"/>
      <c r="APH30" s="196"/>
      <c r="API30" s="196"/>
      <c r="APJ30" s="196"/>
      <c r="APK30" s="199"/>
      <c r="APL30" s="196"/>
      <c r="APM30" s="196"/>
      <c r="APN30" s="196"/>
      <c r="APO30" s="196"/>
      <c r="APP30" s="196"/>
      <c r="APQ30" s="198"/>
      <c r="APR30" s="196"/>
      <c r="APS30" s="196"/>
      <c r="APT30" s="196"/>
      <c r="APU30" s="196"/>
      <c r="APV30" s="196"/>
      <c r="APW30" s="199"/>
      <c r="APX30" s="196"/>
      <c r="APY30" s="196"/>
      <c r="APZ30" s="196"/>
      <c r="AQA30" s="196"/>
      <c r="AQB30" s="196"/>
      <c r="AQC30" s="198"/>
      <c r="AQD30" s="196"/>
      <c r="AQE30" s="196"/>
      <c r="AQF30" s="196"/>
      <c r="AQG30" s="196"/>
      <c r="AQH30" s="196"/>
      <c r="AQI30" s="199"/>
      <c r="AQJ30" s="196"/>
      <c r="AQK30" s="196"/>
      <c r="AQL30" s="196"/>
      <c r="AQM30" s="196"/>
      <c r="AQN30" s="196"/>
      <c r="AQO30" s="198"/>
      <c r="AQP30" s="196"/>
      <c r="AQQ30" s="196"/>
      <c r="AQR30" s="196"/>
      <c r="AQS30" s="196"/>
      <c r="AQT30" s="196"/>
      <c r="AQU30" s="199"/>
      <c r="AQV30" s="196"/>
      <c r="AQW30" s="196"/>
      <c r="AQX30" s="196"/>
      <c r="AQY30" s="196"/>
      <c r="AQZ30" s="196"/>
      <c r="ARA30" s="200"/>
      <c r="ARB30" s="195"/>
      <c r="ARC30" s="196"/>
      <c r="ARD30" s="196"/>
      <c r="ARE30" s="196"/>
      <c r="ARF30" s="196"/>
      <c r="ARG30" s="197"/>
      <c r="ARH30" s="196"/>
      <c r="ARI30" s="196"/>
      <c r="ARJ30" s="196"/>
      <c r="ARK30" s="196"/>
      <c r="ARL30" s="196"/>
      <c r="ARM30" s="198"/>
      <c r="ARN30" s="196"/>
      <c r="ARO30" s="196"/>
      <c r="ARP30" s="196"/>
      <c r="ARQ30" s="196"/>
      <c r="ARR30" s="196"/>
      <c r="ARS30" s="199"/>
      <c r="ART30" s="196"/>
      <c r="ARU30" s="196"/>
      <c r="ARV30" s="196"/>
      <c r="ARW30" s="196"/>
      <c r="ARX30" s="196"/>
      <c r="ARY30" s="198"/>
      <c r="ARZ30" s="196"/>
      <c r="ASA30" s="196"/>
      <c r="ASB30" s="196"/>
      <c r="ASC30" s="196"/>
      <c r="ASD30" s="196"/>
      <c r="ASE30" s="199"/>
      <c r="ASF30" s="196"/>
      <c r="ASG30" s="196"/>
      <c r="ASH30" s="196"/>
      <c r="ASI30" s="196"/>
      <c r="ASJ30" s="196"/>
      <c r="ASK30" s="198"/>
      <c r="ASL30" s="196"/>
      <c r="ASM30" s="196"/>
      <c r="ASN30" s="196"/>
      <c r="ASO30" s="196"/>
      <c r="ASP30" s="196"/>
      <c r="ASQ30" s="199"/>
      <c r="ASR30" s="196"/>
      <c r="ASS30" s="196"/>
      <c r="AST30" s="196"/>
      <c r="ASU30" s="196"/>
      <c r="ASV30" s="196"/>
      <c r="ASW30" s="198"/>
      <c r="ASX30" s="196"/>
      <c r="ASY30" s="196"/>
      <c r="ASZ30" s="196"/>
      <c r="ATA30" s="196"/>
      <c r="ATB30" s="196"/>
      <c r="ATC30" s="199"/>
      <c r="ATD30" s="196"/>
      <c r="ATE30" s="196"/>
      <c r="ATF30" s="196"/>
      <c r="ATG30" s="196"/>
      <c r="ATH30" s="196"/>
      <c r="ATI30" s="200"/>
      <c r="ATJ30" s="195"/>
      <c r="ATK30" s="196"/>
      <c r="ATL30" s="196"/>
      <c r="ATM30" s="196"/>
      <c r="ATN30" s="196"/>
      <c r="ATO30" s="197"/>
      <c r="ATP30" s="196"/>
      <c r="ATQ30" s="196"/>
      <c r="ATR30" s="196"/>
      <c r="ATS30" s="196"/>
      <c r="ATT30" s="196"/>
      <c r="ATU30" s="198"/>
      <c r="ATV30" s="196"/>
      <c r="ATW30" s="196"/>
      <c r="ATX30" s="196"/>
      <c r="ATY30" s="196"/>
      <c r="ATZ30" s="196"/>
      <c r="AUA30" s="199"/>
      <c r="AUB30" s="196"/>
      <c r="AUC30" s="196"/>
      <c r="AUD30" s="196"/>
      <c r="AUE30" s="196"/>
      <c r="AUF30" s="196"/>
      <c r="AUG30" s="198"/>
      <c r="AUH30" s="196"/>
      <c r="AUI30" s="196"/>
      <c r="AUJ30" s="196"/>
      <c r="AUK30" s="196"/>
      <c r="AUL30" s="196"/>
      <c r="AUM30" s="199"/>
      <c r="AUN30" s="196"/>
      <c r="AUO30" s="196"/>
      <c r="AUP30" s="196"/>
      <c r="AUQ30" s="196"/>
      <c r="AUR30" s="196"/>
      <c r="AUS30" s="198"/>
      <c r="AUT30" s="196"/>
      <c r="AUU30" s="196"/>
      <c r="AUV30" s="196"/>
      <c r="AUW30" s="196"/>
      <c r="AUX30" s="196"/>
      <c r="AUY30" s="199"/>
      <c r="AUZ30" s="196"/>
      <c r="AVA30" s="196"/>
      <c r="AVB30" s="196"/>
      <c r="AVC30" s="196"/>
      <c r="AVD30" s="196"/>
      <c r="AVE30" s="198"/>
      <c r="AVF30" s="196"/>
      <c r="AVG30" s="196"/>
      <c r="AVH30" s="196"/>
      <c r="AVI30" s="196"/>
      <c r="AVJ30" s="196"/>
      <c r="AVK30" s="199"/>
      <c r="AVL30" s="196"/>
      <c r="AVM30" s="196"/>
      <c r="AVN30" s="196"/>
      <c r="AVO30" s="196"/>
      <c r="AVP30" s="196"/>
      <c r="AVQ30" s="200"/>
      <c r="AVR30" s="195"/>
      <c r="AVS30" s="196"/>
      <c r="AVT30" s="196"/>
      <c r="AVU30" s="196"/>
      <c r="AVV30" s="196"/>
      <c r="AVW30" s="197"/>
      <c r="AVX30" s="196"/>
      <c r="AVY30" s="196"/>
      <c r="AVZ30" s="196"/>
      <c r="AWA30" s="196"/>
      <c r="AWB30" s="196"/>
      <c r="AWC30" s="198"/>
      <c r="AWD30" s="196"/>
      <c r="AWE30" s="196"/>
      <c r="AWF30" s="196"/>
      <c r="AWG30" s="196"/>
      <c r="AWH30" s="196"/>
      <c r="AWI30" s="199"/>
      <c r="AWJ30" s="196"/>
      <c r="AWK30" s="196"/>
      <c r="AWL30" s="196"/>
      <c r="AWM30" s="196"/>
      <c r="AWN30" s="196"/>
      <c r="AWO30" s="198"/>
      <c r="AWP30" s="196"/>
      <c r="AWQ30" s="196"/>
      <c r="AWR30" s="196"/>
      <c r="AWS30" s="196"/>
      <c r="AWT30" s="196"/>
      <c r="AWU30" s="199"/>
      <c r="AWV30" s="196"/>
      <c r="AWW30" s="196"/>
      <c r="AWX30" s="196"/>
      <c r="AWY30" s="196"/>
      <c r="AWZ30" s="196"/>
      <c r="AXA30" s="198"/>
      <c r="AXB30" s="196"/>
      <c r="AXC30" s="196"/>
      <c r="AXD30" s="196"/>
      <c r="AXE30" s="196"/>
      <c r="AXF30" s="196"/>
      <c r="AXG30" s="199"/>
      <c r="AXH30" s="196"/>
      <c r="AXI30" s="196"/>
      <c r="AXJ30" s="196"/>
      <c r="AXK30" s="196"/>
      <c r="AXL30" s="196"/>
      <c r="AXM30" s="198"/>
      <c r="AXN30" s="196"/>
      <c r="AXO30" s="196"/>
      <c r="AXP30" s="196"/>
      <c r="AXQ30" s="196"/>
      <c r="AXR30" s="196"/>
      <c r="AXS30" s="199"/>
      <c r="AXT30" s="196"/>
      <c r="AXU30" s="196"/>
      <c r="AXV30" s="196"/>
      <c r="AXW30" s="196"/>
      <c r="AXX30" s="196"/>
      <c r="AXY30" s="200"/>
      <c r="AXZ30" s="195"/>
      <c r="AYA30" s="196"/>
      <c r="AYB30" s="196"/>
      <c r="AYC30" s="196"/>
      <c r="AYD30" s="196"/>
      <c r="AYE30" s="197"/>
      <c r="AYF30" s="196"/>
      <c r="AYG30" s="196"/>
      <c r="AYH30" s="196"/>
      <c r="AYI30" s="196"/>
      <c r="AYJ30" s="196"/>
      <c r="AYK30" s="198"/>
      <c r="AYL30" s="196"/>
      <c r="AYM30" s="196"/>
      <c r="AYN30" s="196"/>
      <c r="AYO30" s="196"/>
      <c r="AYP30" s="196"/>
      <c r="AYQ30" s="199"/>
      <c r="AYR30" s="196"/>
      <c r="AYS30" s="196"/>
      <c r="AYT30" s="196"/>
      <c r="AYU30" s="196"/>
      <c r="AYV30" s="196"/>
      <c r="AYW30" s="198"/>
      <c r="AYX30" s="196"/>
      <c r="AYY30" s="196"/>
      <c r="AYZ30" s="196"/>
      <c r="AZA30" s="196"/>
      <c r="AZB30" s="196"/>
      <c r="AZC30" s="199"/>
      <c r="AZD30" s="196"/>
      <c r="AZE30" s="196"/>
      <c r="AZF30" s="196"/>
      <c r="AZG30" s="196"/>
      <c r="AZH30" s="196"/>
      <c r="AZI30" s="198"/>
      <c r="AZJ30" s="196"/>
      <c r="AZK30" s="196"/>
      <c r="AZL30" s="196"/>
      <c r="AZM30" s="196"/>
      <c r="AZN30" s="196"/>
      <c r="AZO30" s="199"/>
      <c r="AZP30" s="196"/>
      <c r="AZQ30" s="196"/>
      <c r="AZR30" s="196"/>
      <c r="AZS30" s="196"/>
      <c r="AZT30" s="196"/>
      <c r="AZU30" s="198"/>
      <c r="AZV30" s="196"/>
      <c r="AZW30" s="196"/>
      <c r="AZX30" s="196"/>
      <c r="AZY30" s="196"/>
      <c r="AZZ30" s="196"/>
      <c r="BAA30" s="199"/>
      <c r="BAB30" s="196"/>
      <c r="BAC30" s="196"/>
      <c r="BAD30" s="196"/>
      <c r="BAE30" s="196"/>
      <c r="BAF30" s="196"/>
      <c r="BAG30" s="200"/>
      <c r="BAH30" s="195"/>
      <c r="BAI30" s="196"/>
      <c r="BAJ30" s="196"/>
      <c r="BAK30" s="196"/>
      <c r="BAL30" s="196"/>
      <c r="BAM30" s="197"/>
      <c r="BAN30" s="196"/>
      <c r="BAO30" s="196"/>
      <c r="BAP30" s="196"/>
      <c r="BAQ30" s="196"/>
      <c r="BAR30" s="196"/>
      <c r="BAS30" s="198"/>
      <c r="BAT30" s="196"/>
      <c r="BAU30" s="196"/>
      <c r="BAV30" s="196"/>
      <c r="BAW30" s="196"/>
      <c r="BAX30" s="196"/>
      <c r="BAY30" s="199"/>
      <c r="BAZ30" s="196"/>
      <c r="BBA30" s="196"/>
      <c r="BBB30" s="196"/>
      <c r="BBC30" s="196"/>
      <c r="BBD30" s="196"/>
      <c r="BBE30" s="198"/>
      <c r="BBF30" s="196"/>
      <c r="BBG30" s="196"/>
      <c r="BBH30" s="196"/>
      <c r="BBI30" s="196"/>
      <c r="BBJ30" s="196"/>
      <c r="BBK30" s="199"/>
      <c r="BBL30" s="196"/>
      <c r="BBM30" s="196"/>
      <c r="BBN30" s="196"/>
      <c r="BBO30" s="196"/>
      <c r="BBP30" s="196"/>
      <c r="BBQ30" s="198"/>
      <c r="BBR30" s="196"/>
      <c r="BBS30" s="196"/>
      <c r="BBT30" s="196"/>
      <c r="BBU30" s="196"/>
      <c r="BBV30" s="196"/>
      <c r="BBW30" s="199"/>
      <c r="BBX30" s="196"/>
      <c r="BBY30" s="196"/>
      <c r="BBZ30" s="196"/>
      <c r="BCA30" s="196"/>
      <c r="BCB30" s="196"/>
      <c r="BCC30" s="198"/>
      <c r="BCD30" s="196"/>
      <c r="BCE30" s="196"/>
      <c r="BCF30" s="196"/>
      <c r="BCG30" s="196"/>
      <c r="BCH30" s="196"/>
      <c r="BCI30" s="199"/>
      <c r="BCJ30" s="196"/>
      <c r="BCK30" s="196"/>
      <c r="BCL30" s="196"/>
      <c r="BCM30" s="196"/>
      <c r="BCN30" s="196"/>
      <c r="BCO30" s="200"/>
      <c r="BCP30" s="195"/>
      <c r="BCQ30" s="196"/>
      <c r="BCR30" s="196"/>
      <c r="BCS30" s="196"/>
      <c r="BCT30" s="196"/>
      <c r="BCU30" s="197"/>
      <c r="BCV30" s="196"/>
      <c r="BCW30" s="196"/>
      <c r="BCX30" s="196"/>
      <c r="BCY30" s="196"/>
      <c r="BCZ30" s="196"/>
      <c r="BDA30" s="198"/>
      <c r="BDB30" s="196"/>
      <c r="BDC30" s="196"/>
      <c r="BDD30" s="196"/>
      <c r="BDE30" s="196"/>
      <c r="BDF30" s="196"/>
      <c r="BDG30" s="199"/>
      <c r="BDH30" s="196"/>
      <c r="BDI30" s="196"/>
      <c r="BDJ30" s="196"/>
      <c r="BDK30" s="196"/>
      <c r="BDL30" s="196"/>
      <c r="BDM30" s="198"/>
      <c r="BDN30" s="196"/>
      <c r="BDO30" s="196"/>
      <c r="BDP30" s="196"/>
      <c r="BDQ30" s="196"/>
      <c r="BDR30" s="196"/>
      <c r="BDS30" s="199"/>
      <c r="BDT30" s="196"/>
      <c r="BDU30" s="196"/>
      <c r="BDV30" s="196"/>
      <c r="BDW30" s="196"/>
      <c r="BDX30" s="196"/>
      <c r="BDY30" s="198"/>
      <c r="BDZ30" s="196"/>
      <c r="BEA30" s="196"/>
      <c r="BEB30" s="196"/>
      <c r="BEC30" s="196"/>
      <c r="BED30" s="196"/>
      <c r="BEE30" s="199"/>
      <c r="BEF30" s="196"/>
      <c r="BEG30" s="196"/>
      <c r="BEH30" s="196"/>
      <c r="BEI30" s="196"/>
      <c r="BEJ30" s="196"/>
      <c r="BEK30" s="198"/>
      <c r="BEL30" s="196"/>
      <c r="BEM30" s="196"/>
      <c r="BEN30" s="196"/>
      <c r="BEO30" s="196"/>
      <c r="BEP30" s="196"/>
      <c r="BEQ30" s="199"/>
      <c r="BER30" s="196"/>
      <c r="BES30" s="196"/>
      <c r="BET30" s="196"/>
      <c r="BEU30" s="196"/>
      <c r="BEV30" s="196"/>
      <c r="BEW30" s="200"/>
      <c r="BEX30" s="195"/>
      <c r="BEY30" s="196"/>
      <c r="BEZ30" s="196"/>
      <c r="BFA30" s="196"/>
      <c r="BFB30" s="196"/>
      <c r="BFC30" s="197"/>
      <c r="BFD30" s="196"/>
      <c r="BFE30" s="196"/>
      <c r="BFF30" s="196"/>
      <c r="BFG30" s="196"/>
      <c r="BFH30" s="196"/>
      <c r="BFI30" s="198"/>
      <c r="BFJ30" s="196"/>
      <c r="BFK30" s="196"/>
      <c r="BFL30" s="196"/>
      <c r="BFM30" s="196"/>
      <c r="BFN30" s="196"/>
      <c r="BFO30" s="199"/>
      <c r="BFP30" s="196"/>
      <c r="BFQ30" s="196"/>
      <c r="BFR30" s="196"/>
      <c r="BFS30" s="196"/>
      <c r="BFT30" s="196"/>
      <c r="BFU30" s="198"/>
      <c r="BFV30" s="196"/>
      <c r="BFW30" s="196"/>
      <c r="BFX30" s="196"/>
      <c r="BFY30" s="196"/>
      <c r="BFZ30" s="196"/>
      <c r="BGA30" s="199"/>
      <c r="BGB30" s="196"/>
      <c r="BGC30" s="196"/>
      <c r="BGD30" s="196"/>
      <c r="BGE30" s="196"/>
      <c r="BGF30" s="196"/>
      <c r="BGG30" s="198"/>
      <c r="BGH30" s="196"/>
      <c r="BGI30" s="196"/>
      <c r="BGJ30" s="196"/>
      <c r="BGK30" s="196"/>
      <c r="BGL30" s="196"/>
      <c r="BGM30" s="199"/>
      <c r="BGN30" s="196"/>
      <c r="BGO30" s="196"/>
      <c r="BGP30" s="196"/>
      <c r="BGQ30" s="196"/>
      <c r="BGR30" s="196"/>
      <c r="BGS30" s="198"/>
      <c r="BGT30" s="196"/>
      <c r="BGU30" s="196"/>
      <c r="BGV30" s="196"/>
      <c r="BGW30" s="196"/>
      <c r="BGX30" s="196"/>
      <c r="BGY30" s="199"/>
      <c r="BGZ30" s="196"/>
      <c r="BHA30" s="196"/>
      <c r="BHB30" s="196"/>
      <c r="BHC30" s="196"/>
      <c r="BHD30" s="196"/>
      <c r="BHE30" s="200"/>
      <c r="BHF30" s="187"/>
      <c r="BHG30" s="188"/>
      <c r="BHH30" s="188"/>
      <c r="BHI30" s="188"/>
      <c r="BHJ30" s="188"/>
      <c r="BHK30" s="188"/>
      <c r="BHL30" s="188"/>
      <c r="BHM30" s="188"/>
      <c r="BHN30" s="188"/>
      <c r="BHO30" s="188"/>
      <c r="BHP30" s="188"/>
      <c r="BHQ30" s="188"/>
      <c r="BHR30" s="188"/>
      <c r="BHS30" s="188"/>
      <c r="BHT30" s="188"/>
      <c r="BHU30" s="188"/>
      <c r="BHV30" s="188"/>
      <c r="BHW30" s="188"/>
      <c r="BHX30" s="188"/>
      <c r="BHY30" s="188"/>
      <c r="BHZ30" s="188"/>
      <c r="BIA30" s="188"/>
      <c r="BIB30" s="188"/>
      <c r="BIC30" s="188"/>
      <c r="BID30" s="188"/>
      <c r="BIE30" s="188"/>
      <c r="BIF30" s="188"/>
      <c r="BIG30" s="188"/>
      <c r="BIH30" s="188"/>
      <c r="BII30" s="188"/>
      <c r="BIJ30" s="188"/>
      <c r="BIK30" s="188"/>
      <c r="BIL30" s="188"/>
      <c r="BIM30" s="188"/>
      <c r="BIN30" s="188"/>
      <c r="BIO30" s="188"/>
      <c r="BIP30" s="188"/>
    </row>
    <row r="31" spans="1:1602" ht="20.100000000000001" customHeight="1" x14ac:dyDescent="0.25">
      <c r="A31" s="78" t="s">
        <v>49</v>
      </c>
      <c r="B31" s="51" t="str">
        <f>IF(LEN(C47)=0,"",C47)</f>
        <v>Réalisation - Gestion Type</v>
      </c>
      <c r="C31" s="230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72"/>
      <c r="CY31" s="172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72"/>
      <c r="EW31" s="172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71"/>
      <c r="IM31" s="172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72"/>
      <c r="OC31" s="172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72"/>
      <c r="SK31" s="172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72"/>
      <c r="UY31" s="172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72"/>
      <c r="ZI31" s="172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72"/>
      <c r="ADS31" s="172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71"/>
      <c r="AHW31" s="172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72"/>
      <c r="APO31" s="172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71"/>
      <c r="ATK31" s="172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72"/>
      <c r="AYY31" s="172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72"/>
      <c r="BBG31" s="172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87"/>
      <c r="BHG31" s="188"/>
      <c r="BHH31" s="188"/>
      <c r="BHI31" s="188"/>
      <c r="BHJ31" s="188"/>
      <c r="BHK31" s="188"/>
      <c r="BHL31" s="188"/>
      <c r="BHM31" s="188"/>
      <c r="BHN31" s="188"/>
      <c r="BHO31" s="188"/>
      <c r="BHP31" s="188"/>
      <c r="BHQ31" s="188"/>
      <c r="BHR31" s="188"/>
      <c r="BHS31" s="188"/>
      <c r="BHT31" s="188"/>
      <c r="BHU31" s="188"/>
      <c r="BHV31" s="188"/>
      <c r="BHW31" s="188"/>
      <c r="BHX31" s="188"/>
      <c r="BHY31" s="188"/>
      <c r="BHZ31" s="188"/>
      <c r="BIA31" s="188"/>
      <c r="BIB31" s="188"/>
      <c r="BIC31" s="188"/>
      <c r="BID31" s="188"/>
      <c r="BIE31" s="188"/>
      <c r="BIF31" s="188"/>
      <c r="BIG31" s="188"/>
      <c r="BIH31" s="188"/>
      <c r="BII31" s="188"/>
      <c r="BIJ31" s="188"/>
      <c r="BIK31" s="188"/>
      <c r="BIL31" s="188"/>
      <c r="BIM31" s="188"/>
      <c r="BIN31" s="188"/>
      <c r="BIO31" s="188"/>
      <c r="BIP31" s="188"/>
    </row>
    <row r="32" spans="1:1602" ht="20.100000000000001" customHeight="1" x14ac:dyDescent="0.3">
      <c r="A32" s="78" t="s">
        <v>50</v>
      </c>
      <c r="B32" s="51" t="str">
        <f>IF(LEN(C49)=0,"",C49)</f>
        <v>Réalisation - Gestion Variété</v>
      </c>
      <c r="C32" s="236"/>
      <c r="D32" s="121" t="str">
        <f t="shared" si="0"/>
        <v xml:space="preserve"> 30 min</v>
      </c>
      <c r="E32" s="22">
        <v>6</v>
      </c>
      <c r="F32" s="189"/>
      <c r="G32" s="190"/>
      <c r="H32" s="190"/>
      <c r="I32" s="190"/>
      <c r="J32" s="190"/>
      <c r="K32" s="191"/>
      <c r="L32" s="190"/>
      <c r="M32" s="190"/>
      <c r="N32" s="190"/>
      <c r="O32" s="190"/>
      <c r="P32" s="190"/>
      <c r="Q32" s="192"/>
      <c r="R32" s="190"/>
      <c r="S32" s="190"/>
      <c r="T32" s="190"/>
      <c r="U32" s="190"/>
      <c r="V32" s="190"/>
      <c r="W32" s="193"/>
      <c r="X32" s="190"/>
      <c r="Y32" s="190"/>
      <c r="Z32" s="190"/>
      <c r="AA32" s="190"/>
      <c r="AB32" s="190"/>
      <c r="AC32" s="192"/>
      <c r="AD32" s="190"/>
      <c r="AE32" s="190"/>
      <c r="AF32" s="190"/>
      <c r="AG32" s="190"/>
      <c r="AH32" s="190"/>
      <c r="AI32" s="193"/>
      <c r="AJ32" s="190"/>
      <c r="AK32" s="190"/>
      <c r="AL32" s="190"/>
      <c r="AM32" s="190"/>
      <c r="AN32" s="190"/>
      <c r="AO32" s="192"/>
      <c r="AP32" s="190"/>
      <c r="AQ32" s="190"/>
      <c r="AR32" s="190"/>
      <c r="AS32" s="190"/>
      <c r="AT32" s="190"/>
      <c r="AU32" s="193"/>
      <c r="AV32" s="190"/>
      <c r="AW32" s="190"/>
      <c r="AX32" s="190"/>
      <c r="AY32" s="190"/>
      <c r="AZ32" s="190"/>
      <c r="BA32" s="204"/>
      <c r="BB32" s="190"/>
      <c r="BC32" s="190"/>
      <c r="BD32" s="190"/>
      <c r="BE32" s="190"/>
      <c r="BF32" s="190"/>
      <c r="BG32" s="193"/>
      <c r="BH32" s="190"/>
      <c r="BI32" s="190"/>
      <c r="BJ32" s="190"/>
      <c r="BK32" s="190"/>
      <c r="BL32" s="190"/>
      <c r="BM32" s="194"/>
      <c r="BN32" s="189"/>
      <c r="BO32" s="190"/>
      <c r="BP32" s="190"/>
      <c r="BQ32" s="190"/>
      <c r="BR32" s="190"/>
      <c r="BS32" s="191"/>
      <c r="BT32" s="190"/>
      <c r="BU32" s="190"/>
      <c r="BV32" s="190"/>
      <c r="BW32" s="190"/>
      <c r="BX32" s="190"/>
      <c r="BY32" s="192"/>
      <c r="BZ32" s="190"/>
      <c r="CA32" s="190"/>
      <c r="CB32" s="190"/>
      <c r="CC32" s="190"/>
      <c r="CD32" s="190"/>
      <c r="CE32" s="193"/>
      <c r="CF32" s="190"/>
      <c r="CG32" s="190"/>
      <c r="CH32" s="190"/>
      <c r="CI32" s="190"/>
      <c r="CJ32" s="190"/>
      <c r="CK32" s="192"/>
      <c r="CL32" s="190"/>
      <c r="CM32" s="190"/>
      <c r="CN32" s="190"/>
      <c r="CO32" s="190"/>
      <c r="CP32" s="190"/>
      <c r="CQ32" s="193"/>
      <c r="CR32" s="190"/>
      <c r="CS32" s="190"/>
      <c r="CT32" s="190"/>
      <c r="CU32" s="190"/>
      <c r="CV32" s="190"/>
      <c r="CW32" s="192"/>
      <c r="CX32" s="190"/>
      <c r="CY32" s="202"/>
      <c r="CZ32" s="190"/>
      <c r="DA32" s="190"/>
      <c r="DB32" s="190"/>
      <c r="DC32" s="193"/>
      <c r="DD32" s="190"/>
      <c r="DE32" s="190"/>
      <c r="DF32" s="190"/>
      <c r="DG32" s="190"/>
      <c r="DH32" s="190"/>
      <c r="DI32" s="192"/>
      <c r="DJ32" s="190"/>
      <c r="DK32" s="190"/>
      <c r="DL32" s="190"/>
      <c r="DM32" s="190"/>
      <c r="DN32" s="190"/>
      <c r="DO32" s="193"/>
      <c r="DP32" s="190"/>
      <c r="DQ32" s="190"/>
      <c r="DR32" s="190"/>
      <c r="DS32" s="190"/>
      <c r="DT32" s="190"/>
      <c r="DU32" s="194"/>
      <c r="DV32" s="189"/>
      <c r="DW32" s="190"/>
      <c r="DX32" s="190"/>
      <c r="DY32" s="190"/>
      <c r="DZ32" s="190"/>
      <c r="EA32" s="191"/>
      <c r="EB32" s="190"/>
      <c r="EC32" s="190"/>
      <c r="ED32" s="190"/>
      <c r="EE32" s="190"/>
      <c r="EF32" s="190"/>
      <c r="EG32" s="192"/>
      <c r="EH32" s="190"/>
      <c r="EI32" s="190"/>
      <c r="EJ32" s="190"/>
      <c r="EK32" s="190"/>
      <c r="EL32" s="190"/>
      <c r="EM32" s="193"/>
      <c r="EN32" s="190"/>
      <c r="EO32" s="190"/>
      <c r="EP32" s="190"/>
      <c r="EQ32" s="190"/>
      <c r="ER32" s="190"/>
      <c r="ES32" s="192"/>
      <c r="ET32" s="190"/>
      <c r="EU32" s="190"/>
      <c r="EV32" s="202"/>
      <c r="EW32" s="202"/>
      <c r="EX32" s="190"/>
      <c r="EY32" s="193"/>
      <c r="EZ32" s="190"/>
      <c r="FA32" s="190"/>
      <c r="FB32" s="190"/>
      <c r="FC32" s="190"/>
      <c r="FD32" s="190"/>
      <c r="FE32" s="192"/>
      <c r="FF32" s="190"/>
      <c r="FG32" s="190"/>
      <c r="FH32" s="190"/>
      <c r="FI32" s="190"/>
      <c r="FJ32" s="190"/>
      <c r="FK32" s="193"/>
      <c r="FL32" s="190"/>
      <c r="FM32" s="190"/>
      <c r="FN32" s="190"/>
      <c r="FO32" s="190"/>
      <c r="FP32" s="190"/>
      <c r="FQ32" s="192"/>
      <c r="FR32" s="190"/>
      <c r="FS32" s="190"/>
      <c r="FT32" s="190"/>
      <c r="FU32" s="190"/>
      <c r="FV32" s="190"/>
      <c r="FW32" s="193"/>
      <c r="FX32" s="190"/>
      <c r="FY32" s="190"/>
      <c r="FZ32" s="190"/>
      <c r="GA32" s="190"/>
      <c r="GB32" s="190"/>
      <c r="GC32" s="194"/>
      <c r="GD32" s="189"/>
      <c r="GE32" s="190"/>
      <c r="GF32" s="190"/>
      <c r="GG32" s="190"/>
      <c r="GH32" s="190"/>
      <c r="GI32" s="191"/>
      <c r="GJ32" s="190"/>
      <c r="GK32" s="190"/>
      <c r="GL32" s="190"/>
      <c r="GM32" s="190"/>
      <c r="GN32" s="190"/>
      <c r="GO32" s="192"/>
      <c r="GP32" s="190"/>
      <c r="GQ32" s="190"/>
      <c r="GR32" s="190"/>
      <c r="GS32" s="190"/>
      <c r="GT32" s="190"/>
      <c r="GU32" s="193"/>
      <c r="GV32" s="190"/>
      <c r="GW32" s="190"/>
      <c r="GX32" s="190"/>
      <c r="GY32" s="190"/>
      <c r="GZ32" s="190"/>
      <c r="HA32" s="192"/>
      <c r="HB32" s="190"/>
      <c r="HC32" s="190"/>
      <c r="HD32" s="190"/>
      <c r="HE32" s="190"/>
      <c r="HF32" s="190"/>
      <c r="HG32" s="193"/>
      <c r="HH32" s="190"/>
      <c r="HI32" s="190"/>
      <c r="HJ32" s="190"/>
      <c r="HK32" s="190"/>
      <c r="HL32" s="190"/>
      <c r="HM32" s="192"/>
      <c r="HN32" s="190"/>
      <c r="HO32" s="190"/>
      <c r="HP32" s="190"/>
      <c r="HQ32" s="190"/>
      <c r="HR32" s="190"/>
      <c r="HS32" s="193"/>
      <c r="HT32" s="190"/>
      <c r="HU32" s="190"/>
      <c r="HV32" s="190"/>
      <c r="HW32" s="190"/>
      <c r="HX32" s="190"/>
      <c r="HY32" s="192"/>
      <c r="HZ32" s="190"/>
      <c r="IA32" s="190"/>
      <c r="IB32" s="190"/>
      <c r="IC32" s="190"/>
      <c r="ID32" s="190"/>
      <c r="IE32" s="193"/>
      <c r="IF32" s="190"/>
      <c r="IG32" s="190"/>
      <c r="IH32" s="190"/>
      <c r="II32" s="190"/>
      <c r="IJ32" s="190"/>
      <c r="IK32" s="194"/>
      <c r="IL32" s="189"/>
      <c r="IM32" s="190"/>
      <c r="IN32" s="190"/>
      <c r="IO32" s="190"/>
      <c r="IP32" s="190"/>
      <c r="IQ32" s="191"/>
      <c r="IR32" s="190"/>
      <c r="IS32" s="190"/>
      <c r="IT32" s="190"/>
      <c r="IU32" s="190"/>
      <c r="IV32" s="190"/>
      <c r="IW32" s="192"/>
      <c r="IX32" s="190"/>
      <c r="IY32" s="190"/>
      <c r="IZ32" s="190"/>
      <c r="JA32" s="190"/>
      <c r="JB32" s="190"/>
      <c r="JC32" s="193"/>
      <c r="JD32" s="190"/>
      <c r="JE32" s="190"/>
      <c r="JF32" s="190"/>
      <c r="JG32" s="202"/>
      <c r="JH32" s="202"/>
      <c r="JI32" s="192"/>
      <c r="JJ32" s="190"/>
      <c r="JK32" s="190"/>
      <c r="JL32" s="190"/>
      <c r="JM32" s="190"/>
      <c r="JN32" s="190"/>
      <c r="JO32" s="193"/>
      <c r="JP32" s="190"/>
      <c r="JQ32" s="190"/>
      <c r="JR32" s="190"/>
      <c r="JS32" s="190"/>
      <c r="JT32" s="190"/>
      <c r="JU32" s="192"/>
      <c r="JV32" s="190"/>
      <c r="JW32" s="190"/>
      <c r="JX32" s="190"/>
      <c r="JY32" s="190"/>
      <c r="JZ32" s="190"/>
      <c r="KA32" s="193"/>
      <c r="KB32" s="190"/>
      <c r="KC32" s="190"/>
      <c r="KD32" s="190"/>
      <c r="KE32" s="190"/>
      <c r="KF32" s="190"/>
      <c r="KG32" s="192"/>
      <c r="KH32" s="190"/>
      <c r="KI32" s="190"/>
      <c r="KJ32" s="190"/>
      <c r="KK32" s="190"/>
      <c r="KL32" s="190"/>
      <c r="KM32" s="193"/>
      <c r="KN32" s="190"/>
      <c r="KO32" s="190"/>
      <c r="KP32" s="190"/>
      <c r="KQ32" s="190"/>
      <c r="KR32" s="190"/>
      <c r="KS32" s="194"/>
      <c r="KT32" s="189"/>
      <c r="KU32" s="190"/>
      <c r="KV32" s="190"/>
      <c r="KW32" s="190"/>
      <c r="KX32" s="190"/>
      <c r="KY32" s="191"/>
      <c r="KZ32" s="190"/>
      <c r="LA32" s="190"/>
      <c r="LB32" s="190"/>
      <c r="LC32" s="190"/>
      <c r="LD32" s="190"/>
      <c r="LE32" s="192"/>
      <c r="LF32" s="190"/>
      <c r="LG32" s="190"/>
      <c r="LH32" s="190"/>
      <c r="LI32" s="190"/>
      <c r="LJ32" s="190"/>
      <c r="LK32" s="193"/>
      <c r="LL32" s="190"/>
      <c r="LM32" s="190"/>
      <c r="LN32" s="190"/>
      <c r="LO32" s="190"/>
      <c r="LP32" s="190"/>
      <c r="LQ32" s="192"/>
      <c r="LR32" s="190"/>
      <c r="LS32" s="190"/>
      <c r="LT32" s="190"/>
      <c r="LU32" s="190"/>
      <c r="LV32" s="190"/>
      <c r="LW32" s="193"/>
      <c r="LX32" s="190"/>
      <c r="LY32" s="190"/>
      <c r="LZ32" s="190"/>
      <c r="MA32" s="190"/>
      <c r="MB32" s="190"/>
      <c r="MC32" s="192"/>
      <c r="MD32" s="190"/>
      <c r="ME32" s="190"/>
      <c r="MF32" s="190"/>
      <c r="MG32" s="190"/>
      <c r="MH32" s="190"/>
      <c r="MI32" s="193"/>
      <c r="MJ32" s="190"/>
      <c r="MK32" s="190"/>
      <c r="ML32" s="190"/>
      <c r="MM32" s="190"/>
      <c r="MN32" s="190"/>
      <c r="MO32" s="192"/>
      <c r="MP32" s="190"/>
      <c r="MQ32" s="190"/>
      <c r="MR32" s="190"/>
      <c r="MS32" s="190"/>
      <c r="MT32" s="190"/>
      <c r="MU32" s="193"/>
      <c r="MV32" s="190"/>
      <c r="MW32" s="190"/>
      <c r="MX32" s="190"/>
      <c r="MY32" s="190"/>
      <c r="MZ32" s="190"/>
      <c r="NA32" s="194"/>
      <c r="NB32" s="189"/>
      <c r="NC32" s="190"/>
      <c r="ND32" s="190"/>
      <c r="NE32" s="190"/>
      <c r="NF32" s="190"/>
      <c r="NG32" s="191"/>
      <c r="NH32" s="190"/>
      <c r="NI32" s="190"/>
      <c r="NJ32" s="190"/>
      <c r="NK32" s="190"/>
      <c r="NL32" s="190"/>
      <c r="NM32" s="192"/>
      <c r="NN32" s="190"/>
      <c r="NO32" s="190"/>
      <c r="NP32" s="190"/>
      <c r="NQ32" s="190"/>
      <c r="NR32" s="190"/>
      <c r="NS32" s="193"/>
      <c r="NT32" s="190"/>
      <c r="NU32" s="190"/>
      <c r="NV32" s="190"/>
      <c r="NW32" s="190"/>
      <c r="NX32" s="190"/>
      <c r="NY32" s="192"/>
      <c r="NZ32" s="190"/>
      <c r="OA32" s="190"/>
      <c r="OB32" s="190"/>
      <c r="OC32" s="190"/>
      <c r="OD32" s="190"/>
      <c r="OE32" s="193"/>
      <c r="OF32" s="190"/>
      <c r="OG32" s="190"/>
      <c r="OH32" s="190"/>
      <c r="OI32" s="190"/>
      <c r="OJ32" s="190"/>
      <c r="OK32" s="192"/>
      <c r="OL32" s="190"/>
      <c r="OM32" s="190"/>
      <c r="ON32" s="190"/>
      <c r="OO32" s="190"/>
      <c r="OP32" s="190"/>
      <c r="OQ32" s="193"/>
      <c r="OR32" s="190"/>
      <c r="OS32" s="190"/>
      <c r="OT32" s="190"/>
      <c r="OU32" s="190"/>
      <c r="OV32" s="190"/>
      <c r="OW32" s="192"/>
      <c r="OX32" s="190"/>
      <c r="OY32" s="190"/>
      <c r="OZ32" s="190"/>
      <c r="PA32" s="190"/>
      <c r="PB32" s="190"/>
      <c r="PC32" s="193"/>
      <c r="PD32" s="190"/>
      <c r="PE32" s="190"/>
      <c r="PF32" s="190"/>
      <c r="PG32" s="190"/>
      <c r="PH32" s="190"/>
      <c r="PI32" s="194"/>
      <c r="PJ32" s="189"/>
      <c r="PK32" s="190"/>
      <c r="PL32" s="190"/>
      <c r="PM32" s="190"/>
      <c r="PN32" s="190"/>
      <c r="PO32" s="191"/>
      <c r="PP32" s="190"/>
      <c r="PQ32" s="190"/>
      <c r="PR32" s="190"/>
      <c r="PS32" s="190"/>
      <c r="PT32" s="190"/>
      <c r="PU32" s="192"/>
      <c r="PV32" s="190"/>
      <c r="PW32" s="190"/>
      <c r="PX32" s="190"/>
      <c r="PY32" s="190"/>
      <c r="PZ32" s="190"/>
      <c r="QA32" s="193"/>
      <c r="QB32" s="190"/>
      <c r="QC32" s="190"/>
      <c r="QD32" s="190"/>
      <c r="QE32" s="190"/>
      <c r="QF32" s="190"/>
      <c r="QG32" s="192"/>
      <c r="QH32" s="190"/>
      <c r="QI32" s="190"/>
      <c r="QJ32" s="190"/>
      <c r="QK32" s="190"/>
      <c r="QL32" s="190"/>
      <c r="QM32" s="193"/>
      <c r="QN32" s="190"/>
      <c r="QO32" s="190"/>
      <c r="QP32" s="190"/>
      <c r="QQ32" s="190"/>
      <c r="QR32" s="190"/>
      <c r="QS32" s="192"/>
      <c r="QT32" s="190"/>
      <c r="QU32" s="190"/>
      <c r="QV32" s="190"/>
      <c r="QW32" s="190"/>
      <c r="QX32" s="190"/>
      <c r="QY32" s="193"/>
      <c r="QZ32" s="190"/>
      <c r="RA32" s="190"/>
      <c r="RB32" s="190"/>
      <c r="RC32" s="190"/>
      <c r="RD32" s="190"/>
      <c r="RE32" s="192"/>
      <c r="RF32" s="190"/>
      <c r="RG32" s="190"/>
      <c r="RH32" s="190"/>
      <c r="RI32" s="190"/>
      <c r="RJ32" s="190"/>
      <c r="RK32" s="193"/>
      <c r="RL32" s="190"/>
      <c r="RM32" s="190"/>
      <c r="RN32" s="190"/>
      <c r="RO32" s="190"/>
      <c r="RP32" s="190"/>
      <c r="RQ32" s="194"/>
      <c r="RR32" s="189"/>
      <c r="RS32" s="190"/>
      <c r="RT32" s="190"/>
      <c r="RU32" s="190"/>
      <c r="RV32" s="190"/>
      <c r="RW32" s="191"/>
      <c r="RX32" s="190"/>
      <c r="RY32" s="190"/>
      <c r="RZ32" s="190"/>
      <c r="SA32" s="190"/>
      <c r="SB32" s="190"/>
      <c r="SC32" s="192"/>
      <c r="SD32" s="190"/>
      <c r="SE32" s="190"/>
      <c r="SF32" s="190"/>
      <c r="SG32" s="190"/>
      <c r="SH32" s="190"/>
      <c r="SI32" s="193"/>
      <c r="SJ32" s="190"/>
      <c r="SK32" s="190"/>
      <c r="SL32" s="190"/>
      <c r="SM32" s="190"/>
      <c r="SN32" s="190"/>
      <c r="SO32" s="192"/>
      <c r="SP32" s="190"/>
      <c r="SQ32" s="190"/>
      <c r="SR32" s="190"/>
      <c r="SS32" s="190"/>
      <c r="ST32" s="190"/>
      <c r="SU32" s="193"/>
      <c r="SV32" s="190"/>
      <c r="SW32" s="190"/>
      <c r="SX32" s="190"/>
      <c r="SY32" s="190"/>
      <c r="SZ32" s="190"/>
      <c r="TA32" s="192"/>
      <c r="TB32" s="190"/>
      <c r="TC32" s="190"/>
      <c r="TD32" s="190"/>
      <c r="TE32" s="190"/>
      <c r="TF32" s="190"/>
      <c r="TG32" s="193"/>
      <c r="TH32" s="190"/>
      <c r="TI32" s="190"/>
      <c r="TJ32" s="190"/>
      <c r="TK32" s="190"/>
      <c r="TL32" s="190"/>
      <c r="TM32" s="192"/>
      <c r="TN32" s="190"/>
      <c r="TO32" s="190"/>
      <c r="TP32" s="190"/>
      <c r="TQ32" s="190"/>
      <c r="TR32" s="190"/>
      <c r="TS32" s="193"/>
      <c r="TT32" s="190"/>
      <c r="TU32" s="190"/>
      <c r="TV32" s="190"/>
      <c r="TW32" s="190"/>
      <c r="TX32" s="190"/>
      <c r="TY32" s="194"/>
      <c r="TZ32" s="189"/>
      <c r="UA32" s="190"/>
      <c r="UB32" s="190"/>
      <c r="UC32" s="190"/>
      <c r="UD32" s="190"/>
      <c r="UE32" s="191"/>
      <c r="UF32" s="190"/>
      <c r="UG32" s="190"/>
      <c r="UH32" s="190"/>
      <c r="UI32" s="190"/>
      <c r="UJ32" s="190"/>
      <c r="UK32" s="192"/>
      <c r="UL32" s="190"/>
      <c r="UM32" s="190"/>
      <c r="UN32" s="190"/>
      <c r="UO32" s="190"/>
      <c r="UP32" s="190"/>
      <c r="UQ32" s="193"/>
      <c r="UR32" s="190"/>
      <c r="US32" s="190"/>
      <c r="UT32" s="190"/>
      <c r="UU32" s="190"/>
      <c r="UV32" s="190"/>
      <c r="UW32" s="192"/>
      <c r="UX32" s="190"/>
      <c r="UY32" s="190"/>
      <c r="UZ32" s="190"/>
      <c r="VA32" s="190"/>
      <c r="VB32" s="190"/>
      <c r="VC32" s="193"/>
      <c r="VD32" s="190"/>
      <c r="VE32" s="190"/>
      <c r="VF32" s="190"/>
      <c r="VG32" s="190"/>
      <c r="VH32" s="190"/>
      <c r="VI32" s="192"/>
      <c r="VJ32" s="190"/>
      <c r="VK32" s="190"/>
      <c r="VL32" s="190"/>
      <c r="VM32" s="190"/>
      <c r="VN32" s="190"/>
      <c r="VO32" s="193"/>
      <c r="VP32" s="190"/>
      <c r="VQ32" s="190"/>
      <c r="VR32" s="190"/>
      <c r="VS32" s="190"/>
      <c r="VT32" s="190"/>
      <c r="VU32" s="192"/>
      <c r="VV32" s="190"/>
      <c r="VW32" s="190"/>
      <c r="VX32" s="190"/>
      <c r="VY32" s="190"/>
      <c r="VZ32" s="190"/>
      <c r="WA32" s="193"/>
      <c r="WB32" s="190"/>
      <c r="WC32" s="190"/>
      <c r="WD32" s="190"/>
      <c r="WE32" s="190"/>
      <c r="WF32" s="190"/>
      <c r="WG32" s="194"/>
      <c r="WH32" s="189"/>
      <c r="WI32" s="190"/>
      <c r="WJ32" s="190"/>
      <c r="WK32" s="190"/>
      <c r="WL32" s="190"/>
      <c r="WM32" s="191"/>
      <c r="WN32" s="190"/>
      <c r="WO32" s="190"/>
      <c r="WP32" s="190"/>
      <c r="WQ32" s="190"/>
      <c r="WR32" s="190"/>
      <c r="WS32" s="192"/>
      <c r="WT32" s="190"/>
      <c r="WU32" s="190"/>
      <c r="WV32" s="190"/>
      <c r="WW32" s="190"/>
      <c r="WX32" s="190"/>
      <c r="WY32" s="193"/>
      <c r="WZ32" s="190"/>
      <c r="XA32" s="190"/>
      <c r="XB32" s="190"/>
      <c r="XC32" s="190"/>
      <c r="XD32" s="190"/>
      <c r="XE32" s="192"/>
      <c r="XF32" s="190"/>
      <c r="XG32" s="190"/>
      <c r="XH32" s="190"/>
      <c r="XI32" s="190"/>
      <c r="XJ32" s="190"/>
      <c r="XK32" s="193"/>
      <c r="XL32" s="190"/>
      <c r="XM32" s="190"/>
      <c r="XN32" s="190"/>
      <c r="XO32" s="190"/>
      <c r="XP32" s="190"/>
      <c r="XQ32" s="192"/>
      <c r="XR32" s="190"/>
      <c r="XS32" s="190"/>
      <c r="XT32" s="190"/>
      <c r="XU32" s="190"/>
      <c r="XV32" s="190"/>
      <c r="XW32" s="193"/>
      <c r="XX32" s="190"/>
      <c r="XY32" s="190"/>
      <c r="XZ32" s="190"/>
      <c r="YA32" s="190"/>
      <c r="YB32" s="190"/>
      <c r="YC32" s="192"/>
      <c r="YD32" s="190"/>
      <c r="YE32" s="190"/>
      <c r="YF32" s="190"/>
      <c r="YG32" s="190"/>
      <c r="YH32" s="190"/>
      <c r="YI32" s="193"/>
      <c r="YJ32" s="190"/>
      <c r="YK32" s="190"/>
      <c r="YL32" s="190"/>
      <c r="YM32" s="190"/>
      <c r="YN32" s="190"/>
      <c r="YO32" s="194"/>
      <c r="YP32" s="189"/>
      <c r="YQ32" s="190"/>
      <c r="YR32" s="190"/>
      <c r="YS32" s="190"/>
      <c r="YT32" s="190"/>
      <c r="YU32" s="191"/>
      <c r="YV32" s="190"/>
      <c r="YW32" s="190"/>
      <c r="YX32" s="190"/>
      <c r="YY32" s="190"/>
      <c r="YZ32" s="190"/>
      <c r="ZA32" s="192"/>
      <c r="ZB32" s="190"/>
      <c r="ZC32" s="190"/>
      <c r="ZD32" s="190"/>
      <c r="ZE32" s="190"/>
      <c r="ZF32" s="190"/>
      <c r="ZG32" s="193"/>
      <c r="ZH32" s="190"/>
      <c r="ZI32" s="190"/>
      <c r="ZJ32" s="190"/>
      <c r="ZK32" s="190"/>
      <c r="ZL32" s="190"/>
      <c r="ZM32" s="192"/>
      <c r="ZN32" s="190"/>
      <c r="ZO32" s="190"/>
      <c r="ZP32" s="190"/>
      <c r="ZQ32" s="190"/>
      <c r="ZR32" s="190"/>
      <c r="ZS32" s="193"/>
      <c r="ZT32" s="190"/>
      <c r="ZU32" s="190"/>
      <c r="ZV32" s="190"/>
      <c r="ZW32" s="190"/>
      <c r="ZX32" s="190"/>
      <c r="ZY32" s="192"/>
      <c r="ZZ32" s="190"/>
      <c r="AAA32" s="190"/>
      <c r="AAB32" s="190"/>
      <c r="AAC32" s="190"/>
      <c r="AAD32" s="190"/>
      <c r="AAE32" s="193"/>
      <c r="AAF32" s="190"/>
      <c r="AAG32" s="190"/>
      <c r="AAH32" s="190"/>
      <c r="AAI32" s="190"/>
      <c r="AAJ32" s="190"/>
      <c r="AAK32" s="192"/>
      <c r="AAL32" s="190"/>
      <c r="AAM32" s="190"/>
      <c r="AAN32" s="190"/>
      <c r="AAO32" s="190"/>
      <c r="AAP32" s="190"/>
      <c r="AAQ32" s="193"/>
      <c r="AAR32" s="190"/>
      <c r="AAS32" s="190"/>
      <c r="AAT32" s="190"/>
      <c r="AAU32" s="190"/>
      <c r="AAV32" s="190"/>
      <c r="AAW32" s="194"/>
      <c r="AAX32" s="189"/>
      <c r="AAY32" s="190"/>
      <c r="AAZ32" s="190"/>
      <c r="ABA32" s="190"/>
      <c r="ABB32" s="190"/>
      <c r="ABC32" s="191"/>
      <c r="ABD32" s="190"/>
      <c r="ABE32" s="190"/>
      <c r="ABF32" s="190"/>
      <c r="ABG32" s="190"/>
      <c r="ABH32" s="190"/>
      <c r="ABI32" s="192"/>
      <c r="ABJ32" s="190"/>
      <c r="ABK32" s="190"/>
      <c r="ABL32" s="190"/>
      <c r="ABM32" s="190"/>
      <c r="ABN32" s="190"/>
      <c r="ABO32" s="193"/>
      <c r="ABP32" s="190"/>
      <c r="ABQ32" s="190"/>
      <c r="ABR32" s="190"/>
      <c r="ABS32" s="190"/>
      <c r="ABT32" s="190"/>
      <c r="ABU32" s="192"/>
      <c r="ABV32" s="190"/>
      <c r="ABW32" s="190"/>
      <c r="ABX32" s="190"/>
      <c r="ABY32" s="190"/>
      <c r="ABZ32" s="190"/>
      <c r="ACA32" s="193"/>
      <c r="ACB32" s="190"/>
      <c r="ACC32" s="190"/>
      <c r="ACD32" s="190"/>
      <c r="ACE32" s="190"/>
      <c r="ACF32" s="190"/>
      <c r="ACG32" s="192"/>
      <c r="ACH32" s="190"/>
      <c r="ACI32" s="190"/>
      <c r="ACJ32" s="190"/>
      <c r="ACK32" s="190"/>
      <c r="ACL32" s="190"/>
      <c r="ACM32" s="193"/>
      <c r="ACN32" s="190"/>
      <c r="ACO32" s="190"/>
      <c r="ACP32" s="190"/>
      <c r="ACQ32" s="190"/>
      <c r="ACR32" s="190"/>
      <c r="ACS32" s="192"/>
      <c r="ACT32" s="190"/>
      <c r="ACU32" s="190"/>
      <c r="ACV32" s="190"/>
      <c r="ACW32" s="190"/>
      <c r="ACX32" s="190"/>
      <c r="ACY32" s="193"/>
      <c r="ACZ32" s="190"/>
      <c r="ADA32" s="190"/>
      <c r="ADB32" s="190"/>
      <c r="ADC32" s="190"/>
      <c r="ADD32" s="190"/>
      <c r="ADE32" s="194"/>
      <c r="ADF32" s="189"/>
      <c r="ADG32" s="190"/>
      <c r="ADH32" s="190"/>
      <c r="ADI32" s="190"/>
      <c r="ADJ32" s="190"/>
      <c r="ADK32" s="191"/>
      <c r="ADL32" s="190"/>
      <c r="ADM32" s="190"/>
      <c r="ADN32" s="190"/>
      <c r="ADO32" s="190"/>
      <c r="ADP32" s="190"/>
      <c r="ADQ32" s="192"/>
      <c r="ADR32" s="190"/>
      <c r="ADS32" s="190"/>
      <c r="ADT32" s="190"/>
      <c r="ADU32" s="190"/>
      <c r="ADV32" s="190"/>
      <c r="ADW32" s="193"/>
      <c r="ADX32" s="190"/>
      <c r="ADY32" s="190"/>
      <c r="ADZ32" s="190"/>
      <c r="AEA32" s="190"/>
      <c r="AEB32" s="190"/>
      <c r="AEC32" s="192"/>
      <c r="AED32" s="190"/>
      <c r="AEE32" s="190"/>
      <c r="AEF32" s="190"/>
      <c r="AEG32" s="190"/>
      <c r="AEH32" s="190"/>
      <c r="AEI32" s="193"/>
      <c r="AEJ32" s="190"/>
      <c r="AEK32" s="190"/>
      <c r="AEL32" s="190"/>
      <c r="AEM32" s="190"/>
      <c r="AEN32" s="190"/>
      <c r="AEO32" s="192"/>
      <c r="AEP32" s="190"/>
      <c r="AEQ32" s="190"/>
      <c r="AER32" s="190"/>
      <c r="AES32" s="190"/>
      <c r="AET32" s="190"/>
      <c r="AEU32" s="193"/>
      <c r="AEV32" s="190"/>
      <c r="AEW32" s="190"/>
      <c r="AEX32" s="190"/>
      <c r="AEY32" s="190"/>
      <c r="AEZ32" s="190"/>
      <c r="AFA32" s="192"/>
      <c r="AFB32" s="190"/>
      <c r="AFC32" s="190"/>
      <c r="AFD32" s="190"/>
      <c r="AFE32" s="190"/>
      <c r="AFF32" s="190"/>
      <c r="AFG32" s="193"/>
      <c r="AFH32" s="190"/>
      <c r="AFI32" s="190"/>
      <c r="AFJ32" s="190"/>
      <c r="AFK32" s="190"/>
      <c r="AFL32" s="190"/>
      <c r="AFM32" s="194"/>
      <c r="AFN32" s="189"/>
      <c r="AFO32" s="190"/>
      <c r="AFP32" s="190"/>
      <c r="AFQ32" s="190"/>
      <c r="AFR32" s="190"/>
      <c r="AFS32" s="191"/>
      <c r="AFT32" s="190"/>
      <c r="AFU32" s="190"/>
      <c r="AFV32" s="190"/>
      <c r="AFW32" s="190"/>
      <c r="AFX32" s="190"/>
      <c r="AFY32" s="192"/>
      <c r="AFZ32" s="190"/>
      <c r="AGA32" s="190"/>
      <c r="AGB32" s="190"/>
      <c r="AGC32" s="190"/>
      <c r="AGD32" s="190"/>
      <c r="AGE32" s="193"/>
      <c r="AGF32" s="190"/>
      <c r="AGG32" s="190"/>
      <c r="AGH32" s="190"/>
      <c r="AGI32" s="190"/>
      <c r="AGJ32" s="190"/>
      <c r="AGK32" s="192"/>
      <c r="AGL32" s="190"/>
      <c r="AGM32" s="190"/>
      <c r="AGN32" s="190"/>
      <c r="AGO32" s="190"/>
      <c r="AGP32" s="190"/>
      <c r="AGQ32" s="193"/>
      <c r="AGR32" s="190"/>
      <c r="AGS32" s="190"/>
      <c r="AGT32" s="190"/>
      <c r="AGU32" s="190"/>
      <c r="AGV32" s="190"/>
      <c r="AGW32" s="192"/>
      <c r="AGX32" s="190"/>
      <c r="AGY32" s="190"/>
      <c r="AGZ32" s="190"/>
      <c r="AHA32" s="190"/>
      <c r="AHB32" s="190"/>
      <c r="AHC32" s="193"/>
      <c r="AHD32" s="190"/>
      <c r="AHE32" s="190"/>
      <c r="AHF32" s="190"/>
      <c r="AHG32" s="190"/>
      <c r="AHH32" s="190"/>
      <c r="AHI32" s="192"/>
      <c r="AHJ32" s="190"/>
      <c r="AHK32" s="190"/>
      <c r="AHL32" s="190"/>
      <c r="AHM32" s="190"/>
      <c r="AHN32" s="190"/>
      <c r="AHO32" s="193"/>
      <c r="AHP32" s="190"/>
      <c r="AHQ32" s="190"/>
      <c r="AHR32" s="190"/>
      <c r="AHS32" s="190"/>
      <c r="AHT32" s="190"/>
      <c r="AHU32" s="194"/>
      <c r="AHV32" s="189"/>
      <c r="AHW32" s="190"/>
      <c r="AHX32" s="190"/>
      <c r="AHY32" s="190"/>
      <c r="AHZ32" s="190"/>
      <c r="AIA32" s="191"/>
      <c r="AIB32" s="190"/>
      <c r="AIC32" s="190"/>
      <c r="AID32" s="190"/>
      <c r="AIE32" s="190"/>
      <c r="AIF32" s="190"/>
      <c r="AIG32" s="192"/>
      <c r="AIH32" s="190"/>
      <c r="AII32" s="190"/>
      <c r="AIJ32" s="190"/>
      <c r="AIK32" s="190"/>
      <c r="AIL32" s="190"/>
      <c r="AIM32" s="193"/>
      <c r="AIN32" s="190"/>
      <c r="AIO32" s="190"/>
      <c r="AIP32" s="190"/>
      <c r="AIQ32" s="190"/>
      <c r="AIR32" s="190"/>
      <c r="AIS32" s="192"/>
      <c r="AIT32" s="190"/>
      <c r="AIU32" s="190"/>
      <c r="AIV32" s="190"/>
      <c r="AIW32" s="190"/>
      <c r="AIX32" s="190"/>
      <c r="AIY32" s="193"/>
      <c r="AIZ32" s="190"/>
      <c r="AJA32" s="190"/>
      <c r="AJB32" s="190"/>
      <c r="AJC32" s="190"/>
      <c r="AJD32" s="190"/>
      <c r="AJE32" s="192"/>
      <c r="AJF32" s="190"/>
      <c r="AJG32" s="190"/>
      <c r="AJH32" s="190"/>
      <c r="AJI32" s="190"/>
      <c r="AJJ32" s="190"/>
      <c r="AJK32" s="193"/>
      <c r="AJL32" s="190"/>
      <c r="AJM32" s="190"/>
      <c r="AJN32" s="190"/>
      <c r="AJO32" s="190"/>
      <c r="AJP32" s="190"/>
      <c r="AJQ32" s="192"/>
      <c r="AJR32" s="190"/>
      <c r="AJS32" s="190"/>
      <c r="AJT32" s="190"/>
      <c r="AJU32" s="190"/>
      <c r="AJV32" s="190"/>
      <c r="AJW32" s="193"/>
      <c r="AJX32" s="190"/>
      <c r="AJY32" s="190"/>
      <c r="AJZ32" s="190"/>
      <c r="AKA32" s="190"/>
      <c r="AKB32" s="190"/>
      <c r="AKC32" s="194"/>
      <c r="AKD32" s="189"/>
      <c r="AKE32" s="190"/>
      <c r="AKF32" s="190"/>
      <c r="AKG32" s="190"/>
      <c r="AKH32" s="190"/>
      <c r="AKI32" s="191"/>
      <c r="AKJ32" s="190"/>
      <c r="AKK32" s="190"/>
      <c r="AKL32" s="190"/>
      <c r="AKM32" s="190"/>
      <c r="AKN32" s="190"/>
      <c r="AKO32" s="192"/>
      <c r="AKP32" s="190"/>
      <c r="AKQ32" s="190"/>
      <c r="AKR32" s="190"/>
      <c r="AKS32" s="190"/>
      <c r="AKT32" s="190"/>
      <c r="AKU32" s="193"/>
      <c r="AKV32" s="190"/>
      <c r="AKW32" s="190"/>
      <c r="AKX32" s="190"/>
      <c r="AKY32" s="190"/>
      <c r="AKZ32" s="190"/>
      <c r="ALA32" s="192"/>
      <c r="ALB32" s="190"/>
      <c r="ALC32" s="190"/>
      <c r="ALD32" s="190"/>
      <c r="ALE32" s="190"/>
      <c r="ALF32" s="190"/>
      <c r="ALG32" s="193"/>
      <c r="ALH32" s="190"/>
      <c r="ALI32" s="190"/>
      <c r="ALJ32" s="190"/>
      <c r="ALK32" s="190"/>
      <c r="ALL32" s="190"/>
      <c r="ALM32" s="192"/>
      <c r="ALN32" s="190"/>
      <c r="ALO32" s="190"/>
      <c r="ALP32" s="190"/>
      <c r="ALQ32" s="190"/>
      <c r="ALR32" s="190"/>
      <c r="ALS32" s="193"/>
      <c r="ALT32" s="190"/>
      <c r="ALU32" s="190"/>
      <c r="ALV32" s="190"/>
      <c r="ALW32" s="190"/>
      <c r="ALX32" s="190"/>
      <c r="ALY32" s="192"/>
      <c r="ALZ32" s="190"/>
      <c r="AMA32" s="190"/>
      <c r="AMB32" s="190"/>
      <c r="AMC32" s="190"/>
      <c r="AMD32" s="190"/>
      <c r="AME32" s="193"/>
      <c r="AMF32" s="190"/>
      <c r="AMG32" s="190"/>
      <c r="AMH32" s="190"/>
      <c r="AMI32" s="190"/>
      <c r="AMJ32" s="190"/>
      <c r="AMK32" s="194"/>
      <c r="AML32" s="189"/>
      <c r="AMM32" s="190"/>
      <c r="AMN32" s="190"/>
      <c r="AMO32" s="190"/>
      <c r="AMP32" s="190"/>
      <c r="AMQ32" s="191"/>
      <c r="AMR32" s="190"/>
      <c r="AMS32" s="190"/>
      <c r="AMT32" s="190"/>
      <c r="AMU32" s="190"/>
      <c r="AMV32" s="190"/>
      <c r="AMW32" s="192"/>
      <c r="AMX32" s="190"/>
      <c r="AMY32" s="190"/>
      <c r="AMZ32" s="190"/>
      <c r="ANA32" s="190"/>
      <c r="ANB32" s="190"/>
      <c r="ANC32" s="193"/>
      <c r="AND32" s="190"/>
      <c r="ANE32" s="190"/>
      <c r="ANF32" s="190"/>
      <c r="ANG32" s="190"/>
      <c r="ANH32" s="190"/>
      <c r="ANI32" s="192"/>
      <c r="ANJ32" s="190"/>
      <c r="ANK32" s="190"/>
      <c r="ANL32" s="190"/>
      <c r="ANM32" s="190"/>
      <c r="ANN32" s="190"/>
      <c r="ANO32" s="193"/>
      <c r="ANP32" s="190"/>
      <c r="ANQ32" s="190"/>
      <c r="ANR32" s="190"/>
      <c r="ANS32" s="190"/>
      <c r="ANT32" s="190"/>
      <c r="ANU32" s="192"/>
      <c r="ANV32" s="190"/>
      <c r="ANW32" s="190"/>
      <c r="ANX32" s="190"/>
      <c r="ANY32" s="190"/>
      <c r="ANZ32" s="190"/>
      <c r="AOA32" s="193"/>
      <c r="AOB32" s="190"/>
      <c r="AOC32" s="190"/>
      <c r="AOD32" s="190"/>
      <c r="AOE32" s="190"/>
      <c r="AOF32" s="190"/>
      <c r="AOG32" s="192"/>
      <c r="AOH32" s="190"/>
      <c r="AOI32" s="190"/>
      <c r="AOJ32" s="190"/>
      <c r="AOK32" s="190"/>
      <c r="AOL32" s="190"/>
      <c r="AOM32" s="193"/>
      <c r="AON32" s="190"/>
      <c r="AOO32" s="190"/>
      <c r="AOP32" s="190"/>
      <c r="AOQ32" s="190"/>
      <c r="AOR32" s="190"/>
      <c r="AOS32" s="194"/>
      <c r="AOT32" s="189"/>
      <c r="AOU32" s="190"/>
      <c r="AOV32" s="190"/>
      <c r="AOW32" s="190"/>
      <c r="AOX32" s="190"/>
      <c r="AOY32" s="191"/>
      <c r="AOZ32" s="190"/>
      <c r="APA32" s="190"/>
      <c r="APB32" s="190"/>
      <c r="APC32" s="190"/>
      <c r="APD32" s="190"/>
      <c r="APE32" s="192"/>
      <c r="APF32" s="190"/>
      <c r="APG32" s="190"/>
      <c r="APH32" s="190"/>
      <c r="API32" s="190"/>
      <c r="APJ32" s="190"/>
      <c r="APK32" s="193"/>
      <c r="APL32" s="190"/>
      <c r="APM32" s="190"/>
      <c r="APN32" s="190"/>
      <c r="APO32" s="190"/>
      <c r="APP32" s="190"/>
      <c r="APQ32" s="192"/>
      <c r="APR32" s="190"/>
      <c r="APS32" s="190"/>
      <c r="APT32" s="190"/>
      <c r="APU32" s="190"/>
      <c r="APV32" s="190"/>
      <c r="APW32" s="193"/>
      <c r="APX32" s="190"/>
      <c r="APY32" s="190"/>
      <c r="APZ32" s="190"/>
      <c r="AQA32" s="190"/>
      <c r="AQB32" s="190"/>
      <c r="AQC32" s="192"/>
      <c r="AQD32" s="190"/>
      <c r="AQE32" s="190"/>
      <c r="AQF32" s="190"/>
      <c r="AQG32" s="190"/>
      <c r="AQH32" s="190"/>
      <c r="AQI32" s="193"/>
      <c r="AQJ32" s="190"/>
      <c r="AQK32" s="190"/>
      <c r="AQL32" s="190"/>
      <c r="AQM32" s="190"/>
      <c r="AQN32" s="190"/>
      <c r="AQO32" s="192"/>
      <c r="AQP32" s="190"/>
      <c r="AQQ32" s="190"/>
      <c r="AQR32" s="190"/>
      <c r="AQS32" s="190"/>
      <c r="AQT32" s="190"/>
      <c r="AQU32" s="193"/>
      <c r="AQV32" s="190"/>
      <c r="AQW32" s="190"/>
      <c r="AQX32" s="190"/>
      <c r="AQY32" s="190"/>
      <c r="AQZ32" s="190"/>
      <c r="ARA32" s="194"/>
      <c r="ARB32" s="189"/>
      <c r="ARC32" s="190"/>
      <c r="ARD32" s="190"/>
      <c r="ARE32" s="190"/>
      <c r="ARF32" s="190"/>
      <c r="ARG32" s="191"/>
      <c r="ARH32" s="190"/>
      <c r="ARI32" s="190"/>
      <c r="ARJ32" s="190"/>
      <c r="ARK32" s="190"/>
      <c r="ARL32" s="190"/>
      <c r="ARM32" s="192"/>
      <c r="ARN32" s="190"/>
      <c r="ARO32" s="190"/>
      <c r="ARP32" s="190"/>
      <c r="ARQ32" s="190"/>
      <c r="ARR32" s="190"/>
      <c r="ARS32" s="193"/>
      <c r="ART32" s="190"/>
      <c r="ARU32" s="190"/>
      <c r="ARV32" s="190"/>
      <c r="ARW32" s="190"/>
      <c r="ARX32" s="190"/>
      <c r="ARY32" s="192"/>
      <c r="ARZ32" s="190"/>
      <c r="ASA32" s="190"/>
      <c r="ASB32" s="190"/>
      <c r="ASC32" s="190"/>
      <c r="ASD32" s="190"/>
      <c r="ASE32" s="193"/>
      <c r="ASF32" s="190"/>
      <c r="ASG32" s="190"/>
      <c r="ASH32" s="190"/>
      <c r="ASI32" s="190"/>
      <c r="ASJ32" s="190"/>
      <c r="ASK32" s="192"/>
      <c r="ASL32" s="190"/>
      <c r="ASM32" s="190"/>
      <c r="ASN32" s="190"/>
      <c r="ASO32" s="190"/>
      <c r="ASP32" s="190"/>
      <c r="ASQ32" s="193"/>
      <c r="ASR32" s="190"/>
      <c r="ASS32" s="190"/>
      <c r="AST32" s="190"/>
      <c r="ASU32" s="190"/>
      <c r="ASV32" s="190"/>
      <c r="ASW32" s="192"/>
      <c r="ASX32" s="190"/>
      <c r="ASY32" s="190"/>
      <c r="ASZ32" s="190"/>
      <c r="ATA32" s="190"/>
      <c r="ATB32" s="190"/>
      <c r="ATC32" s="193"/>
      <c r="ATD32" s="190"/>
      <c r="ATE32" s="190"/>
      <c r="ATF32" s="190"/>
      <c r="ATG32" s="190"/>
      <c r="ATH32" s="190"/>
      <c r="ATI32" s="194"/>
      <c r="ATJ32" s="189"/>
      <c r="ATK32" s="190"/>
      <c r="ATL32" s="190"/>
      <c r="ATM32" s="190"/>
      <c r="ATN32" s="190"/>
      <c r="ATO32" s="191"/>
      <c r="ATP32" s="190"/>
      <c r="ATQ32" s="190"/>
      <c r="ATR32" s="190"/>
      <c r="ATS32" s="190"/>
      <c r="ATT32" s="190"/>
      <c r="ATU32" s="192"/>
      <c r="ATV32" s="190"/>
      <c r="ATW32" s="190"/>
      <c r="ATX32" s="190"/>
      <c r="ATY32" s="190"/>
      <c r="ATZ32" s="190"/>
      <c r="AUA32" s="193"/>
      <c r="AUB32" s="190"/>
      <c r="AUC32" s="190"/>
      <c r="AUD32" s="190"/>
      <c r="AUE32" s="190"/>
      <c r="AUF32" s="190"/>
      <c r="AUG32" s="192"/>
      <c r="AUH32" s="190"/>
      <c r="AUI32" s="190"/>
      <c r="AUJ32" s="190"/>
      <c r="AUK32" s="190"/>
      <c r="AUL32" s="190"/>
      <c r="AUM32" s="193"/>
      <c r="AUN32" s="190"/>
      <c r="AUO32" s="190"/>
      <c r="AUP32" s="190"/>
      <c r="AUQ32" s="190"/>
      <c r="AUR32" s="190"/>
      <c r="AUS32" s="192"/>
      <c r="AUT32" s="190"/>
      <c r="AUU32" s="190"/>
      <c r="AUV32" s="190"/>
      <c r="AUW32" s="190"/>
      <c r="AUX32" s="190"/>
      <c r="AUY32" s="193"/>
      <c r="AUZ32" s="190"/>
      <c r="AVA32" s="190"/>
      <c r="AVB32" s="190"/>
      <c r="AVC32" s="190"/>
      <c r="AVD32" s="190"/>
      <c r="AVE32" s="192"/>
      <c r="AVF32" s="190"/>
      <c r="AVG32" s="190"/>
      <c r="AVH32" s="190"/>
      <c r="AVI32" s="190"/>
      <c r="AVJ32" s="190"/>
      <c r="AVK32" s="193"/>
      <c r="AVL32" s="190"/>
      <c r="AVM32" s="190"/>
      <c r="AVN32" s="190"/>
      <c r="AVO32" s="190"/>
      <c r="AVP32" s="190"/>
      <c r="AVQ32" s="194"/>
      <c r="AVR32" s="189"/>
      <c r="AVS32" s="190"/>
      <c r="AVT32" s="190"/>
      <c r="AVU32" s="190"/>
      <c r="AVV32" s="190"/>
      <c r="AVW32" s="191"/>
      <c r="AVX32" s="190"/>
      <c r="AVY32" s="190"/>
      <c r="AVZ32" s="190"/>
      <c r="AWA32" s="190"/>
      <c r="AWB32" s="190"/>
      <c r="AWC32" s="192"/>
      <c r="AWD32" s="190"/>
      <c r="AWE32" s="190"/>
      <c r="AWF32" s="190"/>
      <c r="AWG32" s="190"/>
      <c r="AWH32" s="190"/>
      <c r="AWI32" s="193"/>
      <c r="AWJ32" s="190"/>
      <c r="AWK32" s="190"/>
      <c r="AWL32" s="190"/>
      <c r="AWM32" s="190"/>
      <c r="AWN32" s="190"/>
      <c r="AWO32" s="192"/>
      <c r="AWP32" s="190"/>
      <c r="AWQ32" s="190"/>
      <c r="AWR32" s="190"/>
      <c r="AWS32" s="190"/>
      <c r="AWT32" s="190"/>
      <c r="AWU32" s="193"/>
      <c r="AWV32" s="190"/>
      <c r="AWW32" s="190"/>
      <c r="AWX32" s="190"/>
      <c r="AWY32" s="190"/>
      <c r="AWZ32" s="190"/>
      <c r="AXA32" s="192"/>
      <c r="AXB32" s="190"/>
      <c r="AXC32" s="190"/>
      <c r="AXD32" s="190"/>
      <c r="AXE32" s="190"/>
      <c r="AXF32" s="190"/>
      <c r="AXG32" s="193"/>
      <c r="AXH32" s="190"/>
      <c r="AXI32" s="190"/>
      <c r="AXJ32" s="190"/>
      <c r="AXK32" s="190"/>
      <c r="AXL32" s="190"/>
      <c r="AXM32" s="192"/>
      <c r="AXN32" s="190"/>
      <c r="AXO32" s="190"/>
      <c r="AXP32" s="190"/>
      <c r="AXQ32" s="190"/>
      <c r="AXR32" s="190"/>
      <c r="AXS32" s="193"/>
      <c r="AXT32" s="190"/>
      <c r="AXU32" s="190"/>
      <c r="AXV32" s="190"/>
      <c r="AXW32" s="190"/>
      <c r="AXX32" s="190"/>
      <c r="AXY32" s="194"/>
      <c r="AXZ32" s="189"/>
      <c r="AYA32" s="190"/>
      <c r="AYB32" s="190"/>
      <c r="AYC32" s="190"/>
      <c r="AYD32" s="190"/>
      <c r="AYE32" s="191"/>
      <c r="AYF32" s="190"/>
      <c r="AYG32" s="190"/>
      <c r="AYH32" s="190"/>
      <c r="AYI32" s="190"/>
      <c r="AYJ32" s="190"/>
      <c r="AYK32" s="192"/>
      <c r="AYL32" s="190"/>
      <c r="AYM32" s="190"/>
      <c r="AYN32" s="190"/>
      <c r="AYO32" s="190"/>
      <c r="AYP32" s="190"/>
      <c r="AYQ32" s="193"/>
      <c r="AYR32" s="190"/>
      <c r="AYS32" s="190"/>
      <c r="AYT32" s="190"/>
      <c r="AYU32" s="190"/>
      <c r="AYV32" s="190"/>
      <c r="AYW32" s="192"/>
      <c r="AYX32" s="190"/>
      <c r="AYY32" s="190"/>
      <c r="AYZ32" s="190"/>
      <c r="AZA32" s="190"/>
      <c r="AZB32" s="190"/>
      <c r="AZC32" s="193"/>
      <c r="AZD32" s="190"/>
      <c r="AZE32" s="190"/>
      <c r="AZF32" s="190"/>
      <c r="AZG32" s="190"/>
      <c r="AZH32" s="190"/>
      <c r="AZI32" s="192"/>
      <c r="AZJ32" s="190"/>
      <c r="AZK32" s="190"/>
      <c r="AZL32" s="190"/>
      <c r="AZM32" s="190"/>
      <c r="AZN32" s="190"/>
      <c r="AZO32" s="193"/>
      <c r="AZP32" s="190"/>
      <c r="AZQ32" s="190"/>
      <c r="AZR32" s="190"/>
      <c r="AZS32" s="190"/>
      <c r="AZT32" s="190"/>
      <c r="AZU32" s="192"/>
      <c r="AZV32" s="190"/>
      <c r="AZW32" s="190"/>
      <c r="AZX32" s="190"/>
      <c r="AZY32" s="190"/>
      <c r="AZZ32" s="190"/>
      <c r="BAA32" s="193"/>
      <c r="BAB32" s="190"/>
      <c r="BAC32" s="190"/>
      <c r="BAD32" s="190"/>
      <c r="BAE32" s="190"/>
      <c r="BAF32" s="190"/>
      <c r="BAG32" s="194"/>
      <c r="BAH32" s="189"/>
      <c r="BAI32" s="190"/>
      <c r="BAJ32" s="190"/>
      <c r="BAK32" s="190"/>
      <c r="BAL32" s="190"/>
      <c r="BAM32" s="191"/>
      <c r="BAN32" s="190"/>
      <c r="BAO32" s="190"/>
      <c r="BAP32" s="190"/>
      <c r="BAQ32" s="190"/>
      <c r="BAR32" s="190"/>
      <c r="BAS32" s="192"/>
      <c r="BAT32" s="190"/>
      <c r="BAU32" s="190"/>
      <c r="BAV32" s="190"/>
      <c r="BAW32" s="190"/>
      <c r="BAX32" s="190"/>
      <c r="BAY32" s="193"/>
      <c r="BAZ32" s="190"/>
      <c r="BBA32" s="190"/>
      <c r="BBB32" s="190"/>
      <c r="BBC32" s="190"/>
      <c r="BBD32" s="190"/>
      <c r="BBE32" s="192"/>
      <c r="BBF32" s="190"/>
      <c r="BBG32" s="190"/>
      <c r="BBH32" s="190"/>
      <c r="BBI32" s="190"/>
      <c r="BBJ32" s="190"/>
      <c r="BBK32" s="193"/>
      <c r="BBL32" s="190"/>
      <c r="BBM32" s="190"/>
      <c r="BBN32" s="190"/>
      <c r="BBO32" s="190"/>
      <c r="BBP32" s="190"/>
      <c r="BBQ32" s="192"/>
      <c r="BBR32" s="190"/>
      <c r="BBS32" s="190"/>
      <c r="BBT32" s="190"/>
      <c r="BBU32" s="190"/>
      <c r="BBV32" s="190"/>
      <c r="BBW32" s="193"/>
      <c r="BBX32" s="190"/>
      <c r="BBY32" s="190"/>
      <c r="BBZ32" s="190"/>
      <c r="BCA32" s="190"/>
      <c r="BCB32" s="190"/>
      <c r="BCC32" s="192"/>
      <c r="BCD32" s="190"/>
      <c r="BCE32" s="190"/>
      <c r="BCF32" s="190"/>
      <c r="BCG32" s="190"/>
      <c r="BCH32" s="190"/>
      <c r="BCI32" s="193"/>
      <c r="BCJ32" s="190"/>
      <c r="BCK32" s="190"/>
      <c r="BCL32" s="190"/>
      <c r="BCM32" s="190"/>
      <c r="BCN32" s="190"/>
      <c r="BCO32" s="194"/>
      <c r="BCP32" s="189"/>
      <c r="BCQ32" s="190"/>
      <c r="BCR32" s="190"/>
      <c r="BCS32" s="190"/>
      <c r="BCT32" s="190"/>
      <c r="BCU32" s="191"/>
      <c r="BCV32" s="190"/>
      <c r="BCW32" s="190"/>
      <c r="BCX32" s="190"/>
      <c r="BCY32" s="190"/>
      <c r="BCZ32" s="190"/>
      <c r="BDA32" s="192"/>
      <c r="BDB32" s="190"/>
      <c r="BDC32" s="190"/>
      <c r="BDD32" s="190"/>
      <c r="BDE32" s="190"/>
      <c r="BDF32" s="190"/>
      <c r="BDG32" s="193"/>
      <c r="BDH32" s="190"/>
      <c r="BDI32" s="190"/>
      <c r="BDJ32" s="190"/>
      <c r="BDK32" s="190"/>
      <c r="BDL32" s="190"/>
      <c r="BDM32" s="192"/>
      <c r="BDN32" s="190"/>
      <c r="BDO32" s="190"/>
      <c r="BDP32" s="190"/>
      <c r="BDQ32" s="190"/>
      <c r="BDR32" s="190"/>
      <c r="BDS32" s="193"/>
      <c r="BDT32" s="190"/>
      <c r="BDU32" s="190"/>
      <c r="BDV32" s="190"/>
      <c r="BDW32" s="190"/>
      <c r="BDX32" s="190"/>
      <c r="BDY32" s="192"/>
      <c r="BDZ32" s="190"/>
      <c r="BEA32" s="190"/>
      <c r="BEB32" s="190"/>
      <c r="BEC32" s="190"/>
      <c r="BED32" s="190"/>
      <c r="BEE32" s="193"/>
      <c r="BEF32" s="190"/>
      <c r="BEG32" s="190"/>
      <c r="BEH32" s="190"/>
      <c r="BEI32" s="190"/>
      <c r="BEJ32" s="190"/>
      <c r="BEK32" s="192"/>
      <c r="BEL32" s="190"/>
      <c r="BEM32" s="190"/>
      <c r="BEN32" s="190"/>
      <c r="BEO32" s="190"/>
      <c r="BEP32" s="190"/>
      <c r="BEQ32" s="193"/>
      <c r="BER32" s="190"/>
      <c r="BES32" s="190"/>
      <c r="BET32" s="190"/>
      <c r="BEU32" s="190"/>
      <c r="BEV32" s="190"/>
      <c r="BEW32" s="194"/>
      <c r="BEX32" s="189"/>
      <c r="BEY32" s="190"/>
      <c r="BEZ32" s="190"/>
      <c r="BFA32" s="190"/>
      <c r="BFB32" s="190"/>
      <c r="BFC32" s="191"/>
      <c r="BFD32" s="190"/>
      <c r="BFE32" s="190"/>
      <c r="BFF32" s="190"/>
      <c r="BFG32" s="190"/>
      <c r="BFH32" s="190"/>
      <c r="BFI32" s="192"/>
      <c r="BFJ32" s="190"/>
      <c r="BFK32" s="190"/>
      <c r="BFL32" s="190"/>
      <c r="BFM32" s="190"/>
      <c r="BFN32" s="190"/>
      <c r="BFO32" s="193"/>
      <c r="BFP32" s="190"/>
      <c r="BFQ32" s="190"/>
      <c r="BFR32" s="190"/>
      <c r="BFS32" s="190"/>
      <c r="BFT32" s="190"/>
      <c r="BFU32" s="192"/>
      <c r="BFV32" s="190"/>
      <c r="BFW32" s="190"/>
      <c r="BFX32" s="190"/>
      <c r="BFY32" s="190"/>
      <c r="BFZ32" s="190"/>
      <c r="BGA32" s="193"/>
      <c r="BGB32" s="190"/>
      <c r="BGC32" s="190"/>
      <c r="BGD32" s="190"/>
      <c r="BGE32" s="190"/>
      <c r="BGF32" s="190"/>
      <c r="BGG32" s="192"/>
      <c r="BGH32" s="190"/>
      <c r="BGI32" s="190"/>
      <c r="BGJ32" s="190"/>
      <c r="BGK32" s="190"/>
      <c r="BGL32" s="190"/>
      <c r="BGM32" s="193"/>
      <c r="BGN32" s="190"/>
      <c r="BGO32" s="190"/>
      <c r="BGP32" s="190"/>
      <c r="BGQ32" s="190"/>
      <c r="BGR32" s="190"/>
      <c r="BGS32" s="192"/>
      <c r="BGT32" s="190"/>
      <c r="BGU32" s="190"/>
      <c r="BGV32" s="190"/>
      <c r="BGW32" s="190"/>
      <c r="BGX32" s="190"/>
      <c r="BGY32" s="193"/>
      <c r="BGZ32" s="190"/>
      <c r="BHA32" s="190"/>
      <c r="BHB32" s="190"/>
      <c r="BHC32" s="190"/>
      <c r="BHD32" s="190"/>
      <c r="BHE32" s="194"/>
      <c r="BHF32" s="187"/>
      <c r="BHG32" s="188"/>
      <c r="BHH32" s="188"/>
      <c r="BHI32" s="188"/>
      <c r="BHJ32" s="188"/>
      <c r="BHK32" s="188"/>
      <c r="BHL32" s="188"/>
      <c r="BHM32" s="188"/>
      <c r="BHN32" s="188"/>
      <c r="BHO32" s="188"/>
      <c r="BHP32" s="188"/>
      <c r="BHQ32" s="188"/>
      <c r="BHR32" s="188"/>
      <c r="BHS32" s="188"/>
      <c r="BHT32" s="188"/>
      <c r="BHU32" s="188"/>
      <c r="BHV32" s="188"/>
      <c r="BHW32" s="188"/>
      <c r="BHX32" s="188"/>
      <c r="BHY32" s="188"/>
      <c r="BHZ32" s="188"/>
      <c r="BIA32" s="188"/>
      <c r="BIB32" s="188"/>
      <c r="BIC32" s="188"/>
      <c r="BID32" s="188"/>
      <c r="BIE32" s="188"/>
      <c r="BIF32" s="188"/>
      <c r="BIG32" s="188"/>
      <c r="BIH32" s="188"/>
      <c r="BII32" s="188"/>
      <c r="BIJ32" s="188"/>
      <c r="BIK32" s="188"/>
      <c r="BIL32" s="188"/>
      <c r="BIM32" s="188"/>
      <c r="BIN32" s="188"/>
      <c r="BIO32" s="188"/>
      <c r="BIP32" s="188"/>
    </row>
    <row r="33" spans="1:1603" ht="20.100000000000001" customHeight="1" x14ac:dyDescent="0.25">
      <c r="A33" s="78" t="s">
        <v>49</v>
      </c>
      <c r="B33" s="51" t="str">
        <f>IF(LEN(C51)=0,"",C51)</f>
        <v>Réalisation - Listes</v>
      </c>
      <c r="C33" s="230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77"/>
      <c r="EY33" s="180"/>
      <c r="EZ33" s="177"/>
      <c r="FA33" s="177"/>
      <c r="FB33" s="177"/>
      <c r="FC33" s="177"/>
      <c r="FD33" s="177"/>
      <c r="FE33" s="179"/>
      <c r="FF33" s="177"/>
      <c r="FG33" s="177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76"/>
      <c r="PK33" s="177"/>
      <c r="PL33" s="177"/>
      <c r="PM33" s="177"/>
      <c r="PN33" s="177"/>
      <c r="PO33" s="178"/>
      <c r="PP33" s="177"/>
      <c r="PQ33" s="177"/>
      <c r="PR33" s="177"/>
      <c r="PS33" s="177"/>
      <c r="PT33" s="177"/>
      <c r="PU33" s="179"/>
      <c r="PV33" s="177"/>
      <c r="PW33" s="177"/>
      <c r="PX33" s="177"/>
      <c r="PY33" s="177"/>
      <c r="PZ33" s="177"/>
      <c r="QA33" s="180"/>
      <c r="QB33" s="177"/>
      <c r="QC33" s="177"/>
      <c r="QD33" s="177"/>
      <c r="QE33" s="177"/>
      <c r="QF33" s="177"/>
      <c r="QG33" s="179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77"/>
      <c r="VA33" s="177"/>
      <c r="VB33" s="177"/>
      <c r="VC33" s="180"/>
      <c r="VD33" s="177"/>
      <c r="VE33" s="177"/>
      <c r="VF33" s="177"/>
      <c r="VG33" s="177"/>
      <c r="VH33" s="177"/>
      <c r="VI33" s="179"/>
      <c r="VJ33" s="177"/>
      <c r="VK33" s="177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77"/>
      <c r="XG33" s="177"/>
      <c r="XH33" s="177"/>
      <c r="XI33" s="177"/>
      <c r="XJ33" s="177"/>
      <c r="XK33" s="180"/>
      <c r="XL33" s="177"/>
      <c r="XM33" s="177"/>
      <c r="XN33" s="177"/>
      <c r="XO33" s="177"/>
      <c r="XP33" s="177"/>
      <c r="XQ33" s="179"/>
      <c r="XR33" s="177"/>
      <c r="XS33" s="177"/>
      <c r="XT33" s="177"/>
      <c r="XU33" s="177"/>
      <c r="XV33" s="177"/>
      <c r="XW33" s="180"/>
      <c r="XX33" s="177"/>
      <c r="XY33" s="177"/>
      <c r="XZ33" s="177"/>
      <c r="YA33" s="177"/>
      <c r="YB33" s="177"/>
      <c r="YC33" s="179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77"/>
      <c r="ABW33" s="177"/>
      <c r="ABX33" s="177"/>
      <c r="ABY33" s="177"/>
      <c r="ABZ33" s="177"/>
      <c r="ACA33" s="180"/>
      <c r="ACB33" s="177"/>
      <c r="ACC33" s="177"/>
      <c r="ACD33" s="177"/>
      <c r="ACE33" s="177"/>
      <c r="ACF33" s="177"/>
      <c r="ACG33" s="179"/>
      <c r="ACH33" s="177"/>
      <c r="ACI33" s="177"/>
      <c r="ACJ33" s="177"/>
      <c r="ACK33" s="177"/>
      <c r="ACL33" s="177"/>
      <c r="ACM33" s="180"/>
      <c r="ACN33" s="177"/>
      <c r="ACO33" s="177"/>
      <c r="ACP33" s="177"/>
      <c r="ACQ33" s="177"/>
      <c r="ACR33" s="177"/>
      <c r="ACS33" s="179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77"/>
      <c r="ADU33" s="177"/>
      <c r="ADV33" s="177"/>
      <c r="ADW33" s="180"/>
      <c r="ADX33" s="177"/>
      <c r="ADY33" s="177"/>
      <c r="ADZ33" s="177"/>
      <c r="AEA33" s="177"/>
      <c r="AEB33" s="177"/>
      <c r="AEC33" s="179"/>
      <c r="AED33" s="177"/>
      <c r="AEE33" s="177"/>
      <c r="AEF33" s="177"/>
      <c r="AEG33" s="177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77"/>
      <c r="AGA33" s="177"/>
      <c r="AGB33" s="177"/>
      <c r="AGC33" s="177"/>
      <c r="AGD33" s="177"/>
      <c r="AGE33" s="180"/>
      <c r="AGF33" s="177"/>
      <c r="AGG33" s="177"/>
      <c r="AGH33" s="177"/>
      <c r="AGI33" s="177"/>
      <c r="AGJ33" s="177"/>
      <c r="AGK33" s="179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77"/>
      <c r="AIQ33" s="177"/>
      <c r="AIR33" s="177"/>
      <c r="AIS33" s="179"/>
      <c r="AIT33" s="177"/>
      <c r="AIU33" s="177"/>
      <c r="AIV33" s="177"/>
      <c r="AIW33" s="177"/>
      <c r="AIX33" s="177"/>
      <c r="AIY33" s="180"/>
      <c r="AIZ33" s="177"/>
      <c r="AJA33" s="177"/>
      <c r="AJB33" s="177"/>
      <c r="AJC33" s="177"/>
      <c r="AJD33" s="177"/>
      <c r="AJE33" s="179"/>
      <c r="AJF33" s="177"/>
      <c r="AJG33" s="177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77"/>
      <c r="ANE33" s="177"/>
      <c r="ANF33" s="177"/>
      <c r="ANG33" s="177"/>
      <c r="ANH33" s="177"/>
      <c r="ANI33" s="179"/>
      <c r="ANJ33" s="177"/>
      <c r="ANK33" s="177"/>
      <c r="ANL33" s="177"/>
      <c r="ANM33" s="177"/>
      <c r="ANN33" s="177"/>
      <c r="ANO33" s="180"/>
      <c r="ANP33" s="177"/>
      <c r="ANQ33" s="177"/>
      <c r="ANR33" s="177"/>
      <c r="ANS33" s="177"/>
      <c r="ANT33" s="177"/>
      <c r="ANU33" s="179"/>
      <c r="ANV33" s="177"/>
      <c r="ANW33" s="177"/>
      <c r="ANX33" s="177"/>
      <c r="ANY33" s="177"/>
      <c r="ANZ33" s="177"/>
      <c r="AOA33" s="180"/>
      <c r="AOB33" s="177"/>
      <c r="AOC33" s="177"/>
      <c r="AOD33" s="177"/>
      <c r="AOE33" s="177"/>
      <c r="AOF33" s="177"/>
      <c r="AOG33" s="179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77"/>
      <c r="APQ33" s="179"/>
      <c r="APR33" s="177"/>
      <c r="APS33" s="177"/>
      <c r="APT33" s="177"/>
      <c r="APU33" s="177"/>
      <c r="APV33" s="177"/>
      <c r="APW33" s="180"/>
      <c r="APX33" s="177"/>
      <c r="APY33" s="177"/>
      <c r="APZ33" s="177"/>
      <c r="AQA33" s="177"/>
      <c r="AQB33" s="177"/>
      <c r="AQC33" s="179"/>
      <c r="AQD33" s="177"/>
      <c r="AQE33" s="177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77"/>
      <c r="ASA33" s="177"/>
      <c r="ASB33" s="177"/>
      <c r="ASC33" s="177"/>
      <c r="ASD33" s="177"/>
      <c r="ASE33" s="180"/>
      <c r="ASF33" s="177"/>
      <c r="ASG33" s="177"/>
      <c r="ASH33" s="177"/>
      <c r="ASI33" s="177"/>
      <c r="ASJ33" s="177"/>
      <c r="ASK33" s="179"/>
      <c r="ASL33" s="177"/>
      <c r="ASM33" s="177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77"/>
      <c r="ATY33" s="177"/>
      <c r="ATZ33" s="177"/>
      <c r="AUA33" s="180"/>
      <c r="AUB33" s="177"/>
      <c r="AUC33" s="177"/>
      <c r="AUD33" s="177"/>
      <c r="AUE33" s="177"/>
      <c r="AUF33" s="177"/>
      <c r="AUG33" s="179"/>
      <c r="AUH33" s="177"/>
      <c r="AUI33" s="177"/>
      <c r="AUJ33" s="177"/>
      <c r="AUK33" s="177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77"/>
      <c r="AWQ33" s="177"/>
      <c r="AWR33" s="177"/>
      <c r="AWS33" s="177"/>
      <c r="AWT33" s="177"/>
      <c r="AWU33" s="180"/>
      <c r="AWV33" s="177"/>
      <c r="AWW33" s="177"/>
      <c r="AWX33" s="177"/>
      <c r="AWY33" s="177"/>
      <c r="AWZ33" s="177"/>
      <c r="AXA33" s="179"/>
      <c r="AXB33" s="177"/>
      <c r="AXC33" s="177"/>
      <c r="AXD33" s="177"/>
      <c r="AXE33" s="177"/>
      <c r="AXF33" s="177"/>
      <c r="AXG33" s="180"/>
      <c r="AXH33" s="177"/>
      <c r="AXI33" s="177"/>
      <c r="AXJ33" s="177"/>
      <c r="AXK33" s="177"/>
      <c r="AXL33" s="177"/>
      <c r="AXM33" s="179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77"/>
      <c r="AZA33" s="177"/>
      <c r="AZB33" s="177"/>
      <c r="AZC33" s="180"/>
      <c r="AZD33" s="177"/>
      <c r="AZE33" s="177"/>
      <c r="AZF33" s="177"/>
      <c r="AZG33" s="177"/>
      <c r="AZH33" s="177"/>
      <c r="AZI33" s="179"/>
      <c r="AZJ33" s="177"/>
      <c r="AZK33" s="177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77"/>
      <c r="BBI33" s="177"/>
      <c r="BBJ33" s="177"/>
      <c r="BBK33" s="180"/>
      <c r="BBL33" s="177"/>
      <c r="BBM33" s="177"/>
      <c r="BBN33" s="177"/>
      <c r="BBO33" s="177"/>
      <c r="BBP33" s="177"/>
      <c r="BBQ33" s="179"/>
      <c r="BBR33" s="177"/>
      <c r="BBS33" s="177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77"/>
      <c r="BDO33" s="177"/>
      <c r="BDP33" s="177"/>
      <c r="BDQ33" s="177"/>
      <c r="BDR33" s="177"/>
      <c r="BDS33" s="180"/>
      <c r="BDT33" s="177"/>
      <c r="BDU33" s="177"/>
      <c r="BDV33" s="177"/>
      <c r="BDW33" s="177"/>
      <c r="BDX33" s="177"/>
      <c r="BDY33" s="179"/>
      <c r="BDZ33" s="177"/>
      <c r="BEA33" s="177"/>
      <c r="BEB33" s="177"/>
      <c r="BEC33" s="177"/>
      <c r="BED33" s="177"/>
      <c r="BEE33" s="180"/>
      <c r="BEF33" s="177"/>
      <c r="BEG33" s="177"/>
      <c r="BEH33" s="177"/>
      <c r="BEI33" s="177"/>
      <c r="BEJ33" s="177"/>
      <c r="BEK33" s="179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77"/>
      <c r="BFM33" s="177"/>
      <c r="BFN33" s="177"/>
      <c r="BFO33" s="180"/>
      <c r="BFP33" s="177"/>
      <c r="BFQ33" s="177"/>
      <c r="BFR33" s="177"/>
      <c r="BFS33" s="177"/>
      <c r="BFT33" s="177"/>
      <c r="BFU33" s="179"/>
      <c r="BFV33" s="177"/>
      <c r="BFW33" s="177"/>
      <c r="BFX33" s="177"/>
      <c r="BFY33" s="177"/>
      <c r="BFZ33" s="177"/>
      <c r="BGA33" s="180"/>
      <c r="BGB33" s="177"/>
      <c r="BGC33" s="177"/>
      <c r="BGD33" s="177"/>
      <c r="BGE33" s="177"/>
      <c r="BGF33" s="177"/>
      <c r="BGG33" s="179"/>
      <c r="BGH33" s="177"/>
      <c r="BGI33" s="177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87"/>
      <c r="BHG33" s="188"/>
      <c r="BHH33" s="188"/>
      <c r="BHI33" s="188"/>
      <c r="BHJ33" s="188"/>
      <c r="BHK33" s="188"/>
      <c r="BHL33" s="188"/>
      <c r="BHM33" s="188"/>
      <c r="BHN33" s="188"/>
      <c r="BHO33" s="188"/>
      <c r="BHP33" s="188"/>
      <c r="BHQ33" s="188"/>
      <c r="BHR33" s="188"/>
      <c r="BHS33" s="188"/>
      <c r="BHT33" s="182"/>
      <c r="BHU33" s="182"/>
      <c r="BHV33" s="182"/>
      <c r="BHW33" s="182"/>
      <c r="BHX33" s="182"/>
      <c r="BHY33" s="182"/>
      <c r="BHZ33" s="182"/>
      <c r="BIA33" s="182"/>
      <c r="BIB33" s="182"/>
      <c r="BIC33" s="182"/>
      <c r="BID33" s="182"/>
      <c r="BIE33" s="182"/>
      <c r="BIF33" s="182"/>
      <c r="BIG33" s="182"/>
      <c r="BIH33" s="182"/>
      <c r="BII33" s="182"/>
      <c r="BIJ33" s="182"/>
      <c r="BIK33" s="182"/>
      <c r="BIL33" s="182"/>
      <c r="BIM33" s="182"/>
      <c r="BIN33" s="182"/>
      <c r="BIO33" s="182"/>
      <c r="BIP33" s="182"/>
      <c r="BIQ33" s="182"/>
    </row>
    <row r="34" spans="1:1603" ht="20.100000000000001" customHeight="1" x14ac:dyDescent="0.3">
      <c r="A34" s="78" t="s">
        <v>50</v>
      </c>
      <c r="B34" s="51" t="str">
        <f>IF(LEN(C53)=0,"",C53)</f>
        <v>Réalisation - MPD</v>
      </c>
      <c r="C34" s="231"/>
      <c r="D34" s="121" t="str">
        <f t="shared" si="0"/>
        <v>2h 45 min</v>
      </c>
      <c r="E34" s="30">
        <v>33</v>
      </c>
      <c r="F34" s="195"/>
      <c r="G34" s="196"/>
      <c r="H34" s="196"/>
      <c r="I34" s="196"/>
      <c r="J34" s="196"/>
      <c r="K34" s="197"/>
      <c r="L34" s="196"/>
      <c r="M34" s="196"/>
      <c r="N34" s="196"/>
      <c r="O34" s="196"/>
      <c r="P34" s="196"/>
      <c r="Q34" s="198"/>
      <c r="R34" s="196"/>
      <c r="S34" s="196"/>
      <c r="T34" s="196"/>
      <c r="U34" s="196"/>
      <c r="V34" s="196"/>
      <c r="W34" s="199"/>
      <c r="X34" s="196"/>
      <c r="Y34" s="196"/>
      <c r="Z34" s="196"/>
      <c r="AA34" s="196"/>
      <c r="AB34" s="196"/>
      <c r="AC34" s="198"/>
      <c r="AD34" s="196"/>
      <c r="AE34" s="196"/>
      <c r="AF34" s="196"/>
      <c r="AG34" s="196"/>
      <c r="AH34" s="196"/>
      <c r="AI34" s="199"/>
      <c r="AJ34" s="196"/>
      <c r="AK34" s="196"/>
      <c r="AL34" s="196"/>
      <c r="AM34" s="196"/>
      <c r="AN34" s="196"/>
      <c r="AO34" s="198"/>
      <c r="AP34" s="196"/>
      <c r="AQ34" s="196"/>
      <c r="AR34" s="196"/>
      <c r="AS34" s="196"/>
      <c r="AT34" s="196"/>
      <c r="AU34" s="199"/>
      <c r="AV34" s="196"/>
      <c r="AW34" s="196"/>
      <c r="AX34" s="196"/>
      <c r="AY34" s="196"/>
      <c r="AZ34" s="196"/>
      <c r="BA34" s="198"/>
      <c r="BB34" s="196"/>
      <c r="BC34" s="196"/>
      <c r="BD34" s="196"/>
      <c r="BE34" s="196"/>
      <c r="BF34" s="196"/>
      <c r="BG34" s="199"/>
      <c r="BH34" s="196"/>
      <c r="BI34" s="196"/>
      <c r="BJ34" s="196"/>
      <c r="BK34" s="196"/>
      <c r="BL34" s="196"/>
      <c r="BM34" s="200"/>
      <c r="BN34" s="195"/>
      <c r="BO34" s="196"/>
      <c r="BP34" s="196"/>
      <c r="BQ34" s="196"/>
      <c r="BR34" s="196"/>
      <c r="BS34" s="197"/>
      <c r="BT34" s="196"/>
      <c r="BU34" s="196"/>
      <c r="BV34" s="196"/>
      <c r="BW34" s="196"/>
      <c r="BX34" s="196"/>
      <c r="BY34" s="198"/>
      <c r="BZ34" s="196"/>
      <c r="CA34" s="196"/>
      <c r="CB34" s="196"/>
      <c r="CC34" s="196"/>
      <c r="CD34" s="196"/>
      <c r="CE34" s="199"/>
      <c r="CF34" s="196"/>
      <c r="CG34" s="196"/>
      <c r="CH34" s="196"/>
      <c r="CI34" s="196"/>
      <c r="CJ34" s="196"/>
      <c r="CK34" s="198"/>
      <c r="CL34" s="196"/>
      <c r="CM34" s="196"/>
      <c r="CN34" s="196"/>
      <c r="CO34" s="196"/>
      <c r="CP34" s="196"/>
      <c r="CQ34" s="199"/>
      <c r="CR34" s="196"/>
      <c r="CS34" s="196"/>
      <c r="CT34" s="196"/>
      <c r="CU34" s="196"/>
      <c r="CV34" s="196"/>
      <c r="CW34" s="198"/>
      <c r="CX34" s="196"/>
      <c r="CY34" s="196"/>
      <c r="CZ34" s="196"/>
      <c r="DA34" s="196"/>
      <c r="DB34" s="196"/>
      <c r="DC34" s="199"/>
      <c r="DD34" s="196"/>
      <c r="DE34" s="196"/>
      <c r="DF34" s="196"/>
      <c r="DG34" s="196"/>
      <c r="DH34" s="196"/>
      <c r="DI34" s="198"/>
      <c r="DJ34" s="196"/>
      <c r="DK34" s="196"/>
      <c r="DL34" s="196"/>
      <c r="DM34" s="196"/>
      <c r="DN34" s="196"/>
      <c r="DO34" s="199"/>
      <c r="DP34" s="196"/>
      <c r="DQ34" s="196"/>
      <c r="DR34" s="196"/>
      <c r="DS34" s="196"/>
      <c r="DT34" s="196"/>
      <c r="DU34" s="200"/>
      <c r="DV34" s="195"/>
      <c r="DW34" s="196"/>
      <c r="DX34" s="196"/>
      <c r="DY34" s="196"/>
      <c r="DZ34" s="196"/>
      <c r="EA34" s="197"/>
      <c r="EB34" s="196"/>
      <c r="EC34" s="196"/>
      <c r="ED34" s="196"/>
      <c r="EE34" s="196"/>
      <c r="EF34" s="196"/>
      <c r="EG34" s="198"/>
      <c r="EH34" s="196"/>
      <c r="EI34" s="196"/>
      <c r="EJ34" s="196"/>
      <c r="EK34" s="196"/>
      <c r="EL34" s="196"/>
      <c r="EM34" s="199"/>
      <c r="EN34" s="196"/>
      <c r="EO34" s="196"/>
      <c r="EP34" s="196"/>
      <c r="EQ34" s="196"/>
      <c r="ER34" s="196"/>
      <c r="ES34" s="198"/>
      <c r="ET34" s="196"/>
      <c r="EU34" s="196"/>
      <c r="EV34" s="196"/>
      <c r="EW34" s="196"/>
      <c r="EX34" s="207"/>
      <c r="EY34" s="205"/>
      <c r="EZ34" s="207"/>
      <c r="FA34" s="207"/>
      <c r="FB34" s="207"/>
      <c r="FC34" s="196"/>
      <c r="FD34" s="196"/>
      <c r="FE34" s="198"/>
      <c r="FF34" s="196"/>
      <c r="FG34" s="196"/>
      <c r="FH34" s="196"/>
      <c r="FI34" s="196"/>
      <c r="FJ34" s="196"/>
      <c r="FK34" s="199"/>
      <c r="FL34" s="196"/>
      <c r="FM34" s="196"/>
      <c r="FN34" s="196"/>
      <c r="FO34" s="196"/>
      <c r="FP34" s="196"/>
      <c r="FQ34" s="198"/>
      <c r="FR34" s="196"/>
      <c r="FS34" s="196"/>
      <c r="FT34" s="196"/>
      <c r="FU34" s="196"/>
      <c r="FV34" s="196"/>
      <c r="FW34" s="199"/>
      <c r="FX34" s="196"/>
      <c r="FY34" s="196"/>
      <c r="FZ34" s="196"/>
      <c r="GA34" s="196"/>
      <c r="GB34" s="196"/>
      <c r="GC34" s="200"/>
      <c r="GD34" s="195"/>
      <c r="GE34" s="196"/>
      <c r="GF34" s="196"/>
      <c r="GG34" s="196"/>
      <c r="GH34" s="196"/>
      <c r="GI34" s="197"/>
      <c r="GJ34" s="196"/>
      <c r="GK34" s="196"/>
      <c r="GL34" s="196"/>
      <c r="GM34" s="196"/>
      <c r="GN34" s="196"/>
      <c r="GO34" s="198"/>
      <c r="GP34" s="196"/>
      <c r="GQ34" s="196"/>
      <c r="GR34" s="196"/>
      <c r="GS34" s="196"/>
      <c r="GT34" s="196"/>
      <c r="GU34" s="199"/>
      <c r="GV34" s="196"/>
      <c r="GW34" s="196"/>
      <c r="GX34" s="196"/>
      <c r="GY34" s="196"/>
      <c r="GZ34" s="196"/>
      <c r="HA34" s="198"/>
      <c r="HB34" s="196"/>
      <c r="HC34" s="196"/>
      <c r="HD34" s="196"/>
      <c r="HE34" s="196"/>
      <c r="HF34" s="196"/>
      <c r="HG34" s="199"/>
      <c r="HH34" s="196"/>
      <c r="HI34" s="196"/>
      <c r="HJ34" s="196"/>
      <c r="HK34" s="196"/>
      <c r="HL34" s="196"/>
      <c r="HM34" s="198"/>
      <c r="HN34" s="196"/>
      <c r="HO34" s="196"/>
      <c r="HP34" s="196"/>
      <c r="HQ34" s="196"/>
      <c r="HR34" s="196"/>
      <c r="HS34" s="199"/>
      <c r="HT34" s="196"/>
      <c r="HU34" s="196"/>
      <c r="HV34" s="196"/>
      <c r="HW34" s="196"/>
      <c r="HX34" s="207"/>
      <c r="HY34" s="209"/>
      <c r="HZ34" s="196"/>
      <c r="IA34" s="196"/>
      <c r="IB34" s="196"/>
      <c r="IC34" s="196"/>
      <c r="ID34" s="196"/>
      <c r="IE34" s="199"/>
      <c r="IF34" s="196"/>
      <c r="IG34" s="196"/>
      <c r="IH34" s="196"/>
      <c r="II34" s="196"/>
      <c r="IJ34" s="196"/>
      <c r="IK34" s="200"/>
      <c r="IL34" s="195"/>
      <c r="IM34" s="196"/>
      <c r="IN34" s="196"/>
      <c r="IO34" s="207"/>
      <c r="IP34" s="207"/>
      <c r="IQ34" s="208"/>
      <c r="IR34" s="207"/>
      <c r="IS34" s="207"/>
      <c r="IT34" s="207"/>
      <c r="IU34" s="207"/>
      <c r="IV34" s="207"/>
      <c r="IW34" s="198"/>
      <c r="IX34" s="196"/>
      <c r="IY34" s="196"/>
      <c r="IZ34" s="196"/>
      <c r="JA34" s="196"/>
      <c r="JB34" s="196"/>
      <c r="JC34" s="199"/>
      <c r="JD34" s="196"/>
      <c r="JE34" s="196"/>
      <c r="JF34" s="196"/>
      <c r="JG34" s="196"/>
      <c r="JH34" s="196"/>
      <c r="JI34" s="198"/>
      <c r="JJ34" s="196"/>
      <c r="JK34" s="196"/>
      <c r="JL34" s="196"/>
      <c r="JM34" s="196"/>
      <c r="JN34" s="196"/>
      <c r="JO34" s="199"/>
      <c r="JP34" s="196"/>
      <c r="JQ34" s="196"/>
      <c r="JR34" s="196"/>
      <c r="JS34" s="196"/>
      <c r="JT34" s="196"/>
      <c r="JU34" s="198"/>
      <c r="JV34" s="196"/>
      <c r="JW34" s="196"/>
      <c r="JX34" s="196"/>
      <c r="JY34" s="196"/>
      <c r="JZ34" s="196"/>
      <c r="KA34" s="199"/>
      <c r="KB34" s="196"/>
      <c r="KC34" s="196"/>
      <c r="KD34" s="196"/>
      <c r="KE34" s="196"/>
      <c r="KF34" s="196"/>
      <c r="KG34" s="198"/>
      <c r="KH34" s="196"/>
      <c r="KI34" s="196"/>
      <c r="KJ34" s="196"/>
      <c r="KK34" s="196"/>
      <c r="KL34" s="196"/>
      <c r="KM34" s="199"/>
      <c r="KN34" s="196"/>
      <c r="KO34" s="196"/>
      <c r="KP34" s="196"/>
      <c r="KQ34" s="196"/>
      <c r="KR34" s="196"/>
      <c r="KS34" s="200"/>
      <c r="KT34" s="195"/>
      <c r="KU34" s="196"/>
      <c r="KV34" s="196"/>
      <c r="KW34" s="196"/>
      <c r="KX34" s="196"/>
      <c r="KY34" s="197"/>
      <c r="KZ34" s="196"/>
      <c r="LA34" s="196"/>
      <c r="LB34" s="196"/>
      <c r="LC34" s="196"/>
      <c r="LD34" s="196"/>
      <c r="LE34" s="198"/>
      <c r="LF34" s="196"/>
      <c r="LG34" s="196"/>
      <c r="LH34" s="196"/>
      <c r="LI34" s="196"/>
      <c r="LJ34" s="196"/>
      <c r="LK34" s="199"/>
      <c r="LL34" s="196"/>
      <c r="LM34" s="196"/>
      <c r="LN34" s="207"/>
      <c r="LO34" s="207"/>
      <c r="LP34" s="207"/>
      <c r="LQ34" s="209"/>
      <c r="LR34" s="207"/>
      <c r="LS34" s="207"/>
      <c r="LT34" s="207"/>
      <c r="LU34" s="207"/>
      <c r="LV34" s="207"/>
      <c r="LW34" s="205"/>
      <c r="LX34" s="207"/>
      <c r="LY34" s="207"/>
      <c r="LZ34" s="207"/>
      <c r="MA34" s="207"/>
      <c r="MB34" s="207"/>
      <c r="MC34" s="209"/>
      <c r="MD34" s="207"/>
      <c r="ME34" s="207"/>
      <c r="MF34" s="196"/>
      <c r="MG34" s="196"/>
      <c r="MH34" s="196"/>
      <c r="MI34" s="199"/>
      <c r="MJ34" s="196"/>
      <c r="MK34" s="196"/>
      <c r="ML34" s="196"/>
      <c r="MM34" s="196"/>
      <c r="MN34" s="196"/>
      <c r="MO34" s="198"/>
      <c r="MP34" s="196"/>
      <c r="MQ34" s="196"/>
      <c r="MR34" s="196"/>
      <c r="MS34" s="196"/>
      <c r="MT34" s="196"/>
      <c r="MU34" s="199"/>
      <c r="MV34" s="196"/>
      <c r="MW34" s="196"/>
      <c r="MX34" s="196"/>
      <c r="MY34" s="196"/>
      <c r="MZ34" s="196"/>
      <c r="NA34" s="200"/>
      <c r="NB34" s="195"/>
      <c r="NC34" s="196"/>
      <c r="ND34" s="196"/>
      <c r="NE34" s="196"/>
      <c r="NF34" s="196"/>
      <c r="NG34" s="197"/>
      <c r="NH34" s="196"/>
      <c r="NI34" s="196"/>
      <c r="NJ34" s="196"/>
      <c r="NK34" s="196"/>
      <c r="NL34" s="196"/>
      <c r="NM34" s="198"/>
      <c r="NN34" s="196"/>
      <c r="NO34" s="196"/>
      <c r="NP34" s="196"/>
      <c r="NQ34" s="196"/>
      <c r="NR34" s="196"/>
      <c r="NS34" s="199"/>
      <c r="NT34" s="196"/>
      <c r="NU34" s="196"/>
      <c r="NV34" s="196"/>
      <c r="NW34" s="196"/>
      <c r="NX34" s="196"/>
      <c r="NY34" s="198"/>
      <c r="NZ34" s="196"/>
      <c r="OA34" s="196"/>
      <c r="OB34" s="196"/>
      <c r="OC34" s="196"/>
      <c r="OD34" s="196"/>
      <c r="OE34" s="199"/>
      <c r="OF34" s="196"/>
      <c r="OG34" s="196"/>
      <c r="OH34" s="196"/>
      <c r="OI34" s="196"/>
      <c r="OJ34" s="196"/>
      <c r="OK34" s="198"/>
      <c r="OL34" s="196"/>
      <c r="OM34" s="196"/>
      <c r="ON34" s="196"/>
      <c r="OO34" s="196"/>
      <c r="OP34" s="196"/>
      <c r="OQ34" s="199"/>
      <c r="OR34" s="196"/>
      <c r="OS34" s="196"/>
      <c r="OT34" s="196"/>
      <c r="OU34" s="196"/>
      <c r="OV34" s="196"/>
      <c r="OW34" s="198"/>
      <c r="OX34" s="196"/>
      <c r="OY34" s="196"/>
      <c r="OZ34" s="196"/>
      <c r="PA34" s="196"/>
      <c r="PB34" s="196"/>
      <c r="PC34" s="199"/>
      <c r="PD34" s="196"/>
      <c r="PE34" s="196"/>
      <c r="PF34" s="196"/>
      <c r="PG34" s="196"/>
      <c r="PH34" s="196"/>
      <c r="PI34" s="200"/>
      <c r="PJ34" s="195"/>
      <c r="PK34" s="196"/>
      <c r="PL34" s="196"/>
      <c r="PM34" s="196"/>
      <c r="PN34" s="196"/>
      <c r="PO34" s="197"/>
      <c r="PP34" s="196"/>
      <c r="PQ34" s="196"/>
      <c r="PR34" s="196"/>
      <c r="PS34" s="196"/>
      <c r="PT34" s="196"/>
      <c r="PU34" s="198"/>
      <c r="PV34" s="196"/>
      <c r="PW34" s="196"/>
      <c r="PX34" s="196"/>
      <c r="PY34" s="196"/>
      <c r="PZ34" s="196"/>
      <c r="QA34" s="199"/>
      <c r="QB34" s="196"/>
      <c r="QC34" s="196"/>
      <c r="QD34" s="196"/>
      <c r="QE34" s="196"/>
      <c r="QF34" s="196"/>
      <c r="QG34" s="198"/>
      <c r="QH34" s="196"/>
      <c r="QI34" s="196"/>
      <c r="QJ34" s="196"/>
      <c r="QK34" s="196"/>
      <c r="QL34" s="196"/>
      <c r="QM34" s="199"/>
      <c r="QN34" s="196"/>
      <c r="QO34" s="196"/>
      <c r="QP34" s="196"/>
      <c r="QQ34" s="196"/>
      <c r="QR34" s="196"/>
      <c r="QS34" s="198"/>
      <c r="QT34" s="196"/>
      <c r="QU34" s="196"/>
      <c r="QV34" s="196"/>
      <c r="QW34" s="196"/>
      <c r="QX34" s="196"/>
      <c r="QY34" s="199"/>
      <c r="QZ34" s="196"/>
      <c r="RA34" s="196"/>
      <c r="RB34" s="196"/>
      <c r="RC34" s="196"/>
      <c r="RD34" s="196"/>
      <c r="RE34" s="198"/>
      <c r="RF34" s="196"/>
      <c r="RG34" s="196"/>
      <c r="RH34" s="196"/>
      <c r="RI34" s="196"/>
      <c r="RJ34" s="196"/>
      <c r="RK34" s="199"/>
      <c r="RL34" s="196"/>
      <c r="RM34" s="196"/>
      <c r="RN34" s="196"/>
      <c r="RO34" s="196"/>
      <c r="RP34" s="196"/>
      <c r="RQ34" s="200"/>
      <c r="RR34" s="195"/>
      <c r="RS34" s="196"/>
      <c r="RT34" s="196"/>
      <c r="RU34" s="196"/>
      <c r="RV34" s="196"/>
      <c r="RW34" s="197"/>
      <c r="RX34" s="196"/>
      <c r="RY34" s="196"/>
      <c r="RZ34" s="196"/>
      <c r="SA34" s="196"/>
      <c r="SB34" s="196"/>
      <c r="SC34" s="198"/>
      <c r="SD34" s="196"/>
      <c r="SE34" s="196"/>
      <c r="SF34" s="196"/>
      <c r="SG34" s="196"/>
      <c r="SH34" s="196"/>
      <c r="SI34" s="199"/>
      <c r="SJ34" s="196"/>
      <c r="SK34" s="196"/>
      <c r="SL34" s="196"/>
      <c r="SM34" s="196"/>
      <c r="SN34" s="196"/>
      <c r="SO34" s="198"/>
      <c r="SP34" s="196"/>
      <c r="SQ34" s="196"/>
      <c r="SR34" s="196"/>
      <c r="SS34" s="196"/>
      <c r="ST34" s="196"/>
      <c r="SU34" s="199"/>
      <c r="SV34" s="196"/>
      <c r="SW34" s="196"/>
      <c r="SX34" s="196"/>
      <c r="SY34" s="196"/>
      <c r="SZ34" s="196"/>
      <c r="TA34" s="198"/>
      <c r="TB34" s="196"/>
      <c r="TC34" s="196"/>
      <c r="TD34" s="196"/>
      <c r="TE34" s="196"/>
      <c r="TF34" s="196"/>
      <c r="TG34" s="199"/>
      <c r="TH34" s="196"/>
      <c r="TI34" s="196"/>
      <c r="TJ34" s="196"/>
      <c r="TK34" s="196"/>
      <c r="TL34" s="196"/>
      <c r="TM34" s="198"/>
      <c r="TN34" s="196"/>
      <c r="TO34" s="196"/>
      <c r="TP34" s="196"/>
      <c r="TQ34" s="196"/>
      <c r="TR34" s="196"/>
      <c r="TS34" s="199"/>
      <c r="TT34" s="196"/>
      <c r="TU34" s="196"/>
      <c r="TV34" s="196"/>
      <c r="TW34" s="196"/>
      <c r="TX34" s="196"/>
      <c r="TY34" s="200"/>
      <c r="TZ34" s="195"/>
      <c r="UA34" s="196"/>
      <c r="UB34" s="196"/>
      <c r="UC34" s="196"/>
      <c r="UD34" s="196"/>
      <c r="UE34" s="197"/>
      <c r="UF34" s="196"/>
      <c r="UG34" s="196"/>
      <c r="UH34" s="196"/>
      <c r="UI34" s="196"/>
      <c r="UJ34" s="196"/>
      <c r="UK34" s="198"/>
      <c r="UL34" s="196"/>
      <c r="UM34" s="196"/>
      <c r="UN34" s="196"/>
      <c r="UO34" s="196"/>
      <c r="UP34" s="196"/>
      <c r="UQ34" s="199"/>
      <c r="UR34" s="196"/>
      <c r="US34" s="196"/>
      <c r="UT34" s="196"/>
      <c r="UU34" s="196"/>
      <c r="UV34" s="196"/>
      <c r="UW34" s="198"/>
      <c r="UX34" s="196"/>
      <c r="UY34" s="196"/>
      <c r="UZ34" s="196"/>
      <c r="VA34" s="196"/>
      <c r="VB34" s="196"/>
      <c r="VC34" s="199"/>
      <c r="VD34" s="196"/>
      <c r="VE34" s="196"/>
      <c r="VF34" s="196"/>
      <c r="VG34" s="196"/>
      <c r="VH34" s="196"/>
      <c r="VI34" s="198"/>
      <c r="VJ34" s="196"/>
      <c r="VK34" s="196"/>
      <c r="VL34" s="196"/>
      <c r="VM34" s="196"/>
      <c r="VN34" s="196"/>
      <c r="VO34" s="199"/>
      <c r="VP34" s="196"/>
      <c r="VQ34" s="196"/>
      <c r="VR34" s="196"/>
      <c r="VS34" s="196"/>
      <c r="VT34" s="196"/>
      <c r="VU34" s="198"/>
      <c r="VV34" s="196"/>
      <c r="VW34" s="196"/>
      <c r="VX34" s="196"/>
      <c r="VY34" s="196"/>
      <c r="VZ34" s="196"/>
      <c r="WA34" s="199"/>
      <c r="WB34" s="196"/>
      <c r="WC34" s="196"/>
      <c r="WD34" s="196"/>
      <c r="WE34" s="196"/>
      <c r="WF34" s="196"/>
      <c r="WG34" s="200"/>
      <c r="WH34" s="195"/>
      <c r="WI34" s="196"/>
      <c r="WJ34" s="196"/>
      <c r="WK34" s="196"/>
      <c r="WL34" s="196"/>
      <c r="WM34" s="197"/>
      <c r="WN34" s="196"/>
      <c r="WO34" s="196"/>
      <c r="WP34" s="196"/>
      <c r="WQ34" s="196"/>
      <c r="WR34" s="196"/>
      <c r="WS34" s="198"/>
      <c r="WT34" s="196"/>
      <c r="WU34" s="196"/>
      <c r="WV34" s="196"/>
      <c r="WW34" s="196"/>
      <c r="WX34" s="196"/>
      <c r="WY34" s="199"/>
      <c r="WZ34" s="196"/>
      <c r="XA34" s="196"/>
      <c r="XB34" s="196"/>
      <c r="XC34" s="196"/>
      <c r="XD34" s="196"/>
      <c r="XE34" s="198"/>
      <c r="XF34" s="196"/>
      <c r="XG34" s="196"/>
      <c r="XH34" s="196"/>
      <c r="XI34" s="196"/>
      <c r="XJ34" s="196"/>
      <c r="XK34" s="199"/>
      <c r="XL34" s="196"/>
      <c r="XM34" s="196"/>
      <c r="XN34" s="196"/>
      <c r="XO34" s="196"/>
      <c r="XP34" s="196"/>
      <c r="XQ34" s="198"/>
      <c r="XR34" s="196"/>
      <c r="XS34" s="196"/>
      <c r="XT34" s="196"/>
      <c r="XU34" s="196"/>
      <c r="XV34" s="196"/>
      <c r="XW34" s="199"/>
      <c r="XX34" s="196"/>
      <c r="XY34" s="196"/>
      <c r="XZ34" s="196"/>
      <c r="YA34" s="196"/>
      <c r="YB34" s="196"/>
      <c r="YC34" s="198"/>
      <c r="YD34" s="196"/>
      <c r="YE34" s="196"/>
      <c r="YF34" s="196"/>
      <c r="YG34" s="196"/>
      <c r="YH34" s="196"/>
      <c r="YI34" s="199"/>
      <c r="YJ34" s="196"/>
      <c r="YK34" s="196"/>
      <c r="YL34" s="196"/>
      <c r="YM34" s="196"/>
      <c r="YN34" s="196"/>
      <c r="YO34" s="200"/>
      <c r="YP34" s="195"/>
      <c r="YQ34" s="196"/>
      <c r="YR34" s="196"/>
      <c r="YS34" s="196"/>
      <c r="YT34" s="196"/>
      <c r="YU34" s="197"/>
      <c r="YV34" s="196"/>
      <c r="YW34" s="196"/>
      <c r="YX34" s="196"/>
      <c r="YY34" s="196"/>
      <c r="YZ34" s="196"/>
      <c r="ZA34" s="198"/>
      <c r="ZB34" s="196"/>
      <c r="ZC34" s="196"/>
      <c r="ZD34" s="196"/>
      <c r="ZE34" s="196"/>
      <c r="ZF34" s="196"/>
      <c r="ZG34" s="199"/>
      <c r="ZH34" s="196"/>
      <c r="ZI34" s="196"/>
      <c r="ZJ34" s="196"/>
      <c r="ZK34" s="196"/>
      <c r="ZL34" s="196"/>
      <c r="ZM34" s="198"/>
      <c r="ZN34" s="196"/>
      <c r="ZO34" s="196"/>
      <c r="ZP34" s="196"/>
      <c r="ZQ34" s="196"/>
      <c r="ZR34" s="196"/>
      <c r="ZS34" s="199"/>
      <c r="ZT34" s="196"/>
      <c r="ZU34" s="196"/>
      <c r="ZV34" s="196"/>
      <c r="ZW34" s="196"/>
      <c r="ZX34" s="196"/>
      <c r="ZY34" s="198"/>
      <c r="ZZ34" s="196"/>
      <c r="AAA34" s="196"/>
      <c r="AAB34" s="196"/>
      <c r="AAC34" s="196"/>
      <c r="AAD34" s="196"/>
      <c r="AAE34" s="199"/>
      <c r="AAF34" s="196"/>
      <c r="AAG34" s="196"/>
      <c r="AAH34" s="196"/>
      <c r="AAI34" s="196"/>
      <c r="AAJ34" s="196"/>
      <c r="AAK34" s="198"/>
      <c r="AAL34" s="196"/>
      <c r="AAM34" s="196"/>
      <c r="AAN34" s="196"/>
      <c r="AAO34" s="196"/>
      <c r="AAP34" s="196"/>
      <c r="AAQ34" s="199"/>
      <c r="AAR34" s="196"/>
      <c r="AAS34" s="196"/>
      <c r="AAT34" s="196"/>
      <c r="AAU34" s="196"/>
      <c r="AAV34" s="196"/>
      <c r="AAW34" s="200"/>
      <c r="AAX34" s="195"/>
      <c r="AAY34" s="196"/>
      <c r="AAZ34" s="196"/>
      <c r="ABA34" s="196"/>
      <c r="ABB34" s="196"/>
      <c r="ABC34" s="197"/>
      <c r="ABD34" s="196"/>
      <c r="ABE34" s="196"/>
      <c r="ABF34" s="196"/>
      <c r="ABG34" s="196"/>
      <c r="ABH34" s="196"/>
      <c r="ABI34" s="198"/>
      <c r="ABJ34" s="196"/>
      <c r="ABK34" s="196"/>
      <c r="ABL34" s="196"/>
      <c r="ABM34" s="196"/>
      <c r="ABN34" s="196"/>
      <c r="ABO34" s="199"/>
      <c r="ABP34" s="196"/>
      <c r="ABQ34" s="196"/>
      <c r="ABR34" s="196"/>
      <c r="ABS34" s="196"/>
      <c r="ABT34" s="196"/>
      <c r="ABU34" s="198"/>
      <c r="ABV34" s="196"/>
      <c r="ABW34" s="196"/>
      <c r="ABX34" s="196"/>
      <c r="ABY34" s="196"/>
      <c r="ABZ34" s="196"/>
      <c r="ACA34" s="199"/>
      <c r="ACB34" s="196"/>
      <c r="ACC34" s="196"/>
      <c r="ACD34" s="196"/>
      <c r="ACE34" s="196"/>
      <c r="ACF34" s="196"/>
      <c r="ACG34" s="198"/>
      <c r="ACH34" s="196"/>
      <c r="ACI34" s="196"/>
      <c r="ACJ34" s="196"/>
      <c r="ACK34" s="196"/>
      <c r="ACL34" s="196"/>
      <c r="ACM34" s="199"/>
      <c r="ACN34" s="196"/>
      <c r="ACO34" s="196"/>
      <c r="ACP34" s="196"/>
      <c r="ACQ34" s="196"/>
      <c r="ACR34" s="196"/>
      <c r="ACS34" s="198"/>
      <c r="ACT34" s="196"/>
      <c r="ACU34" s="196"/>
      <c r="ACV34" s="196"/>
      <c r="ACW34" s="196"/>
      <c r="ACX34" s="196"/>
      <c r="ACY34" s="199"/>
      <c r="ACZ34" s="196"/>
      <c r="ADA34" s="196"/>
      <c r="ADB34" s="196"/>
      <c r="ADC34" s="196"/>
      <c r="ADD34" s="196"/>
      <c r="ADE34" s="200"/>
      <c r="ADF34" s="195"/>
      <c r="ADG34" s="196"/>
      <c r="ADH34" s="196"/>
      <c r="ADI34" s="196"/>
      <c r="ADJ34" s="196"/>
      <c r="ADK34" s="197"/>
      <c r="ADL34" s="196"/>
      <c r="ADM34" s="196"/>
      <c r="ADN34" s="196"/>
      <c r="ADO34" s="196"/>
      <c r="ADP34" s="196"/>
      <c r="ADQ34" s="198"/>
      <c r="ADR34" s="196"/>
      <c r="ADS34" s="196"/>
      <c r="ADT34" s="196"/>
      <c r="ADU34" s="196"/>
      <c r="ADV34" s="196"/>
      <c r="ADW34" s="199"/>
      <c r="ADX34" s="196"/>
      <c r="ADY34" s="196"/>
      <c r="ADZ34" s="196"/>
      <c r="AEA34" s="196"/>
      <c r="AEB34" s="196"/>
      <c r="AEC34" s="198"/>
      <c r="AED34" s="196"/>
      <c r="AEE34" s="196"/>
      <c r="AEF34" s="196"/>
      <c r="AEG34" s="196"/>
      <c r="AEH34" s="196"/>
      <c r="AEI34" s="199"/>
      <c r="AEJ34" s="196"/>
      <c r="AEK34" s="196"/>
      <c r="AEL34" s="196"/>
      <c r="AEM34" s="196"/>
      <c r="AEN34" s="196"/>
      <c r="AEO34" s="198"/>
      <c r="AEP34" s="196"/>
      <c r="AEQ34" s="196"/>
      <c r="AER34" s="196"/>
      <c r="AES34" s="196"/>
      <c r="AET34" s="196"/>
      <c r="AEU34" s="199"/>
      <c r="AEV34" s="196"/>
      <c r="AEW34" s="196"/>
      <c r="AEX34" s="196"/>
      <c r="AEY34" s="196"/>
      <c r="AEZ34" s="196"/>
      <c r="AFA34" s="198"/>
      <c r="AFB34" s="196"/>
      <c r="AFC34" s="196"/>
      <c r="AFD34" s="196"/>
      <c r="AFE34" s="196"/>
      <c r="AFF34" s="196"/>
      <c r="AFG34" s="199"/>
      <c r="AFH34" s="196"/>
      <c r="AFI34" s="196"/>
      <c r="AFJ34" s="196"/>
      <c r="AFK34" s="196"/>
      <c r="AFL34" s="196"/>
      <c r="AFM34" s="200"/>
      <c r="AFN34" s="195"/>
      <c r="AFO34" s="196"/>
      <c r="AFP34" s="196"/>
      <c r="AFQ34" s="196"/>
      <c r="AFR34" s="196"/>
      <c r="AFS34" s="197"/>
      <c r="AFT34" s="196"/>
      <c r="AFU34" s="196"/>
      <c r="AFV34" s="196"/>
      <c r="AFW34" s="196"/>
      <c r="AFX34" s="196"/>
      <c r="AFY34" s="198"/>
      <c r="AFZ34" s="196"/>
      <c r="AGA34" s="196"/>
      <c r="AGB34" s="196"/>
      <c r="AGC34" s="196"/>
      <c r="AGD34" s="196"/>
      <c r="AGE34" s="199"/>
      <c r="AGF34" s="196"/>
      <c r="AGG34" s="196"/>
      <c r="AGH34" s="196"/>
      <c r="AGI34" s="196"/>
      <c r="AGJ34" s="196"/>
      <c r="AGK34" s="198"/>
      <c r="AGL34" s="196"/>
      <c r="AGM34" s="196"/>
      <c r="AGN34" s="196"/>
      <c r="AGO34" s="196"/>
      <c r="AGP34" s="196"/>
      <c r="AGQ34" s="199"/>
      <c r="AGR34" s="196"/>
      <c r="AGS34" s="196"/>
      <c r="AGT34" s="196"/>
      <c r="AGU34" s="196"/>
      <c r="AGV34" s="196"/>
      <c r="AGW34" s="198"/>
      <c r="AGX34" s="196"/>
      <c r="AGY34" s="196"/>
      <c r="AGZ34" s="196"/>
      <c r="AHA34" s="196"/>
      <c r="AHB34" s="196"/>
      <c r="AHC34" s="199"/>
      <c r="AHD34" s="196"/>
      <c r="AHE34" s="196"/>
      <c r="AHF34" s="196"/>
      <c r="AHG34" s="196"/>
      <c r="AHH34" s="196"/>
      <c r="AHI34" s="198"/>
      <c r="AHJ34" s="196"/>
      <c r="AHK34" s="196"/>
      <c r="AHL34" s="196"/>
      <c r="AHM34" s="196"/>
      <c r="AHN34" s="196"/>
      <c r="AHO34" s="199"/>
      <c r="AHP34" s="196"/>
      <c r="AHQ34" s="196"/>
      <c r="AHR34" s="196"/>
      <c r="AHS34" s="196"/>
      <c r="AHT34" s="196"/>
      <c r="AHU34" s="200"/>
      <c r="AHV34" s="195"/>
      <c r="AHW34" s="196"/>
      <c r="AHX34" s="196"/>
      <c r="AHY34" s="196"/>
      <c r="AHZ34" s="196"/>
      <c r="AIA34" s="197"/>
      <c r="AIB34" s="196"/>
      <c r="AIC34" s="196"/>
      <c r="AID34" s="196"/>
      <c r="AIE34" s="196"/>
      <c r="AIF34" s="196"/>
      <c r="AIG34" s="198"/>
      <c r="AIH34" s="196"/>
      <c r="AII34" s="196"/>
      <c r="AIJ34" s="196"/>
      <c r="AIK34" s="196"/>
      <c r="AIL34" s="196"/>
      <c r="AIM34" s="199"/>
      <c r="AIN34" s="196"/>
      <c r="AIO34" s="196"/>
      <c r="AIP34" s="196"/>
      <c r="AIQ34" s="196"/>
      <c r="AIR34" s="196"/>
      <c r="AIS34" s="198"/>
      <c r="AIT34" s="196"/>
      <c r="AIU34" s="196"/>
      <c r="AIV34" s="196"/>
      <c r="AIW34" s="196"/>
      <c r="AIX34" s="196"/>
      <c r="AIY34" s="199"/>
      <c r="AIZ34" s="196"/>
      <c r="AJA34" s="196"/>
      <c r="AJB34" s="196"/>
      <c r="AJC34" s="196"/>
      <c r="AJD34" s="196"/>
      <c r="AJE34" s="198"/>
      <c r="AJF34" s="196"/>
      <c r="AJG34" s="196"/>
      <c r="AJH34" s="196"/>
      <c r="AJI34" s="196"/>
      <c r="AJJ34" s="196"/>
      <c r="AJK34" s="199"/>
      <c r="AJL34" s="196"/>
      <c r="AJM34" s="196"/>
      <c r="AJN34" s="196"/>
      <c r="AJO34" s="196"/>
      <c r="AJP34" s="196"/>
      <c r="AJQ34" s="198"/>
      <c r="AJR34" s="196"/>
      <c r="AJS34" s="196"/>
      <c r="AJT34" s="196"/>
      <c r="AJU34" s="196"/>
      <c r="AJV34" s="196"/>
      <c r="AJW34" s="199"/>
      <c r="AJX34" s="196"/>
      <c r="AJY34" s="196"/>
      <c r="AJZ34" s="196"/>
      <c r="AKA34" s="196"/>
      <c r="AKB34" s="196"/>
      <c r="AKC34" s="200"/>
      <c r="AKD34" s="195"/>
      <c r="AKE34" s="196"/>
      <c r="AKF34" s="196"/>
      <c r="AKG34" s="196"/>
      <c r="AKH34" s="196"/>
      <c r="AKI34" s="197"/>
      <c r="AKJ34" s="196"/>
      <c r="AKK34" s="196"/>
      <c r="AKL34" s="196"/>
      <c r="AKM34" s="196"/>
      <c r="AKN34" s="196"/>
      <c r="AKO34" s="198"/>
      <c r="AKP34" s="196"/>
      <c r="AKQ34" s="196"/>
      <c r="AKR34" s="196"/>
      <c r="AKS34" s="196"/>
      <c r="AKT34" s="196"/>
      <c r="AKU34" s="199"/>
      <c r="AKV34" s="196"/>
      <c r="AKW34" s="196"/>
      <c r="AKX34" s="196"/>
      <c r="AKY34" s="196"/>
      <c r="AKZ34" s="196"/>
      <c r="ALA34" s="198"/>
      <c r="ALB34" s="196"/>
      <c r="ALC34" s="196"/>
      <c r="ALD34" s="196"/>
      <c r="ALE34" s="196"/>
      <c r="ALF34" s="196"/>
      <c r="ALG34" s="199"/>
      <c r="ALH34" s="196"/>
      <c r="ALI34" s="196"/>
      <c r="ALJ34" s="196"/>
      <c r="ALK34" s="196"/>
      <c r="ALL34" s="196"/>
      <c r="ALM34" s="198"/>
      <c r="ALN34" s="196"/>
      <c r="ALO34" s="196"/>
      <c r="ALP34" s="196"/>
      <c r="ALQ34" s="196"/>
      <c r="ALR34" s="196"/>
      <c r="ALS34" s="199"/>
      <c r="ALT34" s="196"/>
      <c r="ALU34" s="196"/>
      <c r="ALV34" s="196"/>
      <c r="ALW34" s="196"/>
      <c r="ALX34" s="196"/>
      <c r="ALY34" s="198"/>
      <c r="ALZ34" s="196"/>
      <c r="AMA34" s="196"/>
      <c r="AMB34" s="196"/>
      <c r="AMC34" s="196"/>
      <c r="AMD34" s="196"/>
      <c r="AME34" s="199"/>
      <c r="AMF34" s="196"/>
      <c r="AMG34" s="196"/>
      <c r="AMH34" s="196"/>
      <c r="AMI34" s="196"/>
      <c r="AMJ34" s="196"/>
      <c r="AMK34" s="200"/>
      <c r="AML34" s="195"/>
      <c r="AMM34" s="196"/>
      <c r="AMN34" s="196"/>
      <c r="AMO34" s="196"/>
      <c r="AMP34" s="196"/>
      <c r="AMQ34" s="197"/>
      <c r="AMR34" s="196"/>
      <c r="AMS34" s="196"/>
      <c r="AMT34" s="196"/>
      <c r="AMU34" s="196"/>
      <c r="AMV34" s="196"/>
      <c r="AMW34" s="198"/>
      <c r="AMX34" s="196"/>
      <c r="AMY34" s="196"/>
      <c r="AMZ34" s="196"/>
      <c r="ANA34" s="196"/>
      <c r="ANB34" s="196"/>
      <c r="ANC34" s="199"/>
      <c r="AND34" s="196"/>
      <c r="ANE34" s="196"/>
      <c r="ANF34" s="196"/>
      <c r="ANG34" s="196"/>
      <c r="ANH34" s="196"/>
      <c r="ANI34" s="198"/>
      <c r="ANJ34" s="196"/>
      <c r="ANK34" s="196"/>
      <c r="ANL34" s="196"/>
      <c r="ANM34" s="196"/>
      <c r="ANN34" s="196"/>
      <c r="ANO34" s="199"/>
      <c r="ANP34" s="196"/>
      <c r="ANQ34" s="196"/>
      <c r="ANR34" s="196"/>
      <c r="ANS34" s="196"/>
      <c r="ANT34" s="196"/>
      <c r="ANU34" s="198"/>
      <c r="ANV34" s="196"/>
      <c r="ANW34" s="196"/>
      <c r="ANX34" s="196"/>
      <c r="ANY34" s="196"/>
      <c r="ANZ34" s="196"/>
      <c r="AOA34" s="199"/>
      <c r="AOB34" s="196"/>
      <c r="AOC34" s="196"/>
      <c r="AOD34" s="196"/>
      <c r="AOE34" s="196"/>
      <c r="AOF34" s="196"/>
      <c r="AOG34" s="198"/>
      <c r="AOH34" s="196"/>
      <c r="AOI34" s="196"/>
      <c r="AOJ34" s="196"/>
      <c r="AOK34" s="196"/>
      <c r="AOL34" s="196"/>
      <c r="AOM34" s="199"/>
      <c r="AON34" s="196"/>
      <c r="AOO34" s="196"/>
      <c r="AOP34" s="196"/>
      <c r="AOQ34" s="196"/>
      <c r="AOR34" s="196"/>
      <c r="AOS34" s="200"/>
      <c r="AOT34" s="195"/>
      <c r="AOU34" s="196"/>
      <c r="AOV34" s="196"/>
      <c r="AOW34" s="196"/>
      <c r="AOX34" s="196"/>
      <c r="AOY34" s="197"/>
      <c r="AOZ34" s="196"/>
      <c r="APA34" s="196"/>
      <c r="APB34" s="196"/>
      <c r="APC34" s="196"/>
      <c r="APD34" s="196"/>
      <c r="APE34" s="198"/>
      <c r="APF34" s="196"/>
      <c r="APG34" s="196"/>
      <c r="APH34" s="196"/>
      <c r="API34" s="196"/>
      <c r="APJ34" s="196"/>
      <c r="APK34" s="199"/>
      <c r="APL34" s="196"/>
      <c r="APM34" s="196"/>
      <c r="APN34" s="196"/>
      <c r="APO34" s="196"/>
      <c r="APP34" s="196"/>
      <c r="APQ34" s="198"/>
      <c r="APR34" s="196"/>
      <c r="APS34" s="196"/>
      <c r="APT34" s="196"/>
      <c r="APU34" s="196"/>
      <c r="APV34" s="196"/>
      <c r="APW34" s="199"/>
      <c r="APX34" s="196"/>
      <c r="APY34" s="196"/>
      <c r="APZ34" s="196"/>
      <c r="AQA34" s="196"/>
      <c r="AQB34" s="196"/>
      <c r="AQC34" s="198"/>
      <c r="AQD34" s="196"/>
      <c r="AQE34" s="196"/>
      <c r="AQF34" s="196"/>
      <c r="AQG34" s="196"/>
      <c r="AQH34" s="196"/>
      <c r="AQI34" s="199"/>
      <c r="AQJ34" s="196"/>
      <c r="AQK34" s="196"/>
      <c r="AQL34" s="196"/>
      <c r="AQM34" s="196"/>
      <c r="AQN34" s="196"/>
      <c r="AQO34" s="198"/>
      <c r="AQP34" s="196"/>
      <c r="AQQ34" s="196"/>
      <c r="AQR34" s="196"/>
      <c r="AQS34" s="196"/>
      <c r="AQT34" s="196"/>
      <c r="AQU34" s="199"/>
      <c r="AQV34" s="196"/>
      <c r="AQW34" s="196"/>
      <c r="AQX34" s="196"/>
      <c r="AQY34" s="196"/>
      <c r="AQZ34" s="196"/>
      <c r="ARA34" s="200"/>
      <c r="ARB34" s="195"/>
      <c r="ARC34" s="196"/>
      <c r="ARD34" s="196"/>
      <c r="ARE34" s="196"/>
      <c r="ARF34" s="196"/>
      <c r="ARG34" s="197"/>
      <c r="ARH34" s="196"/>
      <c r="ARI34" s="196"/>
      <c r="ARJ34" s="196"/>
      <c r="ARK34" s="196"/>
      <c r="ARL34" s="196"/>
      <c r="ARM34" s="198"/>
      <c r="ARN34" s="196"/>
      <c r="ARO34" s="196"/>
      <c r="ARP34" s="196"/>
      <c r="ARQ34" s="196"/>
      <c r="ARR34" s="196"/>
      <c r="ARS34" s="199"/>
      <c r="ART34" s="196"/>
      <c r="ARU34" s="196"/>
      <c r="ARV34" s="196"/>
      <c r="ARW34" s="196"/>
      <c r="ARX34" s="196"/>
      <c r="ARY34" s="198"/>
      <c r="ARZ34" s="196"/>
      <c r="ASA34" s="196"/>
      <c r="ASB34" s="196"/>
      <c r="ASC34" s="196"/>
      <c r="ASD34" s="196"/>
      <c r="ASE34" s="199"/>
      <c r="ASF34" s="196"/>
      <c r="ASG34" s="196"/>
      <c r="ASH34" s="196"/>
      <c r="ASI34" s="196"/>
      <c r="ASJ34" s="196"/>
      <c r="ASK34" s="198"/>
      <c r="ASL34" s="196"/>
      <c r="ASM34" s="196"/>
      <c r="ASN34" s="196"/>
      <c r="ASO34" s="196"/>
      <c r="ASP34" s="196"/>
      <c r="ASQ34" s="199"/>
      <c r="ASR34" s="196"/>
      <c r="ASS34" s="196"/>
      <c r="AST34" s="196"/>
      <c r="ASU34" s="196"/>
      <c r="ASV34" s="196"/>
      <c r="ASW34" s="198"/>
      <c r="ASX34" s="196"/>
      <c r="ASY34" s="196"/>
      <c r="ASZ34" s="196"/>
      <c r="ATA34" s="196"/>
      <c r="ATB34" s="196"/>
      <c r="ATC34" s="199"/>
      <c r="ATD34" s="196"/>
      <c r="ATE34" s="196"/>
      <c r="ATF34" s="196"/>
      <c r="ATG34" s="196"/>
      <c r="ATH34" s="196"/>
      <c r="ATI34" s="200"/>
      <c r="ATJ34" s="195"/>
      <c r="ATK34" s="196"/>
      <c r="ATL34" s="196"/>
      <c r="ATM34" s="196"/>
      <c r="ATN34" s="196"/>
      <c r="ATO34" s="197"/>
      <c r="ATP34" s="196"/>
      <c r="ATQ34" s="196"/>
      <c r="ATR34" s="196"/>
      <c r="ATS34" s="196"/>
      <c r="ATT34" s="196"/>
      <c r="ATU34" s="198"/>
      <c r="ATV34" s="196"/>
      <c r="ATW34" s="196"/>
      <c r="ATX34" s="196"/>
      <c r="ATY34" s="196"/>
      <c r="ATZ34" s="196"/>
      <c r="AUA34" s="199"/>
      <c r="AUB34" s="196"/>
      <c r="AUC34" s="196"/>
      <c r="AUD34" s="196"/>
      <c r="AUE34" s="196"/>
      <c r="AUF34" s="196"/>
      <c r="AUG34" s="198"/>
      <c r="AUH34" s="196"/>
      <c r="AUI34" s="196"/>
      <c r="AUJ34" s="196"/>
      <c r="AUK34" s="196"/>
      <c r="AUL34" s="196"/>
      <c r="AUM34" s="199"/>
      <c r="AUN34" s="196"/>
      <c r="AUO34" s="196"/>
      <c r="AUP34" s="196"/>
      <c r="AUQ34" s="196"/>
      <c r="AUR34" s="196"/>
      <c r="AUS34" s="198"/>
      <c r="AUT34" s="196"/>
      <c r="AUU34" s="196"/>
      <c r="AUV34" s="196"/>
      <c r="AUW34" s="196"/>
      <c r="AUX34" s="196"/>
      <c r="AUY34" s="199"/>
      <c r="AUZ34" s="196"/>
      <c r="AVA34" s="196"/>
      <c r="AVB34" s="196"/>
      <c r="AVC34" s="196"/>
      <c r="AVD34" s="196"/>
      <c r="AVE34" s="198"/>
      <c r="AVF34" s="196"/>
      <c r="AVG34" s="196"/>
      <c r="AVH34" s="196"/>
      <c r="AVI34" s="196"/>
      <c r="AVJ34" s="196"/>
      <c r="AVK34" s="199"/>
      <c r="AVL34" s="196"/>
      <c r="AVM34" s="196"/>
      <c r="AVN34" s="196"/>
      <c r="AVO34" s="196"/>
      <c r="AVP34" s="196"/>
      <c r="AVQ34" s="200"/>
      <c r="AVR34" s="195"/>
      <c r="AVS34" s="196"/>
      <c r="AVT34" s="196"/>
      <c r="AVU34" s="196"/>
      <c r="AVV34" s="196"/>
      <c r="AVW34" s="197"/>
      <c r="AVX34" s="196"/>
      <c r="AVY34" s="196"/>
      <c r="AVZ34" s="196"/>
      <c r="AWA34" s="196"/>
      <c r="AWB34" s="196"/>
      <c r="AWC34" s="198"/>
      <c r="AWD34" s="196"/>
      <c r="AWE34" s="196"/>
      <c r="AWF34" s="196"/>
      <c r="AWG34" s="196"/>
      <c r="AWH34" s="196"/>
      <c r="AWI34" s="199"/>
      <c r="AWJ34" s="196"/>
      <c r="AWK34" s="196"/>
      <c r="AWL34" s="196"/>
      <c r="AWM34" s="196"/>
      <c r="AWN34" s="196"/>
      <c r="AWO34" s="198"/>
      <c r="AWP34" s="196"/>
      <c r="AWQ34" s="196"/>
      <c r="AWR34" s="196"/>
      <c r="AWS34" s="196"/>
      <c r="AWT34" s="196"/>
      <c r="AWU34" s="199"/>
      <c r="AWV34" s="196"/>
      <c r="AWW34" s="196"/>
      <c r="AWX34" s="196"/>
      <c r="AWY34" s="196"/>
      <c r="AWZ34" s="196"/>
      <c r="AXA34" s="198"/>
      <c r="AXB34" s="196"/>
      <c r="AXC34" s="196"/>
      <c r="AXD34" s="196"/>
      <c r="AXE34" s="196"/>
      <c r="AXF34" s="196"/>
      <c r="AXG34" s="199"/>
      <c r="AXH34" s="196"/>
      <c r="AXI34" s="196"/>
      <c r="AXJ34" s="196"/>
      <c r="AXK34" s="196"/>
      <c r="AXL34" s="196"/>
      <c r="AXM34" s="198"/>
      <c r="AXN34" s="196"/>
      <c r="AXO34" s="196"/>
      <c r="AXP34" s="196"/>
      <c r="AXQ34" s="196"/>
      <c r="AXR34" s="196"/>
      <c r="AXS34" s="199"/>
      <c r="AXT34" s="196"/>
      <c r="AXU34" s="196"/>
      <c r="AXV34" s="196"/>
      <c r="AXW34" s="196"/>
      <c r="AXX34" s="196"/>
      <c r="AXY34" s="200"/>
      <c r="AXZ34" s="195"/>
      <c r="AYA34" s="196"/>
      <c r="AYB34" s="196"/>
      <c r="AYC34" s="196"/>
      <c r="AYD34" s="196"/>
      <c r="AYE34" s="197"/>
      <c r="AYF34" s="196"/>
      <c r="AYG34" s="196"/>
      <c r="AYH34" s="196"/>
      <c r="AYI34" s="196"/>
      <c r="AYJ34" s="196"/>
      <c r="AYK34" s="198"/>
      <c r="AYL34" s="196"/>
      <c r="AYM34" s="196"/>
      <c r="AYN34" s="196"/>
      <c r="AYO34" s="196"/>
      <c r="AYP34" s="196"/>
      <c r="AYQ34" s="199"/>
      <c r="AYR34" s="196"/>
      <c r="AYS34" s="196"/>
      <c r="AYT34" s="196"/>
      <c r="AYU34" s="196"/>
      <c r="AYV34" s="196"/>
      <c r="AYW34" s="198"/>
      <c r="AYX34" s="196"/>
      <c r="AYY34" s="196"/>
      <c r="AYZ34" s="196"/>
      <c r="AZA34" s="196"/>
      <c r="AZB34" s="196"/>
      <c r="AZC34" s="199"/>
      <c r="AZD34" s="196"/>
      <c r="AZE34" s="196"/>
      <c r="AZF34" s="196"/>
      <c r="AZG34" s="196"/>
      <c r="AZH34" s="196"/>
      <c r="AZI34" s="198"/>
      <c r="AZJ34" s="196"/>
      <c r="AZK34" s="196"/>
      <c r="AZL34" s="196"/>
      <c r="AZM34" s="196"/>
      <c r="AZN34" s="196"/>
      <c r="AZO34" s="199"/>
      <c r="AZP34" s="196"/>
      <c r="AZQ34" s="196"/>
      <c r="AZR34" s="196"/>
      <c r="AZS34" s="196"/>
      <c r="AZT34" s="196"/>
      <c r="AZU34" s="198"/>
      <c r="AZV34" s="196"/>
      <c r="AZW34" s="196"/>
      <c r="AZX34" s="196"/>
      <c r="AZY34" s="196"/>
      <c r="AZZ34" s="196"/>
      <c r="BAA34" s="199"/>
      <c r="BAB34" s="196"/>
      <c r="BAC34" s="196"/>
      <c r="BAD34" s="196"/>
      <c r="BAE34" s="196"/>
      <c r="BAF34" s="196"/>
      <c r="BAG34" s="200"/>
      <c r="BAH34" s="195"/>
      <c r="BAI34" s="196"/>
      <c r="BAJ34" s="196"/>
      <c r="BAK34" s="196"/>
      <c r="BAL34" s="196"/>
      <c r="BAM34" s="197"/>
      <c r="BAN34" s="196"/>
      <c r="BAO34" s="196"/>
      <c r="BAP34" s="196"/>
      <c r="BAQ34" s="196"/>
      <c r="BAR34" s="196"/>
      <c r="BAS34" s="198"/>
      <c r="BAT34" s="196"/>
      <c r="BAU34" s="196"/>
      <c r="BAV34" s="196"/>
      <c r="BAW34" s="196"/>
      <c r="BAX34" s="196"/>
      <c r="BAY34" s="199"/>
      <c r="BAZ34" s="196"/>
      <c r="BBA34" s="196"/>
      <c r="BBB34" s="196"/>
      <c r="BBC34" s="196"/>
      <c r="BBD34" s="196"/>
      <c r="BBE34" s="198"/>
      <c r="BBF34" s="196"/>
      <c r="BBG34" s="196"/>
      <c r="BBH34" s="196"/>
      <c r="BBI34" s="196"/>
      <c r="BBJ34" s="196"/>
      <c r="BBK34" s="199"/>
      <c r="BBL34" s="196"/>
      <c r="BBM34" s="196"/>
      <c r="BBN34" s="196"/>
      <c r="BBO34" s="196"/>
      <c r="BBP34" s="196"/>
      <c r="BBQ34" s="198"/>
      <c r="BBR34" s="196"/>
      <c r="BBS34" s="196"/>
      <c r="BBT34" s="196"/>
      <c r="BBU34" s="196"/>
      <c r="BBV34" s="196"/>
      <c r="BBW34" s="199"/>
      <c r="BBX34" s="196"/>
      <c r="BBY34" s="196"/>
      <c r="BBZ34" s="196"/>
      <c r="BCA34" s="196"/>
      <c r="BCB34" s="196"/>
      <c r="BCC34" s="198"/>
      <c r="BCD34" s="196"/>
      <c r="BCE34" s="196"/>
      <c r="BCF34" s="196"/>
      <c r="BCG34" s="196"/>
      <c r="BCH34" s="196"/>
      <c r="BCI34" s="199"/>
      <c r="BCJ34" s="196"/>
      <c r="BCK34" s="196"/>
      <c r="BCL34" s="196"/>
      <c r="BCM34" s="196"/>
      <c r="BCN34" s="196"/>
      <c r="BCO34" s="200"/>
      <c r="BCP34" s="195"/>
      <c r="BCQ34" s="196"/>
      <c r="BCR34" s="196"/>
      <c r="BCS34" s="196"/>
      <c r="BCT34" s="196"/>
      <c r="BCU34" s="197"/>
      <c r="BCV34" s="196"/>
      <c r="BCW34" s="196"/>
      <c r="BCX34" s="196"/>
      <c r="BCY34" s="196"/>
      <c r="BCZ34" s="196"/>
      <c r="BDA34" s="198"/>
      <c r="BDB34" s="196"/>
      <c r="BDC34" s="196"/>
      <c r="BDD34" s="196"/>
      <c r="BDE34" s="196"/>
      <c r="BDF34" s="196"/>
      <c r="BDG34" s="199"/>
      <c r="BDH34" s="196"/>
      <c r="BDI34" s="196"/>
      <c r="BDJ34" s="196"/>
      <c r="BDK34" s="196"/>
      <c r="BDL34" s="196"/>
      <c r="BDM34" s="198"/>
      <c r="BDN34" s="196"/>
      <c r="BDO34" s="196"/>
      <c r="BDP34" s="196"/>
      <c r="BDQ34" s="196"/>
      <c r="BDR34" s="196"/>
      <c r="BDS34" s="199"/>
      <c r="BDT34" s="196"/>
      <c r="BDU34" s="196"/>
      <c r="BDV34" s="196"/>
      <c r="BDW34" s="196"/>
      <c r="BDX34" s="196"/>
      <c r="BDY34" s="198"/>
      <c r="BDZ34" s="196"/>
      <c r="BEA34" s="196"/>
      <c r="BEB34" s="196"/>
      <c r="BEC34" s="196"/>
      <c r="BED34" s="196"/>
      <c r="BEE34" s="199"/>
      <c r="BEF34" s="196"/>
      <c r="BEG34" s="196"/>
      <c r="BEH34" s="196"/>
      <c r="BEI34" s="196"/>
      <c r="BEJ34" s="196"/>
      <c r="BEK34" s="198"/>
      <c r="BEL34" s="196"/>
      <c r="BEM34" s="196"/>
      <c r="BEN34" s="196"/>
      <c r="BEO34" s="196"/>
      <c r="BEP34" s="196"/>
      <c r="BEQ34" s="199"/>
      <c r="BER34" s="196"/>
      <c r="BES34" s="196"/>
      <c r="BET34" s="196"/>
      <c r="BEU34" s="196"/>
      <c r="BEV34" s="196"/>
      <c r="BEW34" s="200"/>
      <c r="BEX34" s="195"/>
      <c r="BEY34" s="196"/>
      <c r="BEZ34" s="196"/>
      <c r="BFA34" s="196"/>
      <c r="BFB34" s="196"/>
      <c r="BFC34" s="197"/>
      <c r="BFD34" s="196"/>
      <c r="BFE34" s="196"/>
      <c r="BFF34" s="196"/>
      <c r="BFG34" s="196"/>
      <c r="BFH34" s="196"/>
      <c r="BFI34" s="198"/>
      <c r="BFJ34" s="196"/>
      <c r="BFK34" s="196"/>
      <c r="BFL34" s="196"/>
      <c r="BFM34" s="196"/>
      <c r="BFN34" s="196"/>
      <c r="BFO34" s="199"/>
      <c r="BFP34" s="196"/>
      <c r="BFQ34" s="196"/>
      <c r="BFR34" s="196"/>
      <c r="BFS34" s="196"/>
      <c r="BFT34" s="196"/>
      <c r="BFU34" s="198"/>
      <c r="BFV34" s="196"/>
      <c r="BFW34" s="196"/>
      <c r="BFX34" s="196"/>
      <c r="BFY34" s="196"/>
      <c r="BFZ34" s="196"/>
      <c r="BGA34" s="199"/>
      <c r="BGB34" s="196"/>
      <c r="BGC34" s="196"/>
      <c r="BGD34" s="196"/>
      <c r="BGE34" s="196"/>
      <c r="BGF34" s="196"/>
      <c r="BGG34" s="198"/>
      <c r="BGH34" s="196"/>
      <c r="BGI34" s="196"/>
      <c r="BGJ34" s="196"/>
      <c r="BGK34" s="196"/>
      <c r="BGL34" s="196"/>
      <c r="BGM34" s="199"/>
      <c r="BGN34" s="196"/>
      <c r="BGO34" s="196"/>
      <c r="BGP34" s="196"/>
      <c r="BGQ34" s="196"/>
      <c r="BGR34" s="196"/>
      <c r="BGS34" s="198"/>
      <c r="BGT34" s="196"/>
      <c r="BGU34" s="196"/>
      <c r="BGV34" s="196"/>
      <c r="BGW34" s="196"/>
      <c r="BGX34" s="196"/>
      <c r="BGY34" s="199"/>
      <c r="BGZ34" s="196"/>
      <c r="BHA34" s="196"/>
      <c r="BHB34" s="196"/>
      <c r="BHC34" s="196"/>
      <c r="BHD34" s="196"/>
      <c r="BHE34" s="200"/>
      <c r="BHF34" s="187"/>
      <c r="BHG34" s="188"/>
      <c r="BHH34" s="188"/>
      <c r="BHI34" s="188"/>
      <c r="BHJ34" s="188"/>
      <c r="BHK34" s="188"/>
      <c r="BHL34" s="188"/>
      <c r="BHM34" s="188"/>
      <c r="BHN34" s="188"/>
      <c r="BHO34" s="188"/>
      <c r="BHP34" s="188"/>
      <c r="BHQ34" s="188"/>
      <c r="BHR34" s="188"/>
      <c r="BHS34" s="188"/>
      <c r="BHT34" s="188"/>
      <c r="BHU34" s="188"/>
      <c r="BHV34" s="188"/>
      <c r="BHW34" s="188"/>
      <c r="BHX34" s="188"/>
      <c r="BHY34" s="188"/>
      <c r="BHZ34" s="188"/>
      <c r="BIA34" s="188"/>
      <c r="BIB34" s="188"/>
      <c r="BIC34" s="188"/>
      <c r="BID34" s="188"/>
      <c r="BIE34" s="188"/>
      <c r="BIF34" s="188"/>
      <c r="BIG34" s="188"/>
      <c r="BIH34" s="188"/>
      <c r="BII34" s="188"/>
      <c r="BIJ34" s="188"/>
      <c r="BIK34" s="188"/>
      <c r="BIL34" s="188"/>
      <c r="BIM34" s="188"/>
      <c r="BIN34" s="188"/>
      <c r="BIO34" s="188"/>
      <c r="BIP34" s="188"/>
    </row>
    <row r="35" spans="1:1603" ht="20.100000000000001" customHeight="1" x14ac:dyDescent="0.25">
      <c r="A35" s="78" t="s">
        <v>49</v>
      </c>
      <c r="B35" s="51" t="str">
        <f>IF(LEN(C55)=0,"",C55)</f>
        <v>Réalisation - Responsive</v>
      </c>
      <c r="C35" s="230" t="s">
        <v>74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71"/>
      <c r="WI35" s="172"/>
      <c r="WJ35" s="172"/>
      <c r="WK35" s="172"/>
      <c r="WL35" s="172"/>
      <c r="WM35" s="173"/>
      <c r="WN35" s="172"/>
      <c r="WO35" s="172"/>
      <c r="WP35" s="172"/>
      <c r="WQ35" s="172"/>
      <c r="WR35" s="172"/>
      <c r="WS35" s="174"/>
      <c r="WT35" s="172"/>
      <c r="WU35" s="172"/>
      <c r="WV35" s="172"/>
      <c r="WW35" s="172"/>
      <c r="WX35" s="172"/>
      <c r="WY35" s="175"/>
      <c r="WZ35" s="172"/>
      <c r="XA35" s="172"/>
      <c r="XB35" s="172"/>
      <c r="XC35" s="172"/>
      <c r="XD35" s="172"/>
      <c r="XE35" s="174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71"/>
      <c r="YQ35" s="172"/>
      <c r="YR35" s="172"/>
      <c r="YS35" s="172"/>
      <c r="YT35" s="172"/>
      <c r="YU35" s="173"/>
      <c r="YV35" s="172"/>
      <c r="YW35" s="172"/>
      <c r="YX35" s="172"/>
      <c r="YY35" s="172"/>
      <c r="YZ35" s="172"/>
      <c r="ZA35" s="174"/>
      <c r="ZB35" s="172"/>
      <c r="ZC35" s="172"/>
      <c r="ZD35" s="172"/>
      <c r="ZE35" s="172"/>
      <c r="ZF35" s="172"/>
      <c r="ZG35" s="175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87"/>
      <c r="BHG35" s="188"/>
      <c r="BHH35" s="188"/>
      <c r="BHI35" s="188"/>
      <c r="BHJ35" s="188"/>
      <c r="BHK35" s="188"/>
      <c r="BHL35" s="188"/>
      <c r="BHM35" s="188"/>
      <c r="BHN35" s="188"/>
      <c r="BHO35" s="188"/>
      <c r="BHP35" s="188"/>
      <c r="BHQ35" s="188"/>
      <c r="BHR35" s="188"/>
      <c r="BHS35" s="188"/>
      <c r="BHT35" s="188"/>
      <c r="BHU35" s="188"/>
      <c r="BHV35" s="188"/>
      <c r="BHW35" s="188"/>
      <c r="BHX35" s="188"/>
      <c r="BHY35" s="188"/>
      <c r="BHZ35" s="188"/>
      <c r="BIA35" s="188"/>
      <c r="BIB35" s="188"/>
      <c r="BIC35" s="188"/>
      <c r="BID35" s="188"/>
      <c r="BIE35" s="188"/>
      <c r="BIF35" s="188"/>
      <c r="BIG35" s="188"/>
      <c r="BIH35" s="188"/>
      <c r="BII35" s="188"/>
      <c r="BIJ35" s="188"/>
      <c r="BIK35" s="188"/>
      <c r="BIL35" s="188"/>
      <c r="BIM35" s="188"/>
      <c r="BIN35" s="188"/>
      <c r="BIO35" s="188"/>
      <c r="BIP35" s="188"/>
    </row>
    <row r="36" spans="1:1603" ht="20.100000000000001" customHeight="1" x14ac:dyDescent="0.25">
      <c r="A36" s="78" t="s">
        <v>50</v>
      </c>
      <c r="B36" s="51" t="str">
        <f>IF(LEN(C57)=0,"",C57)</f>
        <v>Réalisation - Tests unitaires</v>
      </c>
      <c r="C36" s="231"/>
      <c r="D36" s="120" t="str">
        <f t="shared" si="0"/>
        <v/>
      </c>
      <c r="E36" s="22">
        <v>0</v>
      </c>
      <c r="F36" s="189"/>
      <c r="G36" s="190"/>
      <c r="H36" s="190"/>
      <c r="I36" s="190"/>
      <c r="J36" s="190"/>
      <c r="K36" s="191"/>
      <c r="L36" s="190"/>
      <c r="M36" s="190"/>
      <c r="N36" s="190"/>
      <c r="O36" s="190"/>
      <c r="P36" s="190"/>
      <c r="Q36" s="192"/>
      <c r="R36" s="190"/>
      <c r="S36" s="190"/>
      <c r="T36" s="190"/>
      <c r="U36" s="190"/>
      <c r="V36" s="190"/>
      <c r="W36" s="193"/>
      <c r="X36" s="190"/>
      <c r="Y36" s="190"/>
      <c r="Z36" s="190"/>
      <c r="AA36" s="190"/>
      <c r="AB36" s="190"/>
      <c r="AC36" s="192"/>
      <c r="AD36" s="190"/>
      <c r="AE36" s="190"/>
      <c r="AF36" s="190"/>
      <c r="AG36" s="190"/>
      <c r="AH36" s="190"/>
      <c r="AI36" s="193"/>
      <c r="AJ36" s="190"/>
      <c r="AK36" s="190"/>
      <c r="AL36" s="190"/>
      <c r="AM36" s="190"/>
      <c r="AN36" s="190"/>
      <c r="AO36" s="192"/>
      <c r="AP36" s="190"/>
      <c r="AQ36" s="190"/>
      <c r="AR36" s="190"/>
      <c r="AS36" s="190"/>
      <c r="AT36" s="190"/>
      <c r="AU36" s="193"/>
      <c r="AV36" s="190"/>
      <c r="AW36" s="190"/>
      <c r="AX36" s="190"/>
      <c r="AY36" s="190"/>
      <c r="AZ36" s="190"/>
      <c r="BA36" s="192"/>
      <c r="BB36" s="190"/>
      <c r="BC36" s="190"/>
      <c r="BD36" s="190"/>
      <c r="BE36" s="190"/>
      <c r="BF36" s="190"/>
      <c r="BG36" s="193"/>
      <c r="BH36" s="190"/>
      <c r="BI36" s="190"/>
      <c r="BJ36" s="190"/>
      <c r="BK36" s="190"/>
      <c r="BL36" s="190"/>
      <c r="BM36" s="194"/>
      <c r="BN36" s="189"/>
      <c r="BO36" s="190"/>
      <c r="BP36" s="190"/>
      <c r="BQ36" s="190"/>
      <c r="BR36" s="190"/>
      <c r="BS36" s="191"/>
      <c r="BT36" s="190"/>
      <c r="BU36" s="190"/>
      <c r="BV36" s="190"/>
      <c r="BW36" s="190"/>
      <c r="BX36" s="190"/>
      <c r="BY36" s="192"/>
      <c r="BZ36" s="190"/>
      <c r="CA36" s="190"/>
      <c r="CB36" s="190"/>
      <c r="CC36" s="190"/>
      <c r="CD36" s="190"/>
      <c r="CE36" s="193"/>
      <c r="CF36" s="190"/>
      <c r="CG36" s="190"/>
      <c r="CH36" s="190"/>
      <c r="CI36" s="190"/>
      <c r="CJ36" s="190"/>
      <c r="CK36" s="192"/>
      <c r="CL36" s="190"/>
      <c r="CM36" s="190"/>
      <c r="CN36" s="190"/>
      <c r="CO36" s="190"/>
      <c r="CP36" s="190"/>
      <c r="CQ36" s="193"/>
      <c r="CR36" s="190"/>
      <c r="CS36" s="190"/>
      <c r="CT36" s="190"/>
      <c r="CU36" s="190"/>
      <c r="CV36" s="190"/>
      <c r="CW36" s="192"/>
      <c r="CX36" s="190"/>
      <c r="CY36" s="190"/>
      <c r="CZ36" s="190"/>
      <c r="DA36" s="190"/>
      <c r="DB36" s="190"/>
      <c r="DC36" s="193"/>
      <c r="DD36" s="190"/>
      <c r="DE36" s="190"/>
      <c r="DF36" s="190"/>
      <c r="DG36" s="190"/>
      <c r="DH36" s="190"/>
      <c r="DI36" s="192"/>
      <c r="DJ36" s="190"/>
      <c r="DK36" s="190"/>
      <c r="DL36" s="190"/>
      <c r="DM36" s="190"/>
      <c r="DN36" s="190"/>
      <c r="DO36" s="193"/>
      <c r="DP36" s="190"/>
      <c r="DQ36" s="190"/>
      <c r="DR36" s="190"/>
      <c r="DS36" s="190"/>
      <c r="DT36" s="190"/>
      <c r="DU36" s="194"/>
      <c r="DV36" s="189"/>
      <c r="DW36" s="190"/>
      <c r="DX36" s="190"/>
      <c r="DY36" s="190"/>
      <c r="DZ36" s="190"/>
      <c r="EA36" s="191"/>
      <c r="EB36" s="190"/>
      <c r="EC36" s="190"/>
      <c r="ED36" s="190"/>
      <c r="EE36" s="190"/>
      <c r="EF36" s="190"/>
      <c r="EG36" s="192"/>
      <c r="EH36" s="190"/>
      <c r="EI36" s="190"/>
      <c r="EJ36" s="190"/>
      <c r="EK36" s="190"/>
      <c r="EL36" s="190"/>
      <c r="EM36" s="193"/>
      <c r="EN36" s="190"/>
      <c r="EO36" s="190"/>
      <c r="EP36" s="190"/>
      <c r="EQ36" s="190"/>
      <c r="ER36" s="190"/>
      <c r="ES36" s="192"/>
      <c r="ET36" s="190"/>
      <c r="EU36" s="190"/>
      <c r="EV36" s="190"/>
      <c r="EW36" s="190"/>
      <c r="EX36" s="190"/>
      <c r="EY36" s="193"/>
      <c r="EZ36" s="190"/>
      <c r="FA36" s="190"/>
      <c r="FB36" s="190"/>
      <c r="FC36" s="190"/>
      <c r="FD36" s="190"/>
      <c r="FE36" s="192"/>
      <c r="FF36" s="190"/>
      <c r="FG36" s="190"/>
      <c r="FH36" s="190"/>
      <c r="FI36" s="190"/>
      <c r="FJ36" s="190"/>
      <c r="FK36" s="193"/>
      <c r="FL36" s="190"/>
      <c r="FM36" s="190"/>
      <c r="FN36" s="190"/>
      <c r="FO36" s="190"/>
      <c r="FP36" s="190"/>
      <c r="FQ36" s="192"/>
      <c r="FR36" s="190"/>
      <c r="FS36" s="190"/>
      <c r="FT36" s="190"/>
      <c r="FU36" s="190"/>
      <c r="FV36" s="190"/>
      <c r="FW36" s="193"/>
      <c r="FX36" s="190"/>
      <c r="FY36" s="190"/>
      <c r="FZ36" s="190"/>
      <c r="GA36" s="190"/>
      <c r="GB36" s="190"/>
      <c r="GC36" s="194"/>
      <c r="GD36" s="189"/>
      <c r="GE36" s="190"/>
      <c r="GF36" s="190"/>
      <c r="GG36" s="190"/>
      <c r="GH36" s="190"/>
      <c r="GI36" s="191"/>
      <c r="GJ36" s="190"/>
      <c r="GK36" s="190"/>
      <c r="GL36" s="190"/>
      <c r="GM36" s="190"/>
      <c r="GN36" s="190"/>
      <c r="GO36" s="192"/>
      <c r="GP36" s="190"/>
      <c r="GQ36" s="190"/>
      <c r="GR36" s="190"/>
      <c r="GS36" s="190"/>
      <c r="GT36" s="190"/>
      <c r="GU36" s="193"/>
      <c r="GV36" s="190"/>
      <c r="GW36" s="190"/>
      <c r="GX36" s="190"/>
      <c r="GY36" s="190"/>
      <c r="GZ36" s="190"/>
      <c r="HA36" s="192"/>
      <c r="HB36" s="190"/>
      <c r="HC36" s="190"/>
      <c r="HD36" s="190"/>
      <c r="HE36" s="190"/>
      <c r="HF36" s="190"/>
      <c r="HG36" s="193"/>
      <c r="HH36" s="190"/>
      <c r="HI36" s="190"/>
      <c r="HJ36" s="190"/>
      <c r="HK36" s="190"/>
      <c r="HL36" s="190"/>
      <c r="HM36" s="192"/>
      <c r="HN36" s="190"/>
      <c r="HO36" s="190"/>
      <c r="HP36" s="190"/>
      <c r="HQ36" s="190"/>
      <c r="HR36" s="190"/>
      <c r="HS36" s="193"/>
      <c r="HT36" s="190"/>
      <c r="HU36" s="190"/>
      <c r="HV36" s="190"/>
      <c r="HW36" s="190"/>
      <c r="HX36" s="190"/>
      <c r="HY36" s="192"/>
      <c r="HZ36" s="190"/>
      <c r="IA36" s="190"/>
      <c r="IB36" s="190"/>
      <c r="IC36" s="190"/>
      <c r="ID36" s="190"/>
      <c r="IE36" s="193"/>
      <c r="IF36" s="190"/>
      <c r="IG36" s="190"/>
      <c r="IH36" s="190"/>
      <c r="II36" s="190"/>
      <c r="IJ36" s="190"/>
      <c r="IK36" s="194"/>
      <c r="IL36" s="189"/>
      <c r="IM36" s="190"/>
      <c r="IN36" s="190"/>
      <c r="IO36" s="190"/>
      <c r="IP36" s="190"/>
      <c r="IQ36" s="191"/>
      <c r="IR36" s="190"/>
      <c r="IS36" s="190"/>
      <c r="IT36" s="190"/>
      <c r="IU36" s="190"/>
      <c r="IV36" s="190"/>
      <c r="IW36" s="192"/>
      <c r="IX36" s="190"/>
      <c r="IY36" s="190"/>
      <c r="IZ36" s="190"/>
      <c r="JA36" s="190"/>
      <c r="JB36" s="190"/>
      <c r="JC36" s="193"/>
      <c r="JD36" s="190"/>
      <c r="JE36" s="190"/>
      <c r="JF36" s="190"/>
      <c r="JG36" s="190"/>
      <c r="JH36" s="190"/>
      <c r="JI36" s="192"/>
      <c r="JJ36" s="190"/>
      <c r="JK36" s="190"/>
      <c r="JL36" s="190"/>
      <c r="JM36" s="190"/>
      <c r="JN36" s="190"/>
      <c r="JO36" s="193"/>
      <c r="JP36" s="190"/>
      <c r="JQ36" s="190"/>
      <c r="JR36" s="190"/>
      <c r="JS36" s="190"/>
      <c r="JT36" s="190"/>
      <c r="JU36" s="192"/>
      <c r="JV36" s="190"/>
      <c r="JW36" s="190"/>
      <c r="JX36" s="190"/>
      <c r="JY36" s="190"/>
      <c r="JZ36" s="190"/>
      <c r="KA36" s="193"/>
      <c r="KB36" s="190"/>
      <c r="KC36" s="190"/>
      <c r="KD36" s="190"/>
      <c r="KE36" s="190"/>
      <c r="KF36" s="190"/>
      <c r="KG36" s="192"/>
      <c r="KH36" s="190"/>
      <c r="KI36" s="190"/>
      <c r="KJ36" s="190"/>
      <c r="KK36" s="190"/>
      <c r="KL36" s="190"/>
      <c r="KM36" s="193"/>
      <c r="KN36" s="190"/>
      <c r="KO36" s="190"/>
      <c r="KP36" s="190"/>
      <c r="KQ36" s="190"/>
      <c r="KR36" s="190"/>
      <c r="KS36" s="194"/>
      <c r="KT36" s="189"/>
      <c r="KU36" s="190"/>
      <c r="KV36" s="190"/>
      <c r="KW36" s="190"/>
      <c r="KX36" s="190"/>
      <c r="KY36" s="191"/>
      <c r="KZ36" s="190"/>
      <c r="LA36" s="190"/>
      <c r="LB36" s="190"/>
      <c r="LC36" s="190"/>
      <c r="LD36" s="190"/>
      <c r="LE36" s="192"/>
      <c r="LF36" s="190"/>
      <c r="LG36" s="190"/>
      <c r="LH36" s="190"/>
      <c r="LI36" s="190"/>
      <c r="LJ36" s="190"/>
      <c r="LK36" s="193"/>
      <c r="LL36" s="190"/>
      <c r="LM36" s="190"/>
      <c r="LN36" s="190"/>
      <c r="LO36" s="190"/>
      <c r="LP36" s="190"/>
      <c r="LQ36" s="192"/>
      <c r="LR36" s="190"/>
      <c r="LS36" s="190"/>
      <c r="LT36" s="190"/>
      <c r="LU36" s="190"/>
      <c r="LV36" s="190"/>
      <c r="LW36" s="193"/>
      <c r="LX36" s="190"/>
      <c r="LY36" s="190"/>
      <c r="LZ36" s="190"/>
      <c r="MA36" s="190"/>
      <c r="MB36" s="190"/>
      <c r="MC36" s="192"/>
      <c r="MD36" s="190"/>
      <c r="ME36" s="190"/>
      <c r="MF36" s="190"/>
      <c r="MG36" s="190"/>
      <c r="MH36" s="190"/>
      <c r="MI36" s="193"/>
      <c r="MJ36" s="190"/>
      <c r="MK36" s="190"/>
      <c r="ML36" s="190"/>
      <c r="MM36" s="190"/>
      <c r="MN36" s="190"/>
      <c r="MO36" s="192"/>
      <c r="MP36" s="190"/>
      <c r="MQ36" s="190"/>
      <c r="MR36" s="190"/>
      <c r="MS36" s="190"/>
      <c r="MT36" s="190"/>
      <c r="MU36" s="193"/>
      <c r="MV36" s="190"/>
      <c r="MW36" s="190"/>
      <c r="MX36" s="190"/>
      <c r="MY36" s="190"/>
      <c r="MZ36" s="190"/>
      <c r="NA36" s="194"/>
      <c r="NB36" s="189"/>
      <c r="NC36" s="190"/>
      <c r="ND36" s="190"/>
      <c r="NE36" s="190"/>
      <c r="NF36" s="190"/>
      <c r="NG36" s="191"/>
      <c r="NH36" s="190"/>
      <c r="NI36" s="190"/>
      <c r="NJ36" s="190"/>
      <c r="NK36" s="190"/>
      <c r="NL36" s="190"/>
      <c r="NM36" s="192"/>
      <c r="NN36" s="190"/>
      <c r="NO36" s="190"/>
      <c r="NP36" s="190"/>
      <c r="NQ36" s="190"/>
      <c r="NR36" s="190"/>
      <c r="NS36" s="193"/>
      <c r="NT36" s="190"/>
      <c r="NU36" s="190"/>
      <c r="NV36" s="190"/>
      <c r="NW36" s="190"/>
      <c r="NX36" s="190"/>
      <c r="NY36" s="192"/>
      <c r="NZ36" s="190"/>
      <c r="OA36" s="190"/>
      <c r="OB36" s="190"/>
      <c r="OC36" s="190"/>
      <c r="OD36" s="190"/>
      <c r="OE36" s="193"/>
      <c r="OF36" s="190"/>
      <c r="OG36" s="190"/>
      <c r="OH36" s="190"/>
      <c r="OI36" s="190"/>
      <c r="OJ36" s="190"/>
      <c r="OK36" s="192"/>
      <c r="OL36" s="190"/>
      <c r="OM36" s="190"/>
      <c r="ON36" s="190"/>
      <c r="OO36" s="190"/>
      <c r="OP36" s="190"/>
      <c r="OQ36" s="193"/>
      <c r="OR36" s="190"/>
      <c r="OS36" s="190"/>
      <c r="OT36" s="190"/>
      <c r="OU36" s="190"/>
      <c r="OV36" s="190"/>
      <c r="OW36" s="192"/>
      <c r="OX36" s="190"/>
      <c r="OY36" s="190"/>
      <c r="OZ36" s="190"/>
      <c r="PA36" s="190"/>
      <c r="PB36" s="190"/>
      <c r="PC36" s="193"/>
      <c r="PD36" s="190"/>
      <c r="PE36" s="190"/>
      <c r="PF36" s="190"/>
      <c r="PG36" s="190"/>
      <c r="PH36" s="190"/>
      <c r="PI36" s="194"/>
      <c r="PJ36" s="189"/>
      <c r="PK36" s="190"/>
      <c r="PL36" s="190"/>
      <c r="PM36" s="190"/>
      <c r="PN36" s="190"/>
      <c r="PO36" s="191"/>
      <c r="PP36" s="190"/>
      <c r="PQ36" s="190"/>
      <c r="PR36" s="190"/>
      <c r="PS36" s="190"/>
      <c r="PT36" s="190"/>
      <c r="PU36" s="192"/>
      <c r="PV36" s="190"/>
      <c r="PW36" s="190"/>
      <c r="PX36" s="190"/>
      <c r="PY36" s="190"/>
      <c r="PZ36" s="190"/>
      <c r="QA36" s="193"/>
      <c r="QB36" s="190"/>
      <c r="QC36" s="190"/>
      <c r="QD36" s="190"/>
      <c r="QE36" s="190"/>
      <c r="QF36" s="190"/>
      <c r="QG36" s="192"/>
      <c r="QH36" s="190"/>
      <c r="QI36" s="190"/>
      <c r="QJ36" s="190"/>
      <c r="QK36" s="190"/>
      <c r="QL36" s="190"/>
      <c r="QM36" s="193"/>
      <c r="QN36" s="190"/>
      <c r="QO36" s="190"/>
      <c r="QP36" s="190"/>
      <c r="QQ36" s="190"/>
      <c r="QR36" s="190"/>
      <c r="QS36" s="192"/>
      <c r="QT36" s="190"/>
      <c r="QU36" s="190"/>
      <c r="QV36" s="190"/>
      <c r="QW36" s="190"/>
      <c r="QX36" s="190"/>
      <c r="QY36" s="193"/>
      <c r="QZ36" s="190"/>
      <c r="RA36" s="190"/>
      <c r="RB36" s="190"/>
      <c r="RC36" s="190"/>
      <c r="RD36" s="190"/>
      <c r="RE36" s="192"/>
      <c r="RF36" s="190"/>
      <c r="RG36" s="190"/>
      <c r="RH36" s="190"/>
      <c r="RI36" s="190"/>
      <c r="RJ36" s="190"/>
      <c r="RK36" s="193"/>
      <c r="RL36" s="190"/>
      <c r="RM36" s="190"/>
      <c r="RN36" s="190"/>
      <c r="RO36" s="190"/>
      <c r="RP36" s="190"/>
      <c r="RQ36" s="194"/>
      <c r="RR36" s="189"/>
      <c r="RS36" s="190"/>
      <c r="RT36" s="190"/>
      <c r="RU36" s="190"/>
      <c r="RV36" s="190"/>
      <c r="RW36" s="191"/>
      <c r="RX36" s="190"/>
      <c r="RY36" s="190"/>
      <c r="RZ36" s="190"/>
      <c r="SA36" s="190"/>
      <c r="SB36" s="190"/>
      <c r="SC36" s="192"/>
      <c r="SD36" s="190"/>
      <c r="SE36" s="190"/>
      <c r="SF36" s="190"/>
      <c r="SG36" s="190"/>
      <c r="SH36" s="190"/>
      <c r="SI36" s="193"/>
      <c r="SJ36" s="190"/>
      <c r="SK36" s="190"/>
      <c r="SL36" s="190"/>
      <c r="SM36" s="190"/>
      <c r="SN36" s="190"/>
      <c r="SO36" s="192"/>
      <c r="SP36" s="190"/>
      <c r="SQ36" s="190"/>
      <c r="SR36" s="190"/>
      <c r="SS36" s="190"/>
      <c r="ST36" s="190"/>
      <c r="SU36" s="193"/>
      <c r="SV36" s="190"/>
      <c r="SW36" s="190"/>
      <c r="SX36" s="190"/>
      <c r="SY36" s="190"/>
      <c r="SZ36" s="190"/>
      <c r="TA36" s="192"/>
      <c r="TB36" s="190"/>
      <c r="TC36" s="190"/>
      <c r="TD36" s="190"/>
      <c r="TE36" s="190"/>
      <c r="TF36" s="190"/>
      <c r="TG36" s="193"/>
      <c r="TH36" s="190"/>
      <c r="TI36" s="190"/>
      <c r="TJ36" s="190"/>
      <c r="TK36" s="190"/>
      <c r="TL36" s="190"/>
      <c r="TM36" s="192"/>
      <c r="TN36" s="190"/>
      <c r="TO36" s="190"/>
      <c r="TP36" s="190"/>
      <c r="TQ36" s="190"/>
      <c r="TR36" s="190"/>
      <c r="TS36" s="193"/>
      <c r="TT36" s="190"/>
      <c r="TU36" s="190"/>
      <c r="TV36" s="190"/>
      <c r="TW36" s="190"/>
      <c r="TX36" s="190"/>
      <c r="TY36" s="194"/>
      <c r="TZ36" s="189"/>
      <c r="UA36" s="190"/>
      <c r="UB36" s="190"/>
      <c r="UC36" s="190"/>
      <c r="UD36" s="190"/>
      <c r="UE36" s="191"/>
      <c r="UF36" s="190"/>
      <c r="UG36" s="190"/>
      <c r="UH36" s="190"/>
      <c r="UI36" s="190"/>
      <c r="UJ36" s="190"/>
      <c r="UK36" s="192"/>
      <c r="UL36" s="190"/>
      <c r="UM36" s="190"/>
      <c r="UN36" s="190"/>
      <c r="UO36" s="190"/>
      <c r="UP36" s="190"/>
      <c r="UQ36" s="193"/>
      <c r="UR36" s="190"/>
      <c r="US36" s="190"/>
      <c r="UT36" s="190"/>
      <c r="UU36" s="190"/>
      <c r="UV36" s="190"/>
      <c r="UW36" s="192"/>
      <c r="UX36" s="190"/>
      <c r="UY36" s="190"/>
      <c r="UZ36" s="190"/>
      <c r="VA36" s="190"/>
      <c r="VB36" s="190"/>
      <c r="VC36" s="193"/>
      <c r="VD36" s="190"/>
      <c r="VE36" s="190"/>
      <c r="VF36" s="190"/>
      <c r="VG36" s="190"/>
      <c r="VH36" s="190"/>
      <c r="VI36" s="192"/>
      <c r="VJ36" s="190"/>
      <c r="VK36" s="190"/>
      <c r="VL36" s="190"/>
      <c r="VM36" s="190"/>
      <c r="VN36" s="190"/>
      <c r="VO36" s="193"/>
      <c r="VP36" s="190"/>
      <c r="VQ36" s="190"/>
      <c r="VR36" s="190"/>
      <c r="VS36" s="190"/>
      <c r="VT36" s="190"/>
      <c r="VU36" s="192"/>
      <c r="VV36" s="190"/>
      <c r="VW36" s="190"/>
      <c r="VX36" s="190"/>
      <c r="VY36" s="190"/>
      <c r="VZ36" s="190"/>
      <c r="WA36" s="193"/>
      <c r="WB36" s="190"/>
      <c r="WC36" s="190"/>
      <c r="WD36" s="190"/>
      <c r="WE36" s="190"/>
      <c r="WF36" s="190"/>
      <c r="WG36" s="194"/>
      <c r="WH36" s="189"/>
      <c r="WI36" s="190"/>
      <c r="WJ36" s="190"/>
      <c r="WK36" s="190"/>
      <c r="WL36" s="190"/>
      <c r="WM36" s="191"/>
      <c r="WN36" s="190"/>
      <c r="WO36" s="190"/>
      <c r="WP36" s="190"/>
      <c r="WQ36" s="190"/>
      <c r="WR36" s="190"/>
      <c r="WS36" s="192"/>
      <c r="WT36" s="190"/>
      <c r="WU36" s="190"/>
      <c r="WV36" s="190"/>
      <c r="WW36" s="190"/>
      <c r="WX36" s="190"/>
      <c r="WY36" s="193"/>
      <c r="WZ36" s="190"/>
      <c r="XA36" s="190"/>
      <c r="XB36" s="190"/>
      <c r="XC36" s="190"/>
      <c r="XD36" s="190"/>
      <c r="XE36" s="192"/>
      <c r="XF36" s="190"/>
      <c r="XG36" s="190"/>
      <c r="XH36" s="190"/>
      <c r="XI36" s="190"/>
      <c r="XJ36" s="190"/>
      <c r="XK36" s="193"/>
      <c r="XL36" s="190"/>
      <c r="XM36" s="190"/>
      <c r="XN36" s="190"/>
      <c r="XO36" s="190"/>
      <c r="XP36" s="190"/>
      <c r="XQ36" s="192"/>
      <c r="XR36" s="190"/>
      <c r="XS36" s="190"/>
      <c r="XT36" s="190"/>
      <c r="XU36" s="190"/>
      <c r="XV36" s="190"/>
      <c r="XW36" s="193"/>
      <c r="XX36" s="190"/>
      <c r="XY36" s="190"/>
      <c r="XZ36" s="190"/>
      <c r="YA36" s="190"/>
      <c r="YB36" s="190"/>
      <c r="YC36" s="192"/>
      <c r="YD36" s="190"/>
      <c r="YE36" s="190"/>
      <c r="YF36" s="190"/>
      <c r="YG36" s="190"/>
      <c r="YH36" s="190"/>
      <c r="YI36" s="193"/>
      <c r="YJ36" s="190"/>
      <c r="YK36" s="190"/>
      <c r="YL36" s="190"/>
      <c r="YM36" s="190"/>
      <c r="YN36" s="190"/>
      <c r="YO36" s="194"/>
      <c r="YP36" s="189"/>
      <c r="YQ36" s="190"/>
      <c r="YR36" s="190"/>
      <c r="YS36" s="190"/>
      <c r="YT36" s="190"/>
      <c r="YU36" s="191"/>
      <c r="YV36" s="190"/>
      <c r="YW36" s="190"/>
      <c r="YX36" s="190"/>
      <c r="YY36" s="190"/>
      <c r="YZ36" s="190"/>
      <c r="ZA36" s="192"/>
      <c r="ZB36" s="190"/>
      <c r="ZC36" s="190"/>
      <c r="ZD36" s="190"/>
      <c r="ZE36" s="190"/>
      <c r="ZF36" s="190"/>
      <c r="ZG36" s="193"/>
      <c r="ZH36" s="190"/>
      <c r="ZI36" s="190"/>
      <c r="ZJ36" s="190"/>
      <c r="ZK36" s="190"/>
      <c r="ZL36" s="190"/>
      <c r="ZM36" s="192"/>
      <c r="ZN36" s="190"/>
      <c r="ZO36" s="190"/>
      <c r="ZP36" s="190"/>
      <c r="ZQ36" s="190"/>
      <c r="ZR36" s="190"/>
      <c r="ZS36" s="193"/>
      <c r="ZT36" s="190"/>
      <c r="ZU36" s="190"/>
      <c r="ZV36" s="190"/>
      <c r="ZW36" s="190"/>
      <c r="ZX36" s="190"/>
      <c r="ZY36" s="192"/>
      <c r="ZZ36" s="190"/>
      <c r="AAA36" s="190"/>
      <c r="AAB36" s="190"/>
      <c r="AAC36" s="190"/>
      <c r="AAD36" s="190"/>
      <c r="AAE36" s="193"/>
      <c r="AAF36" s="190"/>
      <c r="AAG36" s="190"/>
      <c r="AAH36" s="190"/>
      <c r="AAI36" s="190"/>
      <c r="AAJ36" s="190"/>
      <c r="AAK36" s="192"/>
      <c r="AAL36" s="190"/>
      <c r="AAM36" s="190"/>
      <c r="AAN36" s="190"/>
      <c r="AAO36" s="190"/>
      <c r="AAP36" s="190"/>
      <c r="AAQ36" s="193"/>
      <c r="AAR36" s="190"/>
      <c r="AAS36" s="190"/>
      <c r="AAT36" s="190"/>
      <c r="AAU36" s="190"/>
      <c r="AAV36" s="190"/>
      <c r="AAW36" s="194"/>
      <c r="AAX36" s="189"/>
      <c r="AAY36" s="190"/>
      <c r="AAZ36" s="190"/>
      <c r="ABA36" s="190"/>
      <c r="ABB36" s="190"/>
      <c r="ABC36" s="191"/>
      <c r="ABD36" s="190"/>
      <c r="ABE36" s="190"/>
      <c r="ABF36" s="190"/>
      <c r="ABG36" s="190"/>
      <c r="ABH36" s="190"/>
      <c r="ABI36" s="192"/>
      <c r="ABJ36" s="190"/>
      <c r="ABK36" s="190"/>
      <c r="ABL36" s="190"/>
      <c r="ABM36" s="190"/>
      <c r="ABN36" s="190"/>
      <c r="ABO36" s="193"/>
      <c r="ABP36" s="190"/>
      <c r="ABQ36" s="190"/>
      <c r="ABR36" s="190"/>
      <c r="ABS36" s="190"/>
      <c r="ABT36" s="190"/>
      <c r="ABU36" s="192"/>
      <c r="ABV36" s="190"/>
      <c r="ABW36" s="190"/>
      <c r="ABX36" s="190"/>
      <c r="ABY36" s="190"/>
      <c r="ABZ36" s="190"/>
      <c r="ACA36" s="193"/>
      <c r="ACB36" s="190"/>
      <c r="ACC36" s="190"/>
      <c r="ACD36" s="190"/>
      <c r="ACE36" s="190"/>
      <c r="ACF36" s="190"/>
      <c r="ACG36" s="192"/>
      <c r="ACH36" s="190"/>
      <c r="ACI36" s="190"/>
      <c r="ACJ36" s="190"/>
      <c r="ACK36" s="190"/>
      <c r="ACL36" s="190"/>
      <c r="ACM36" s="193"/>
      <c r="ACN36" s="190"/>
      <c r="ACO36" s="190"/>
      <c r="ACP36" s="190"/>
      <c r="ACQ36" s="190"/>
      <c r="ACR36" s="190"/>
      <c r="ACS36" s="192"/>
      <c r="ACT36" s="190"/>
      <c r="ACU36" s="190"/>
      <c r="ACV36" s="190"/>
      <c r="ACW36" s="190"/>
      <c r="ACX36" s="190"/>
      <c r="ACY36" s="193"/>
      <c r="ACZ36" s="190"/>
      <c r="ADA36" s="190"/>
      <c r="ADB36" s="190"/>
      <c r="ADC36" s="190"/>
      <c r="ADD36" s="190"/>
      <c r="ADE36" s="194"/>
      <c r="ADF36" s="189"/>
      <c r="ADG36" s="190"/>
      <c r="ADH36" s="190"/>
      <c r="ADI36" s="190"/>
      <c r="ADJ36" s="190"/>
      <c r="ADK36" s="191"/>
      <c r="ADL36" s="190"/>
      <c r="ADM36" s="190"/>
      <c r="ADN36" s="190"/>
      <c r="ADO36" s="190"/>
      <c r="ADP36" s="190"/>
      <c r="ADQ36" s="192"/>
      <c r="ADR36" s="190"/>
      <c r="ADS36" s="190"/>
      <c r="ADT36" s="190"/>
      <c r="ADU36" s="190"/>
      <c r="ADV36" s="190"/>
      <c r="ADW36" s="193"/>
      <c r="ADX36" s="190"/>
      <c r="ADY36" s="190"/>
      <c r="ADZ36" s="190"/>
      <c r="AEA36" s="190"/>
      <c r="AEB36" s="190"/>
      <c r="AEC36" s="192"/>
      <c r="AED36" s="190"/>
      <c r="AEE36" s="190"/>
      <c r="AEF36" s="190"/>
      <c r="AEG36" s="190"/>
      <c r="AEH36" s="190"/>
      <c r="AEI36" s="193"/>
      <c r="AEJ36" s="190"/>
      <c r="AEK36" s="190"/>
      <c r="AEL36" s="190"/>
      <c r="AEM36" s="190"/>
      <c r="AEN36" s="190"/>
      <c r="AEO36" s="192"/>
      <c r="AEP36" s="190"/>
      <c r="AEQ36" s="190"/>
      <c r="AER36" s="190"/>
      <c r="AES36" s="190"/>
      <c r="AET36" s="190"/>
      <c r="AEU36" s="193"/>
      <c r="AEV36" s="190"/>
      <c r="AEW36" s="190"/>
      <c r="AEX36" s="190"/>
      <c r="AEY36" s="190"/>
      <c r="AEZ36" s="190"/>
      <c r="AFA36" s="192"/>
      <c r="AFB36" s="190"/>
      <c r="AFC36" s="190"/>
      <c r="AFD36" s="190"/>
      <c r="AFE36" s="190"/>
      <c r="AFF36" s="190"/>
      <c r="AFG36" s="193"/>
      <c r="AFH36" s="190"/>
      <c r="AFI36" s="190"/>
      <c r="AFJ36" s="190"/>
      <c r="AFK36" s="190"/>
      <c r="AFL36" s="190"/>
      <c r="AFM36" s="194"/>
      <c r="AFN36" s="189"/>
      <c r="AFO36" s="190"/>
      <c r="AFP36" s="190"/>
      <c r="AFQ36" s="190"/>
      <c r="AFR36" s="190"/>
      <c r="AFS36" s="191"/>
      <c r="AFT36" s="190"/>
      <c r="AFU36" s="190"/>
      <c r="AFV36" s="190"/>
      <c r="AFW36" s="190"/>
      <c r="AFX36" s="190"/>
      <c r="AFY36" s="192"/>
      <c r="AFZ36" s="190"/>
      <c r="AGA36" s="190"/>
      <c r="AGB36" s="190"/>
      <c r="AGC36" s="190"/>
      <c r="AGD36" s="190"/>
      <c r="AGE36" s="193"/>
      <c r="AGF36" s="190"/>
      <c r="AGG36" s="190"/>
      <c r="AGH36" s="190"/>
      <c r="AGI36" s="190"/>
      <c r="AGJ36" s="190"/>
      <c r="AGK36" s="192"/>
      <c r="AGL36" s="190"/>
      <c r="AGM36" s="190"/>
      <c r="AGN36" s="190"/>
      <c r="AGO36" s="190"/>
      <c r="AGP36" s="190"/>
      <c r="AGQ36" s="193"/>
      <c r="AGR36" s="190"/>
      <c r="AGS36" s="190"/>
      <c r="AGT36" s="190"/>
      <c r="AGU36" s="190"/>
      <c r="AGV36" s="190"/>
      <c r="AGW36" s="192"/>
      <c r="AGX36" s="190"/>
      <c r="AGY36" s="190"/>
      <c r="AGZ36" s="190"/>
      <c r="AHA36" s="190"/>
      <c r="AHB36" s="190"/>
      <c r="AHC36" s="193"/>
      <c r="AHD36" s="190"/>
      <c r="AHE36" s="190"/>
      <c r="AHF36" s="190"/>
      <c r="AHG36" s="190"/>
      <c r="AHH36" s="190"/>
      <c r="AHI36" s="192"/>
      <c r="AHJ36" s="190"/>
      <c r="AHK36" s="190"/>
      <c r="AHL36" s="190"/>
      <c r="AHM36" s="190"/>
      <c r="AHN36" s="190"/>
      <c r="AHO36" s="193"/>
      <c r="AHP36" s="190"/>
      <c r="AHQ36" s="190"/>
      <c r="AHR36" s="190"/>
      <c r="AHS36" s="190"/>
      <c r="AHT36" s="190"/>
      <c r="AHU36" s="194"/>
      <c r="AHV36" s="189"/>
      <c r="AHW36" s="190"/>
      <c r="AHX36" s="190"/>
      <c r="AHY36" s="190"/>
      <c r="AHZ36" s="190"/>
      <c r="AIA36" s="191"/>
      <c r="AIB36" s="190"/>
      <c r="AIC36" s="190"/>
      <c r="AID36" s="190"/>
      <c r="AIE36" s="190"/>
      <c r="AIF36" s="190"/>
      <c r="AIG36" s="192"/>
      <c r="AIH36" s="190"/>
      <c r="AII36" s="190"/>
      <c r="AIJ36" s="190"/>
      <c r="AIK36" s="190"/>
      <c r="AIL36" s="190"/>
      <c r="AIM36" s="193"/>
      <c r="AIN36" s="190"/>
      <c r="AIO36" s="190"/>
      <c r="AIP36" s="190"/>
      <c r="AIQ36" s="190"/>
      <c r="AIR36" s="190"/>
      <c r="AIS36" s="192"/>
      <c r="AIT36" s="190"/>
      <c r="AIU36" s="190"/>
      <c r="AIV36" s="190"/>
      <c r="AIW36" s="190"/>
      <c r="AIX36" s="190"/>
      <c r="AIY36" s="193"/>
      <c r="AIZ36" s="190"/>
      <c r="AJA36" s="190"/>
      <c r="AJB36" s="190"/>
      <c r="AJC36" s="190"/>
      <c r="AJD36" s="190"/>
      <c r="AJE36" s="192"/>
      <c r="AJF36" s="190"/>
      <c r="AJG36" s="190"/>
      <c r="AJH36" s="190"/>
      <c r="AJI36" s="190"/>
      <c r="AJJ36" s="190"/>
      <c r="AJK36" s="193"/>
      <c r="AJL36" s="190"/>
      <c r="AJM36" s="190"/>
      <c r="AJN36" s="190"/>
      <c r="AJO36" s="190"/>
      <c r="AJP36" s="190"/>
      <c r="AJQ36" s="192"/>
      <c r="AJR36" s="190"/>
      <c r="AJS36" s="190"/>
      <c r="AJT36" s="190"/>
      <c r="AJU36" s="190"/>
      <c r="AJV36" s="190"/>
      <c r="AJW36" s="193"/>
      <c r="AJX36" s="190"/>
      <c r="AJY36" s="190"/>
      <c r="AJZ36" s="190"/>
      <c r="AKA36" s="190"/>
      <c r="AKB36" s="190"/>
      <c r="AKC36" s="194"/>
      <c r="AKD36" s="189"/>
      <c r="AKE36" s="190"/>
      <c r="AKF36" s="190"/>
      <c r="AKG36" s="190"/>
      <c r="AKH36" s="190"/>
      <c r="AKI36" s="191"/>
      <c r="AKJ36" s="190"/>
      <c r="AKK36" s="190"/>
      <c r="AKL36" s="190"/>
      <c r="AKM36" s="190"/>
      <c r="AKN36" s="190"/>
      <c r="AKO36" s="192"/>
      <c r="AKP36" s="190"/>
      <c r="AKQ36" s="190"/>
      <c r="AKR36" s="190"/>
      <c r="AKS36" s="190"/>
      <c r="AKT36" s="190"/>
      <c r="AKU36" s="193"/>
      <c r="AKV36" s="190"/>
      <c r="AKW36" s="190"/>
      <c r="AKX36" s="190"/>
      <c r="AKY36" s="190"/>
      <c r="AKZ36" s="190"/>
      <c r="ALA36" s="192"/>
      <c r="ALB36" s="190"/>
      <c r="ALC36" s="190"/>
      <c r="ALD36" s="190"/>
      <c r="ALE36" s="190"/>
      <c r="ALF36" s="190"/>
      <c r="ALG36" s="193"/>
      <c r="ALH36" s="190"/>
      <c r="ALI36" s="190"/>
      <c r="ALJ36" s="190"/>
      <c r="ALK36" s="190"/>
      <c r="ALL36" s="190"/>
      <c r="ALM36" s="192"/>
      <c r="ALN36" s="190"/>
      <c r="ALO36" s="190"/>
      <c r="ALP36" s="190"/>
      <c r="ALQ36" s="190"/>
      <c r="ALR36" s="190"/>
      <c r="ALS36" s="193"/>
      <c r="ALT36" s="190"/>
      <c r="ALU36" s="190"/>
      <c r="ALV36" s="190"/>
      <c r="ALW36" s="190"/>
      <c r="ALX36" s="190"/>
      <c r="ALY36" s="192"/>
      <c r="ALZ36" s="190"/>
      <c r="AMA36" s="190"/>
      <c r="AMB36" s="190"/>
      <c r="AMC36" s="190"/>
      <c r="AMD36" s="190"/>
      <c r="AME36" s="193"/>
      <c r="AMF36" s="190"/>
      <c r="AMG36" s="190"/>
      <c r="AMH36" s="190"/>
      <c r="AMI36" s="190"/>
      <c r="AMJ36" s="190"/>
      <c r="AMK36" s="194"/>
      <c r="AML36" s="189"/>
      <c r="AMM36" s="190"/>
      <c r="AMN36" s="190"/>
      <c r="AMO36" s="190"/>
      <c r="AMP36" s="190"/>
      <c r="AMQ36" s="191"/>
      <c r="AMR36" s="190"/>
      <c r="AMS36" s="190"/>
      <c r="AMT36" s="190"/>
      <c r="AMU36" s="190"/>
      <c r="AMV36" s="190"/>
      <c r="AMW36" s="192"/>
      <c r="AMX36" s="190"/>
      <c r="AMY36" s="190"/>
      <c r="AMZ36" s="190"/>
      <c r="ANA36" s="190"/>
      <c r="ANB36" s="190"/>
      <c r="ANC36" s="193"/>
      <c r="AND36" s="190"/>
      <c r="ANE36" s="190"/>
      <c r="ANF36" s="190"/>
      <c r="ANG36" s="190"/>
      <c r="ANH36" s="190"/>
      <c r="ANI36" s="192"/>
      <c r="ANJ36" s="190"/>
      <c r="ANK36" s="190"/>
      <c r="ANL36" s="190"/>
      <c r="ANM36" s="190"/>
      <c r="ANN36" s="190"/>
      <c r="ANO36" s="193"/>
      <c r="ANP36" s="190"/>
      <c r="ANQ36" s="190"/>
      <c r="ANR36" s="190"/>
      <c r="ANS36" s="190"/>
      <c r="ANT36" s="190"/>
      <c r="ANU36" s="192"/>
      <c r="ANV36" s="190"/>
      <c r="ANW36" s="190"/>
      <c r="ANX36" s="190"/>
      <c r="ANY36" s="190"/>
      <c r="ANZ36" s="190"/>
      <c r="AOA36" s="193"/>
      <c r="AOB36" s="190"/>
      <c r="AOC36" s="190"/>
      <c r="AOD36" s="190"/>
      <c r="AOE36" s="190"/>
      <c r="AOF36" s="190"/>
      <c r="AOG36" s="192"/>
      <c r="AOH36" s="190"/>
      <c r="AOI36" s="190"/>
      <c r="AOJ36" s="190"/>
      <c r="AOK36" s="190"/>
      <c r="AOL36" s="190"/>
      <c r="AOM36" s="193"/>
      <c r="AON36" s="190"/>
      <c r="AOO36" s="190"/>
      <c r="AOP36" s="190"/>
      <c r="AOQ36" s="190"/>
      <c r="AOR36" s="190"/>
      <c r="AOS36" s="194"/>
      <c r="AOT36" s="189"/>
      <c r="AOU36" s="190"/>
      <c r="AOV36" s="190"/>
      <c r="AOW36" s="190"/>
      <c r="AOX36" s="190"/>
      <c r="AOY36" s="191"/>
      <c r="AOZ36" s="190"/>
      <c r="APA36" s="190"/>
      <c r="APB36" s="190"/>
      <c r="APC36" s="190"/>
      <c r="APD36" s="190"/>
      <c r="APE36" s="192"/>
      <c r="APF36" s="190"/>
      <c r="APG36" s="190"/>
      <c r="APH36" s="190"/>
      <c r="API36" s="190"/>
      <c r="APJ36" s="190"/>
      <c r="APK36" s="193"/>
      <c r="APL36" s="190"/>
      <c r="APM36" s="190"/>
      <c r="APN36" s="190"/>
      <c r="APO36" s="190"/>
      <c r="APP36" s="190"/>
      <c r="APQ36" s="192"/>
      <c r="APR36" s="190"/>
      <c r="APS36" s="190"/>
      <c r="APT36" s="190"/>
      <c r="APU36" s="190"/>
      <c r="APV36" s="190"/>
      <c r="APW36" s="193"/>
      <c r="APX36" s="190"/>
      <c r="APY36" s="190"/>
      <c r="APZ36" s="190"/>
      <c r="AQA36" s="190"/>
      <c r="AQB36" s="190"/>
      <c r="AQC36" s="192"/>
      <c r="AQD36" s="190"/>
      <c r="AQE36" s="190"/>
      <c r="AQF36" s="190"/>
      <c r="AQG36" s="190"/>
      <c r="AQH36" s="190"/>
      <c r="AQI36" s="193"/>
      <c r="AQJ36" s="190"/>
      <c r="AQK36" s="190"/>
      <c r="AQL36" s="190"/>
      <c r="AQM36" s="190"/>
      <c r="AQN36" s="190"/>
      <c r="AQO36" s="192"/>
      <c r="AQP36" s="190"/>
      <c r="AQQ36" s="190"/>
      <c r="AQR36" s="190"/>
      <c r="AQS36" s="190"/>
      <c r="AQT36" s="190"/>
      <c r="AQU36" s="193"/>
      <c r="AQV36" s="190"/>
      <c r="AQW36" s="190"/>
      <c r="AQX36" s="190"/>
      <c r="AQY36" s="190"/>
      <c r="AQZ36" s="190"/>
      <c r="ARA36" s="194"/>
      <c r="ARB36" s="189"/>
      <c r="ARC36" s="190"/>
      <c r="ARD36" s="190"/>
      <c r="ARE36" s="190"/>
      <c r="ARF36" s="190"/>
      <c r="ARG36" s="191"/>
      <c r="ARH36" s="190"/>
      <c r="ARI36" s="190"/>
      <c r="ARJ36" s="190"/>
      <c r="ARK36" s="190"/>
      <c r="ARL36" s="190"/>
      <c r="ARM36" s="192"/>
      <c r="ARN36" s="190"/>
      <c r="ARO36" s="190"/>
      <c r="ARP36" s="190"/>
      <c r="ARQ36" s="190"/>
      <c r="ARR36" s="190"/>
      <c r="ARS36" s="193"/>
      <c r="ART36" s="190"/>
      <c r="ARU36" s="190"/>
      <c r="ARV36" s="190"/>
      <c r="ARW36" s="190"/>
      <c r="ARX36" s="190"/>
      <c r="ARY36" s="192"/>
      <c r="ARZ36" s="190"/>
      <c r="ASA36" s="190"/>
      <c r="ASB36" s="190"/>
      <c r="ASC36" s="190"/>
      <c r="ASD36" s="190"/>
      <c r="ASE36" s="193"/>
      <c r="ASF36" s="190"/>
      <c r="ASG36" s="190"/>
      <c r="ASH36" s="190"/>
      <c r="ASI36" s="190"/>
      <c r="ASJ36" s="190"/>
      <c r="ASK36" s="192"/>
      <c r="ASL36" s="190"/>
      <c r="ASM36" s="190"/>
      <c r="ASN36" s="190"/>
      <c r="ASO36" s="190"/>
      <c r="ASP36" s="190"/>
      <c r="ASQ36" s="193"/>
      <c r="ASR36" s="190"/>
      <c r="ASS36" s="190"/>
      <c r="AST36" s="190"/>
      <c r="ASU36" s="190"/>
      <c r="ASV36" s="190"/>
      <c r="ASW36" s="192"/>
      <c r="ASX36" s="190"/>
      <c r="ASY36" s="190"/>
      <c r="ASZ36" s="190"/>
      <c r="ATA36" s="190"/>
      <c r="ATB36" s="190"/>
      <c r="ATC36" s="193"/>
      <c r="ATD36" s="190"/>
      <c r="ATE36" s="190"/>
      <c r="ATF36" s="190"/>
      <c r="ATG36" s="190"/>
      <c r="ATH36" s="190"/>
      <c r="ATI36" s="194"/>
      <c r="ATJ36" s="189"/>
      <c r="ATK36" s="190"/>
      <c r="ATL36" s="190"/>
      <c r="ATM36" s="190"/>
      <c r="ATN36" s="190"/>
      <c r="ATO36" s="191"/>
      <c r="ATP36" s="190"/>
      <c r="ATQ36" s="190"/>
      <c r="ATR36" s="190"/>
      <c r="ATS36" s="190"/>
      <c r="ATT36" s="190"/>
      <c r="ATU36" s="192"/>
      <c r="ATV36" s="190"/>
      <c r="ATW36" s="190"/>
      <c r="ATX36" s="190"/>
      <c r="ATY36" s="190"/>
      <c r="ATZ36" s="190"/>
      <c r="AUA36" s="193"/>
      <c r="AUB36" s="190"/>
      <c r="AUC36" s="190"/>
      <c r="AUD36" s="190"/>
      <c r="AUE36" s="190"/>
      <c r="AUF36" s="190"/>
      <c r="AUG36" s="192"/>
      <c r="AUH36" s="190"/>
      <c r="AUI36" s="190"/>
      <c r="AUJ36" s="190"/>
      <c r="AUK36" s="190"/>
      <c r="AUL36" s="190"/>
      <c r="AUM36" s="193"/>
      <c r="AUN36" s="190"/>
      <c r="AUO36" s="190"/>
      <c r="AUP36" s="190"/>
      <c r="AUQ36" s="190"/>
      <c r="AUR36" s="190"/>
      <c r="AUS36" s="192"/>
      <c r="AUT36" s="190"/>
      <c r="AUU36" s="190"/>
      <c r="AUV36" s="190"/>
      <c r="AUW36" s="190"/>
      <c r="AUX36" s="190"/>
      <c r="AUY36" s="193"/>
      <c r="AUZ36" s="190"/>
      <c r="AVA36" s="190"/>
      <c r="AVB36" s="190"/>
      <c r="AVC36" s="190"/>
      <c r="AVD36" s="190"/>
      <c r="AVE36" s="192"/>
      <c r="AVF36" s="190"/>
      <c r="AVG36" s="190"/>
      <c r="AVH36" s="190"/>
      <c r="AVI36" s="190"/>
      <c r="AVJ36" s="190"/>
      <c r="AVK36" s="193"/>
      <c r="AVL36" s="190"/>
      <c r="AVM36" s="190"/>
      <c r="AVN36" s="190"/>
      <c r="AVO36" s="190"/>
      <c r="AVP36" s="190"/>
      <c r="AVQ36" s="194"/>
      <c r="AVR36" s="189"/>
      <c r="AVS36" s="190"/>
      <c r="AVT36" s="190"/>
      <c r="AVU36" s="190"/>
      <c r="AVV36" s="190"/>
      <c r="AVW36" s="191"/>
      <c r="AVX36" s="190"/>
      <c r="AVY36" s="190"/>
      <c r="AVZ36" s="190"/>
      <c r="AWA36" s="190"/>
      <c r="AWB36" s="190"/>
      <c r="AWC36" s="192"/>
      <c r="AWD36" s="190"/>
      <c r="AWE36" s="190"/>
      <c r="AWF36" s="190"/>
      <c r="AWG36" s="190"/>
      <c r="AWH36" s="190"/>
      <c r="AWI36" s="193"/>
      <c r="AWJ36" s="190"/>
      <c r="AWK36" s="190"/>
      <c r="AWL36" s="190"/>
      <c r="AWM36" s="190"/>
      <c r="AWN36" s="190"/>
      <c r="AWO36" s="192"/>
      <c r="AWP36" s="190"/>
      <c r="AWQ36" s="190"/>
      <c r="AWR36" s="190"/>
      <c r="AWS36" s="190"/>
      <c r="AWT36" s="190"/>
      <c r="AWU36" s="193"/>
      <c r="AWV36" s="190"/>
      <c r="AWW36" s="190"/>
      <c r="AWX36" s="190"/>
      <c r="AWY36" s="190"/>
      <c r="AWZ36" s="190"/>
      <c r="AXA36" s="192"/>
      <c r="AXB36" s="190"/>
      <c r="AXC36" s="190"/>
      <c r="AXD36" s="190"/>
      <c r="AXE36" s="190"/>
      <c r="AXF36" s="190"/>
      <c r="AXG36" s="193"/>
      <c r="AXH36" s="190"/>
      <c r="AXI36" s="190"/>
      <c r="AXJ36" s="190"/>
      <c r="AXK36" s="190"/>
      <c r="AXL36" s="190"/>
      <c r="AXM36" s="192"/>
      <c r="AXN36" s="190"/>
      <c r="AXO36" s="190"/>
      <c r="AXP36" s="190"/>
      <c r="AXQ36" s="190"/>
      <c r="AXR36" s="190"/>
      <c r="AXS36" s="193"/>
      <c r="AXT36" s="190"/>
      <c r="AXU36" s="190"/>
      <c r="AXV36" s="190"/>
      <c r="AXW36" s="190"/>
      <c r="AXX36" s="190"/>
      <c r="AXY36" s="194"/>
      <c r="AXZ36" s="189"/>
      <c r="AYA36" s="190"/>
      <c r="AYB36" s="190"/>
      <c r="AYC36" s="190"/>
      <c r="AYD36" s="190"/>
      <c r="AYE36" s="191"/>
      <c r="AYF36" s="190"/>
      <c r="AYG36" s="190"/>
      <c r="AYH36" s="190"/>
      <c r="AYI36" s="190"/>
      <c r="AYJ36" s="190"/>
      <c r="AYK36" s="192"/>
      <c r="AYL36" s="190"/>
      <c r="AYM36" s="190"/>
      <c r="AYN36" s="190"/>
      <c r="AYO36" s="190"/>
      <c r="AYP36" s="190"/>
      <c r="AYQ36" s="193"/>
      <c r="AYR36" s="190"/>
      <c r="AYS36" s="190"/>
      <c r="AYT36" s="190"/>
      <c r="AYU36" s="190"/>
      <c r="AYV36" s="190"/>
      <c r="AYW36" s="192"/>
      <c r="AYX36" s="190"/>
      <c r="AYY36" s="190"/>
      <c r="AYZ36" s="190"/>
      <c r="AZA36" s="190"/>
      <c r="AZB36" s="190"/>
      <c r="AZC36" s="193"/>
      <c r="AZD36" s="190"/>
      <c r="AZE36" s="190"/>
      <c r="AZF36" s="190"/>
      <c r="AZG36" s="190"/>
      <c r="AZH36" s="190"/>
      <c r="AZI36" s="192"/>
      <c r="AZJ36" s="190"/>
      <c r="AZK36" s="190"/>
      <c r="AZL36" s="190"/>
      <c r="AZM36" s="190"/>
      <c r="AZN36" s="190"/>
      <c r="AZO36" s="193"/>
      <c r="AZP36" s="190"/>
      <c r="AZQ36" s="190"/>
      <c r="AZR36" s="190"/>
      <c r="AZS36" s="190"/>
      <c r="AZT36" s="190"/>
      <c r="AZU36" s="192"/>
      <c r="AZV36" s="190"/>
      <c r="AZW36" s="190"/>
      <c r="AZX36" s="190"/>
      <c r="AZY36" s="190"/>
      <c r="AZZ36" s="190"/>
      <c r="BAA36" s="193"/>
      <c r="BAB36" s="190"/>
      <c r="BAC36" s="190"/>
      <c r="BAD36" s="190"/>
      <c r="BAE36" s="190"/>
      <c r="BAF36" s="190"/>
      <c r="BAG36" s="194"/>
      <c r="BAH36" s="189"/>
      <c r="BAI36" s="190"/>
      <c r="BAJ36" s="190"/>
      <c r="BAK36" s="190"/>
      <c r="BAL36" s="190"/>
      <c r="BAM36" s="191"/>
      <c r="BAN36" s="190"/>
      <c r="BAO36" s="190"/>
      <c r="BAP36" s="190"/>
      <c r="BAQ36" s="190"/>
      <c r="BAR36" s="190"/>
      <c r="BAS36" s="192"/>
      <c r="BAT36" s="190"/>
      <c r="BAU36" s="190"/>
      <c r="BAV36" s="190"/>
      <c r="BAW36" s="190"/>
      <c r="BAX36" s="190"/>
      <c r="BAY36" s="193"/>
      <c r="BAZ36" s="190"/>
      <c r="BBA36" s="190"/>
      <c r="BBB36" s="190"/>
      <c r="BBC36" s="190"/>
      <c r="BBD36" s="190"/>
      <c r="BBE36" s="192"/>
      <c r="BBF36" s="190"/>
      <c r="BBG36" s="190"/>
      <c r="BBH36" s="190"/>
      <c r="BBI36" s="190"/>
      <c r="BBJ36" s="190"/>
      <c r="BBK36" s="193"/>
      <c r="BBL36" s="190"/>
      <c r="BBM36" s="190"/>
      <c r="BBN36" s="190"/>
      <c r="BBO36" s="190"/>
      <c r="BBP36" s="190"/>
      <c r="BBQ36" s="192"/>
      <c r="BBR36" s="190"/>
      <c r="BBS36" s="190"/>
      <c r="BBT36" s="190"/>
      <c r="BBU36" s="190"/>
      <c r="BBV36" s="190"/>
      <c r="BBW36" s="193"/>
      <c r="BBX36" s="190"/>
      <c r="BBY36" s="190"/>
      <c r="BBZ36" s="190"/>
      <c r="BCA36" s="190"/>
      <c r="BCB36" s="190"/>
      <c r="BCC36" s="192"/>
      <c r="BCD36" s="190"/>
      <c r="BCE36" s="190"/>
      <c r="BCF36" s="190"/>
      <c r="BCG36" s="190"/>
      <c r="BCH36" s="190"/>
      <c r="BCI36" s="193"/>
      <c r="BCJ36" s="190"/>
      <c r="BCK36" s="190"/>
      <c r="BCL36" s="190"/>
      <c r="BCM36" s="190"/>
      <c r="BCN36" s="190"/>
      <c r="BCO36" s="194"/>
      <c r="BCP36" s="189"/>
      <c r="BCQ36" s="190"/>
      <c r="BCR36" s="190"/>
      <c r="BCS36" s="190"/>
      <c r="BCT36" s="190"/>
      <c r="BCU36" s="191"/>
      <c r="BCV36" s="190"/>
      <c r="BCW36" s="190"/>
      <c r="BCX36" s="190"/>
      <c r="BCY36" s="190"/>
      <c r="BCZ36" s="190"/>
      <c r="BDA36" s="192"/>
      <c r="BDB36" s="190"/>
      <c r="BDC36" s="190"/>
      <c r="BDD36" s="190"/>
      <c r="BDE36" s="190"/>
      <c r="BDF36" s="190"/>
      <c r="BDG36" s="193"/>
      <c r="BDH36" s="190"/>
      <c r="BDI36" s="190"/>
      <c r="BDJ36" s="190"/>
      <c r="BDK36" s="190"/>
      <c r="BDL36" s="190"/>
      <c r="BDM36" s="192"/>
      <c r="BDN36" s="190"/>
      <c r="BDO36" s="190"/>
      <c r="BDP36" s="190"/>
      <c r="BDQ36" s="190"/>
      <c r="BDR36" s="190"/>
      <c r="BDS36" s="193"/>
      <c r="BDT36" s="190"/>
      <c r="BDU36" s="190"/>
      <c r="BDV36" s="190"/>
      <c r="BDW36" s="190"/>
      <c r="BDX36" s="190"/>
      <c r="BDY36" s="192"/>
      <c r="BDZ36" s="190"/>
      <c r="BEA36" s="190"/>
      <c r="BEB36" s="190"/>
      <c r="BEC36" s="190"/>
      <c r="BED36" s="190"/>
      <c r="BEE36" s="193"/>
      <c r="BEF36" s="190"/>
      <c r="BEG36" s="190"/>
      <c r="BEH36" s="190"/>
      <c r="BEI36" s="190"/>
      <c r="BEJ36" s="190"/>
      <c r="BEK36" s="192"/>
      <c r="BEL36" s="190"/>
      <c r="BEM36" s="190"/>
      <c r="BEN36" s="190"/>
      <c r="BEO36" s="190"/>
      <c r="BEP36" s="190"/>
      <c r="BEQ36" s="193"/>
      <c r="BER36" s="190"/>
      <c r="BES36" s="190"/>
      <c r="BET36" s="190"/>
      <c r="BEU36" s="190"/>
      <c r="BEV36" s="190"/>
      <c r="BEW36" s="194"/>
      <c r="BEX36" s="189"/>
      <c r="BEY36" s="190"/>
      <c r="BEZ36" s="190"/>
      <c r="BFA36" s="190"/>
      <c r="BFB36" s="190"/>
      <c r="BFC36" s="191"/>
      <c r="BFD36" s="190"/>
      <c r="BFE36" s="190"/>
      <c r="BFF36" s="190"/>
      <c r="BFG36" s="190"/>
      <c r="BFH36" s="190"/>
      <c r="BFI36" s="192"/>
      <c r="BFJ36" s="190"/>
      <c r="BFK36" s="190"/>
      <c r="BFL36" s="190"/>
      <c r="BFM36" s="190"/>
      <c r="BFN36" s="190"/>
      <c r="BFO36" s="193"/>
      <c r="BFP36" s="190"/>
      <c r="BFQ36" s="190"/>
      <c r="BFR36" s="190"/>
      <c r="BFS36" s="190"/>
      <c r="BFT36" s="190"/>
      <c r="BFU36" s="192"/>
      <c r="BFV36" s="190"/>
      <c r="BFW36" s="190"/>
      <c r="BFX36" s="190"/>
      <c r="BFY36" s="190"/>
      <c r="BFZ36" s="190"/>
      <c r="BGA36" s="193"/>
      <c r="BGB36" s="190"/>
      <c r="BGC36" s="190"/>
      <c r="BGD36" s="190"/>
      <c r="BGE36" s="190"/>
      <c r="BGF36" s="190"/>
      <c r="BGG36" s="192"/>
      <c r="BGH36" s="190"/>
      <c r="BGI36" s="190"/>
      <c r="BGJ36" s="190"/>
      <c r="BGK36" s="190"/>
      <c r="BGL36" s="190"/>
      <c r="BGM36" s="193"/>
      <c r="BGN36" s="190"/>
      <c r="BGO36" s="190"/>
      <c r="BGP36" s="190"/>
      <c r="BGQ36" s="190"/>
      <c r="BGR36" s="190"/>
      <c r="BGS36" s="192"/>
      <c r="BGT36" s="190"/>
      <c r="BGU36" s="190"/>
      <c r="BGV36" s="190"/>
      <c r="BGW36" s="190"/>
      <c r="BGX36" s="190"/>
      <c r="BGY36" s="193"/>
      <c r="BGZ36" s="190"/>
      <c r="BHA36" s="190"/>
      <c r="BHB36" s="190"/>
      <c r="BHC36" s="190"/>
      <c r="BHD36" s="190"/>
      <c r="BHE36" s="194"/>
      <c r="BHF36" s="187"/>
      <c r="BHG36" s="188"/>
      <c r="BHH36" s="188"/>
      <c r="BHI36" s="188"/>
      <c r="BHJ36" s="188"/>
      <c r="BHK36" s="188"/>
      <c r="BHL36" s="188"/>
      <c r="BHM36" s="188"/>
      <c r="BHN36" s="188"/>
      <c r="BHO36" s="188"/>
      <c r="BHP36" s="188"/>
      <c r="BHQ36" s="188"/>
      <c r="BHR36" s="188"/>
      <c r="BHS36" s="188"/>
      <c r="BHT36" s="188"/>
      <c r="BHU36" s="188"/>
      <c r="BHV36" s="188"/>
      <c r="BHW36" s="188"/>
      <c r="BHX36" s="188"/>
      <c r="BHY36" s="188"/>
      <c r="BHZ36" s="188"/>
      <c r="BIA36" s="188"/>
      <c r="BIB36" s="188"/>
      <c r="BIC36" s="188"/>
      <c r="BID36" s="188"/>
      <c r="BIE36" s="188"/>
      <c r="BIF36" s="188"/>
      <c r="BIG36" s="188"/>
      <c r="BIH36" s="188"/>
      <c r="BII36" s="188"/>
      <c r="BIJ36" s="188"/>
      <c r="BIK36" s="188"/>
      <c r="BIL36" s="188"/>
      <c r="BIM36" s="188"/>
      <c r="BIN36" s="188"/>
      <c r="BIO36" s="188"/>
      <c r="BIP36" s="188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230" t="s">
        <v>75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87"/>
      <c r="BHG37" s="188"/>
      <c r="BHH37" s="188"/>
      <c r="BHI37" s="188"/>
      <c r="BHJ37" s="188"/>
      <c r="BHK37" s="188"/>
      <c r="BHL37" s="188"/>
      <c r="BHM37" s="188"/>
      <c r="BHN37" s="188"/>
      <c r="BHO37" s="188"/>
      <c r="BHP37" s="188"/>
      <c r="BHQ37" s="188"/>
      <c r="BHR37" s="188"/>
      <c r="BHS37" s="188"/>
      <c r="BHT37" s="188"/>
      <c r="BHU37" s="188"/>
      <c r="BHV37" s="188"/>
      <c r="BHW37" s="188"/>
      <c r="BHX37" s="188"/>
      <c r="BHY37" s="188"/>
      <c r="BHZ37" s="188"/>
      <c r="BIA37" s="188"/>
      <c r="BIB37" s="188"/>
      <c r="BIC37" s="188"/>
      <c r="BID37" s="188"/>
      <c r="BIE37" s="188"/>
      <c r="BIF37" s="188"/>
      <c r="BIG37" s="188"/>
      <c r="BIH37" s="188"/>
      <c r="BII37" s="188"/>
      <c r="BIJ37" s="188"/>
      <c r="BIK37" s="188"/>
      <c r="BIL37" s="188"/>
      <c r="BIM37" s="188"/>
      <c r="BIN37" s="188"/>
      <c r="BIO37" s="188"/>
      <c r="BIP37" s="188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236"/>
      <c r="D38" s="121" t="str">
        <f t="shared" si="0"/>
        <v/>
      </c>
      <c r="E38" s="30">
        <v>0</v>
      </c>
      <c r="F38" s="195"/>
      <c r="G38" s="196"/>
      <c r="H38" s="196"/>
      <c r="I38" s="196"/>
      <c r="J38" s="196"/>
      <c r="K38" s="197"/>
      <c r="L38" s="196"/>
      <c r="M38" s="196"/>
      <c r="N38" s="196"/>
      <c r="O38" s="196"/>
      <c r="P38" s="196"/>
      <c r="Q38" s="198"/>
      <c r="R38" s="196"/>
      <c r="S38" s="196"/>
      <c r="T38" s="196"/>
      <c r="U38" s="196"/>
      <c r="V38" s="196"/>
      <c r="W38" s="199"/>
      <c r="X38" s="196"/>
      <c r="Y38" s="196"/>
      <c r="Z38" s="196"/>
      <c r="AA38" s="196"/>
      <c r="AB38" s="196"/>
      <c r="AC38" s="198"/>
      <c r="AD38" s="196"/>
      <c r="AE38" s="196"/>
      <c r="AF38" s="196"/>
      <c r="AG38" s="196"/>
      <c r="AH38" s="196"/>
      <c r="AI38" s="199"/>
      <c r="AJ38" s="196"/>
      <c r="AK38" s="196"/>
      <c r="AL38" s="196"/>
      <c r="AM38" s="196"/>
      <c r="AN38" s="196"/>
      <c r="AO38" s="198"/>
      <c r="AP38" s="196"/>
      <c r="AQ38" s="196"/>
      <c r="AR38" s="196"/>
      <c r="AS38" s="196"/>
      <c r="AT38" s="196"/>
      <c r="AU38" s="199"/>
      <c r="AV38" s="196"/>
      <c r="AW38" s="196"/>
      <c r="AX38" s="196"/>
      <c r="AY38" s="196"/>
      <c r="AZ38" s="196"/>
      <c r="BA38" s="198"/>
      <c r="BB38" s="196"/>
      <c r="BC38" s="196"/>
      <c r="BD38" s="196"/>
      <c r="BE38" s="196"/>
      <c r="BF38" s="196"/>
      <c r="BG38" s="199"/>
      <c r="BH38" s="196"/>
      <c r="BI38" s="196"/>
      <c r="BJ38" s="196"/>
      <c r="BK38" s="196"/>
      <c r="BL38" s="196"/>
      <c r="BM38" s="200"/>
      <c r="BN38" s="195"/>
      <c r="BO38" s="196"/>
      <c r="BP38" s="196"/>
      <c r="BQ38" s="196"/>
      <c r="BR38" s="196"/>
      <c r="BS38" s="197"/>
      <c r="BT38" s="196"/>
      <c r="BU38" s="196"/>
      <c r="BV38" s="196"/>
      <c r="BW38" s="196"/>
      <c r="BX38" s="196"/>
      <c r="BY38" s="198"/>
      <c r="BZ38" s="196"/>
      <c r="CA38" s="196"/>
      <c r="CB38" s="196"/>
      <c r="CC38" s="196"/>
      <c r="CD38" s="196"/>
      <c r="CE38" s="199"/>
      <c r="CF38" s="196"/>
      <c r="CG38" s="196"/>
      <c r="CH38" s="196"/>
      <c r="CI38" s="196"/>
      <c r="CJ38" s="196"/>
      <c r="CK38" s="198"/>
      <c r="CL38" s="196"/>
      <c r="CM38" s="196"/>
      <c r="CN38" s="196"/>
      <c r="CO38" s="196"/>
      <c r="CP38" s="196"/>
      <c r="CQ38" s="199"/>
      <c r="CR38" s="196"/>
      <c r="CS38" s="196"/>
      <c r="CT38" s="196"/>
      <c r="CU38" s="196"/>
      <c r="CV38" s="196"/>
      <c r="CW38" s="198"/>
      <c r="CX38" s="196"/>
      <c r="CY38" s="196"/>
      <c r="CZ38" s="196"/>
      <c r="DA38" s="196"/>
      <c r="DB38" s="196"/>
      <c r="DC38" s="199"/>
      <c r="DD38" s="196"/>
      <c r="DE38" s="196"/>
      <c r="DF38" s="196"/>
      <c r="DG38" s="196"/>
      <c r="DH38" s="196"/>
      <c r="DI38" s="198"/>
      <c r="DJ38" s="196"/>
      <c r="DK38" s="196"/>
      <c r="DL38" s="196"/>
      <c r="DM38" s="196"/>
      <c r="DN38" s="196"/>
      <c r="DO38" s="199"/>
      <c r="DP38" s="196"/>
      <c r="DQ38" s="196"/>
      <c r="DR38" s="196"/>
      <c r="DS38" s="196"/>
      <c r="DT38" s="196"/>
      <c r="DU38" s="200"/>
      <c r="DV38" s="195"/>
      <c r="DW38" s="196"/>
      <c r="DX38" s="196"/>
      <c r="DY38" s="196"/>
      <c r="DZ38" s="196"/>
      <c r="EA38" s="197"/>
      <c r="EB38" s="196"/>
      <c r="EC38" s="196"/>
      <c r="ED38" s="196"/>
      <c r="EE38" s="196"/>
      <c r="EF38" s="196"/>
      <c r="EG38" s="198"/>
      <c r="EH38" s="196"/>
      <c r="EI38" s="196"/>
      <c r="EJ38" s="196"/>
      <c r="EK38" s="196"/>
      <c r="EL38" s="196"/>
      <c r="EM38" s="199"/>
      <c r="EN38" s="196"/>
      <c r="EO38" s="196"/>
      <c r="EP38" s="196"/>
      <c r="EQ38" s="196"/>
      <c r="ER38" s="196"/>
      <c r="ES38" s="198"/>
      <c r="ET38" s="196"/>
      <c r="EU38" s="196"/>
      <c r="EV38" s="196"/>
      <c r="EW38" s="196"/>
      <c r="EX38" s="196"/>
      <c r="EY38" s="199"/>
      <c r="EZ38" s="196"/>
      <c r="FA38" s="196"/>
      <c r="FB38" s="196"/>
      <c r="FC38" s="196"/>
      <c r="FD38" s="196"/>
      <c r="FE38" s="198"/>
      <c r="FF38" s="196"/>
      <c r="FG38" s="196"/>
      <c r="FH38" s="196"/>
      <c r="FI38" s="196"/>
      <c r="FJ38" s="196"/>
      <c r="FK38" s="199"/>
      <c r="FL38" s="196"/>
      <c r="FM38" s="196"/>
      <c r="FN38" s="196"/>
      <c r="FO38" s="196"/>
      <c r="FP38" s="196"/>
      <c r="FQ38" s="198"/>
      <c r="FR38" s="196"/>
      <c r="FS38" s="196"/>
      <c r="FT38" s="196"/>
      <c r="FU38" s="196"/>
      <c r="FV38" s="196"/>
      <c r="FW38" s="199"/>
      <c r="FX38" s="196"/>
      <c r="FY38" s="196"/>
      <c r="FZ38" s="196"/>
      <c r="GA38" s="196"/>
      <c r="GB38" s="196"/>
      <c r="GC38" s="200"/>
      <c r="GD38" s="195"/>
      <c r="GE38" s="196"/>
      <c r="GF38" s="196"/>
      <c r="GG38" s="196"/>
      <c r="GH38" s="196"/>
      <c r="GI38" s="197"/>
      <c r="GJ38" s="196"/>
      <c r="GK38" s="196"/>
      <c r="GL38" s="196"/>
      <c r="GM38" s="196"/>
      <c r="GN38" s="196"/>
      <c r="GO38" s="198"/>
      <c r="GP38" s="196"/>
      <c r="GQ38" s="196"/>
      <c r="GR38" s="196"/>
      <c r="GS38" s="196"/>
      <c r="GT38" s="196"/>
      <c r="GU38" s="199"/>
      <c r="GV38" s="196"/>
      <c r="GW38" s="196"/>
      <c r="GX38" s="196"/>
      <c r="GY38" s="196"/>
      <c r="GZ38" s="196"/>
      <c r="HA38" s="198"/>
      <c r="HB38" s="196"/>
      <c r="HC38" s="196"/>
      <c r="HD38" s="196"/>
      <c r="HE38" s="196"/>
      <c r="HF38" s="196"/>
      <c r="HG38" s="199"/>
      <c r="HH38" s="196"/>
      <c r="HI38" s="196"/>
      <c r="HJ38" s="196"/>
      <c r="HK38" s="196"/>
      <c r="HL38" s="196"/>
      <c r="HM38" s="198"/>
      <c r="HN38" s="196"/>
      <c r="HO38" s="196"/>
      <c r="HP38" s="196"/>
      <c r="HQ38" s="196"/>
      <c r="HR38" s="196"/>
      <c r="HS38" s="199"/>
      <c r="HT38" s="196"/>
      <c r="HU38" s="196"/>
      <c r="HV38" s="196"/>
      <c r="HW38" s="196"/>
      <c r="HX38" s="196"/>
      <c r="HY38" s="198"/>
      <c r="HZ38" s="196"/>
      <c r="IA38" s="196"/>
      <c r="IB38" s="196"/>
      <c r="IC38" s="196"/>
      <c r="ID38" s="196"/>
      <c r="IE38" s="199"/>
      <c r="IF38" s="196"/>
      <c r="IG38" s="196"/>
      <c r="IH38" s="196"/>
      <c r="II38" s="196"/>
      <c r="IJ38" s="196"/>
      <c r="IK38" s="200"/>
      <c r="IL38" s="195"/>
      <c r="IM38" s="196"/>
      <c r="IN38" s="196"/>
      <c r="IO38" s="196"/>
      <c r="IP38" s="196"/>
      <c r="IQ38" s="197"/>
      <c r="IR38" s="196"/>
      <c r="IS38" s="196"/>
      <c r="IT38" s="196"/>
      <c r="IU38" s="196"/>
      <c r="IV38" s="196"/>
      <c r="IW38" s="198"/>
      <c r="IX38" s="196"/>
      <c r="IY38" s="196"/>
      <c r="IZ38" s="196"/>
      <c r="JA38" s="196"/>
      <c r="JB38" s="196"/>
      <c r="JC38" s="199"/>
      <c r="JD38" s="196"/>
      <c r="JE38" s="196"/>
      <c r="JF38" s="196"/>
      <c r="JG38" s="196"/>
      <c r="JH38" s="196"/>
      <c r="JI38" s="198"/>
      <c r="JJ38" s="196"/>
      <c r="JK38" s="196"/>
      <c r="JL38" s="196"/>
      <c r="JM38" s="196"/>
      <c r="JN38" s="196"/>
      <c r="JO38" s="199"/>
      <c r="JP38" s="196"/>
      <c r="JQ38" s="196"/>
      <c r="JR38" s="196"/>
      <c r="JS38" s="196"/>
      <c r="JT38" s="196"/>
      <c r="JU38" s="198"/>
      <c r="JV38" s="196"/>
      <c r="JW38" s="196"/>
      <c r="JX38" s="196"/>
      <c r="JY38" s="196"/>
      <c r="JZ38" s="196"/>
      <c r="KA38" s="199"/>
      <c r="KB38" s="196"/>
      <c r="KC38" s="196"/>
      <c r="KD38" s="196"/>
      <c r="KE38" s="196"/>
      <c r="KF38" s="196"/>
      <c r="KG38" s="198"/>
      <c r="KH38" s="196"/>
      <c r="KI38" s="196"/>
      <c r="KJ38" s="196"/>
      <c r="KK38" s="196"/>
      <c r="KL38" s="196"/>
      <c r="KM38" s="199"/>
      <c r="KN38" s="196"/>
      <c r="KO38" s="196"/>
      <c r="KP38" s="196"/>
      <c r="KQ38" s="196"/>
      <c r="KR38" s="196"/>
      <c r="KS38" s="200"/>
      <c r="KT38" s="195"/>
      <c r="KU38" s="196"/>
      <c r="KV38" s="196"/>
      <c r="KW38" s="196"/>
      <c r="KX38" s="196"/>
      <c r="KY38" s="197"/>
      <c r="KZ38" s="196"/>
      <c r="LA38" s="196"/>
      <c r="LB38" s="196"/>
      <c r="LC38" s="196"/>
      <c r="LD38" s="196"/>
      <c r="LE38" s="198"/>
      <c r="LF38" s="196"/>
      <c r="LG38" s="196"/>
      <c r="LH38" s="196"/>
      <c r="LI38" s="196"/>
      <c r="LJ38" s="196"/>
      <c r="LK38" s="199"/>
      <c r="LL38" s="196"/>
      <c r="LM38" s="196"/>
      <c r="LN38" s="196"/>
      <c r="LO38" s="196"/>
      <c r="LP38" s="196"/>
      <c r="LQ38" s="198"/>
      <c r="LR38" s="196"/>
      <c r="LS38" s="196"/>
      <c r="LT38" s="196"/>
      <c r="LU38" s="196"/>
      <c r="LV38" s="196"/>
      <c r="LW38" s="199"/>
      <c r="LX38" s="196"/>
      <c r="LY38" s="196"/>
      <c r="LZ38" s="196"/>
      <c r="MA38" s="196"/>
      <c r="MB38" s="196"/>
      <c r="MC38" s="198"/>
      <c r="MD38" s="196"/>
      <c r="ME38" s="196"/>
      <c r="MF38" s="196"/>
      <c r="MG38" s="196"/>
      <c r="MH38" s="196"/>
      <c r="MI38" s="199"/>
      <c r="MJ38" s="196"/>
      <c r="MK38" s="196"/>
      <c r="ML38" s="196"/>
      <c r="MM38" s="196"/>
      <c r="MN38" s="196"/>
      <c r="MO38" s="198"/>
      <c r="MP38" s="196"/>
      <c r="MQ38" s="196"/>
      <c r="MR38" s="196"/>
      <c r="MS38" s="196"/>
      <c r="MT38" s="196"/>
      <c r="MU38" s="199"/>
      <c r="MV38" s="196"/>
      <c r="MW38" s="196"/>
      <c r="MX38" s="196"/>
      <c r="MY38" s="196"/>
      <c r="MZ38" s="196"/>
      <c r="NA38" s="200"/>
      <c r="NB38" s="195"/>
      <c r="NC38" s="196"/>
      <c r="ND38" s="196"/>
      <c r="NE38" s="196"/>
      <c r="NF38" s="196"/>
      <c r="NG38" s="197"/>
      <c r="NH38" s="196"/>
      <c r="NI38" s="196"/>
      <c r="NJ38" s="196"/>
      <c r="NK38" s="196"/>
      <c r="NL38" s="196"/>
      <c r="NM38" s="198"/>
      <c r="NN38" s="196"/>
      <c r="NO38" s="196"/>
      <c r="NP38" s="196"/>
      <c r="NQ38" s="196"/>
      <c r="NR38" s="196"/>
      <c r="NS38" s="199"/>
      <c r="NT38" s="196"/>
      <c r="NU38" s="196"/>
      <c r="NV38" s="196"/>
      <c r="NW38" s="196"/>
      <c r="NX38" s="196"/>
      <c r="NY38" s="198"/>
      <c r="NZ38" s="196"/>
      <c r="OA38" s="196"/>
      <c r="OB38" s="196"/>
      <c r="OC38" s="196"/>
      <c r="OD38" s="196"/>
      <c r="OE38" s="199"/>
      <c r="OF38" s="196"/>
      <c r="OG38" s="196"/>
      <c r="OH38" s="196"/>
      <c r="OI38" s="196"/>
      <c r="OJ38" s="196"/>
      <c r="OK38" s="198"/>
      <c r="OL38" s="196"/>
      <c r="OM38" s="196"/>
      <c r="ON38" s="196"/>
      <c r="OO38" s="196"/>
      <c r="OP38" s="196"/>
      <c r="OQ38" s="199"/>
      <c r="OR38" s="196"/>
      <c r="OS38" s="196"/>
      <c r="OT38" s="196"/>
      <c r="OU38" s="196"/>
      <c r="OV38" s="196"/>
      <c r="OW38" s="198"/>
      <c r="OX38" s="196"/>
      <c r="OY38" s="196"/>
      <c r="OZ38" s="196"/>
      <c r="PA38" s="196"/>
      <c r="PB38" s="196"/>
      <c r="PC38" s="199"/>
      <c r="PD38" s="196"/>
      <c r="PE38" s="196"/>
      <c r="PF38" s="196"/>
      <c r="PG38" s="196"/>
      <c r="PH38" s="196"/>
      <c r="PI38" s="200"/>
      <c r="PJ38" s="195"/>
      <c r="PK38" s="196"/>
      <c r="PL38" s="196"/>
      <c r="PM38" s="196"/>
      <c r="PN38" s="196"/>
      <c r="PO38" s="197"/>
      <c r="PP38" s="196"/>
      <c r="PQ38" s="196"/>
      <c r="PR38" s="196"/>
      <c r="PS38" s="196"/>
      <c r="PT38" s="196"/>
      <c r="PU38" s="198"/>
      <c r="PV38" s="196"/>
      <c r="PW38" s="196"/>
      <c r="PX38" s="196"/>
      <c r="PY38" s="196"/>
      <c r="PZ38" s="196"/>
      <c r="QA38" s="199"/>
      <c r="QB38" s="196"/>
      <c r="QC38" s="196"/>
      <c r="QD38" s="196"/>
      <c r="QE38" s="196"/>
      <c r="QF38" s="196"/>
      <c r="QG38" s="198"/>
      <c r="QH38" s="196"/>
      <c r="QI38" s="196"/>
      <c r="QJ38" s="196"/>
      <c r="QK38" s="196"/>
      <c r="QL38" s="196"/>
      <c r="QM38" s="199"/>
      <c r="QN38" s="196"/>
      <c r="QO38" s="196"/>
      <c r="QP38" s="196"/>
      <c r="QQ38" s="196"/>
      <c r="QR38" s="196"/>
      <c r="QS38" s="198"/>
      <c r="QT38" s="196"/>
      <c r="QU38" s="196"/>
      <c r="QV38" s="196"/>
      <c r="QW38" s="196"/>
      <c r="QX38" s="196"/>
      <c r="QY38" s="199"/>
      <c r="QZ38" s="196"/>
      <c r="RA38" s="196"/>
      <c r="RB38" s="196"/>
      <c r="RC38" s="196"/>
      <c r="RD38" s="196"/>
      <c r="RE38" s="198"/>
      <c r="RF38" s="196"/>
      <c r="RG38" s="196"/>
      <c r="RH38" s="196"/>
      <c r="RI38" s="196"/>
      <c r="RJ38" s="196"/>
      <c r="RK38" s="199"/>
      <c r="RL38" s="196"/>
      <c r="RM38" s="196"/>
      <c r="RN38" s="196"/>
      <c r="RO38" s="196"/>
      <c r="RP38" s="196"/>
      <c r="RQ38" s="200"/>
      <c r="RR38" s="195"/>
      <c r="RS38" s="196"/>
      <c r="RT38" s="196"/>
      <c r="RU38" s="196"/>
      <c r="RV38" s="196"/>
      <c r="RW38" s="197"/>
      <c r="RX38" s="196"/>
      <c r="RY38" s="196"/>
      <c r="RZ38" s="196"/>
      <c r="SA38" s="196"/>
      <c r="SB38" s="196"/>
      <c r="SC38" s="198"/>
      <c r="SD38" s="196"/>
      <c r="SE38" s="196"/>
      <c r="SF38" s="196"/>
      <c r="SG38" s="196"/>
      <c r="SH38" s="196"/>
      <c r="SI38" s="199"/>
      <c r="SJ38" s="196"/>
      <c r="SK38" s="196"/>
      <c r="SL38" s="196"/>
      <c r="SM38" s="196"/>
      <c r="SN38" s="196"/>
      <c r="SO38" s="198"/>
      <c r="SP38" s="196"/>
      <c r="SQ38" s="196"/>
      <c r="SR38" s="196"/>
      <c r="SS38" s="196"/>
      <c r="ST38" s="196"/>
      <c r="SU38" s="199"/>
      <c r="SV38" s="196"/>
      <c r="SW38" s="196"/>
      <c r="SX38" s="196"/>
      <c r="SY38" s="196"/>
      <c r="SZ38" s="196"/>
      <c r="TA38" s="198"/>
      <c r="TB38" s="196"/>
      <c r="TC38" s="196"/>
      <c r="TD38" s="196"/>
      <c r="TE38" s="196"/>
      <c r="TF38" s="196"/>
      <c r="TG38" s="199"/>
      <c r="TH38" s="196"/>
      <c r="TI38" s="196"/>
      <c r="TJ38" s="196"/>
      <c r="TK38" s="196"/>
      <c r="TL38" s="196"/>
      <c r="TM38" s="198"/>
      <c r="TN38" s="196"/>
      <c r="TO38" s="196"/>
      <c r="TP38" s="196"/>
      <c r="TQ38" s="196"/>
      <c r="TR38" s="196"/>
      <c r="TS38" s="199"/>
      <c r="TT38" s="196"/>
      <c r="TU38" s="196"/>
      <c r="TV38" s="196"/>
      <c r="TW38" s="196"/>
      <c r="TX38" s="196"/>
      <c r="TY38" s="200"/>
      <c r="TZ38" s="195"/>
      <c r="UA38" s="196"/>
      <c r="UB38" s="196"/>
      <c r="UC38" s="196"/>
      <c r="UD38" s="196"/>
      <c r="UE38" s="197"/>
      <c r="UF38" s="196"/>
      <c r="UG38" s="196"/>
      <c r="UH38" s="196"/>
      <c r="UI38" s="196"/>
      <c r="UJ38" s="196"/>
      <c r="UK38" s="198"/>
      <c r="UL38" s="196"/>
      <c r="UM38" s="196"/>
      <c r="UN38" s="196"/>
      <c r="UO38" s="196"/>
      <c r="UP38" s="196"/>
      <c r="UQ38" s="199"/>
      <c r="UR38" s="196"/>
      <c r="US38" s="196"/>
      <c r="UT38" s="196"/>
      <c r="UU38" s="196"/>
      <c r="UV38" s="196"/>
      <c r="UW38" s="198"/>
      <c r="UX38" s="196"/>
      <c r="UY38" s="196"/>
      <c r="UZ38" s="196"/>
      <c r="VA38" s="196"/>
      <c r="VB38" s="196"/>
      <c r="VC38" s="199"/>
      <c r="VD38" s="196"/>
      <c r="VE38" s="196"/>
      <c r="VF38" s="196"/>
      <c r="VG38" s="196"/>
      <c r="VH38" s="196"/>
      <c r="VI38" s="198"/>
      <c r="VJ38" s="196"/>
      <c r="VK38" s="196"/>
      <c r="VL38" s="196"/>
      <c r="VM38" s="196"/>
      <c r="VN38" s="196"/>
      <c r="VO38" s="199"/>
      <c r="VP38" s="196"/>
      <c r="VQ38" s="196"/>
      <c r="VR38" s="196"/>
      <c r="VS38" s="196"/>
      <c r="VT38" s="196"/>
      <c r="VU38" s="198"/>
      <c r="VV38" s="196"/>
      <c r="VW38" s="196"/>
      <c r="VX38" s="196"/>
      <c r="VY38" s="196"/>
      <c r="VZ38" s="196"/>
      <c r="WA38" s="199"/>
      <c r="WB38" s="196"/>
      <c r="WC38" s="196"/>
      <c r="WD38" s="196"/>
      <c r="WE38" s="196"/>
      <c r="WF38" s="196"/>
      <c r="WG38" s="200"/>
      <c r="WH38" s="195"/>
      <c r="WI38" s="196"/>
      <c r="WJ38" s="196"/>
      <c r="WK38" s="196"/>
      <c r="WL38" s="196"/>
      <c r="WM38" s="197"/>
      <c r="WN38" s="196"/>
      <c r="WO38" s="196"/>
      <c r="WP38" s="196"/>
      <c r="WQ38" s="196"/>
      <c r="WR38" s="196"/>
      <c r="WS38" s="198"/>
      <c r="WT38" s="196"/>
      <c r="WU38" s="196"/>
      <c r="WV38" s="196"/>
      <c r="WW38" s="196"/>
      <c r="WX38" s="196"/>
      <c r="WY38" s="199"/>
      <c r="WZ38" s="196"/>
      <c r="XA38" s="196"/>
      <c r="XB38" s="196"/>
      <c r="XC38" s="196"/>
      <c r="XD38" s="196"/>
      <c r="XE38" s="198"/>
      <c r="XF38" s="196"/>
      <c r="XG38" s="196"/>
      <c r="XH38" s="196"/>
      <c r="XI38" s="196"/>
      <c r="XJ38" s="196"/>
      <c r="XK38" s="199"/>
      <c r="XL38" s="196"/>
      <c r="XM38" s="196"/>
      <c r="XN38" s="196"/>
      <c r="XO38" s="196"/>
      <c r="XP38" s="196"/>
      <c r="XQ38" s="198"/>
      <c r="XR38" s="196"/>
      <c r="XS38" s="196"/>
      <c r="XT38" s="196"/>
      <c r="XU38" s="196"/>
      <c r="XV38" s="196"/>
      <c r="XW38" s="199"/>
      <c r="XX38" s="196"/>
      <c r="XY38" s="196"/>
      <c r="XZ38" s="196"/>
      <c r="YA38" s="196"/>
      <c r="YB38" s="196"/>
      <c r="YC38" s="198"/>
      <c r="YD38" s="196"/>
      <c r="YE38" s="196"/>
      <c r="YF38" s="196"/>
      <c r="YG38" s="196"/>
      <c r="YH38" s="196"/>
      <c r="YI38" s="199"/>
      <c r="YJ38" s="196"/>
      <c r="YK38" s="196"/>
      <c r="YL38" s="196"/>
      <c r="YM38" s="196"/>
      <c r="YN38" s="196"/>
      <c r="YO38" s="200"/>
      <c r="YP38" s="195"/>
      <c r="YQ38" s="196"/>
      <c r="YR38" s="196"/>
      <c r="YS38" s="196"/>
      <c r="YT38" s="196"/>
      <c r="YU38" s="197"/>
      <c r="YV38" s="196"/>
      <c r="YW38" s="196"/>
      <c r="YX38" s="196"/>
      <c r="YY38" s="196"/>
      <c r="YZ38" s="196"/>
      <c r="ZA38" s="198"/>
      <c r="ZB38" s="196"/>
      <c r="ZC38" s="196"/>
      <c r="ZD38" s="196"/>
      <c r="ZE38" s="196"/>
      <c r="ZF38" s="196"/>
      <c r="ZG38" s="199"/>
      <c r="ZH38" s="196"/>
      <c r="ZI38" s="196"/>
      <c r="ZJ38" s="196"/>
      <c r="ZK38" s="196"/>
      <c r="ZL38" s="196"/>
      <c r="ZM38" s="198"/>
      <c r="ZN38" s="196"/>
      <c r="ZO38" s="196"/>
      <c r="ZP38" s="196"/>
      <c r="ZQ38" s="196"/>
      <c r="ZR38" s="196"/>
      <c r="ZS38" s="199"/>
      <c r="ZT38" s="196"/>
      <c r="ZU38" s="196"/>
      <c r="ZV38" s="196"/>
      <c r="ZW38" s="196"/>
      <c r="ZX38" s="196"/>
      <c r="ZY38" s="198"/>
      <c r="ZZ38" s="196"/>
      <c r="AAA38" s="196"/>
      <c r="AAB38" s="196"/>
      <c r="AAC38" s="196"/>
      <c r="AAD38" s="196"/>
      <c r="AAE38" s="199"/>
      <c r="AAF38" s="196"/>
      <c r="AAG38" s="196"/>
      <c r="AAH38" s="196"/>
      <c r="AAI38" s="196"/>
      <c r="AAJ38" s="196"/>
      <c r="AAK38" s="198"/>
      <c r="AAL38" s="196"/>
      <c r="AAM38" s="196"/>
      <c r="AAN38" s="196"/>
      <c r="AAO38" s="196"/>
      <c r="AAP38" s="196"/>
      <c r="AAQ38" s="199"/>
      <c r="AAR38" s="196"/>
      <c r="AAS38" s="196"/>
      <c r="AAT38" s="196"/>
      <c r="AAU38" s="196"/>
      <c r="AAV38" s="196"/>
      <c r="AAW38" s="200"/>
      <c r="AAX38" s="195"/>
      <c r="AAY38" s="196"/>
      <c r="AAZ38" s="196"/>
      <c r="ABA38" s="196"/>
      <c r="ABB38" s="196"/>
      <c r="ABC38" s="197"/>
      <c r="ABD38" s="196"/>
      <c r="ABE38" s="196"/>
      <c r="ABF38" s="196"/>
      <c r="ABG38" s="196"/>
      <c r="ABH38" s="196"/>
      <c r="ABI38" s="198"/>
      <c r="ABJ38" s="196"/>
      <c r="ABK38" s="196"/>
      <c r="ABL38" s="196"/>
      <c r="ABM38" s="196"/>
      <c r="ABN38" s="196"/>
      <c r="ABO38" s="199"/>
      <c r="ABP38" s="196"/>
      <c r="ABQ38" s="196"/>
      <c r="ABR38" s="196"/>
      <c r="ABS38" s="196"/>
      <c r="ABT38" s="196"/>
      <c r="ABU38" s="198"/>
      <c r="ABV38" s="196"/>
      <c r="ABW38" s="196"/>
      <c r="ABX38" s="196"/>
      <c r="ABY38" s="196"/>
      <c r="ABZ38" s="196"/>
      <c r="ACA38" s="199"/>
      <c r="ACB38" s="196"/>
      <c r="ACC38" s="196"/>
      <c r="ACD38" s="196"/>
      <c r="ACE38" s="196"/>
      <c r="ACF38" s="196"/>
      <c r="ACG38" s="198"/>
      <c r="ACH38" s="196"/>
      <c r="ACI38" s="196"/>
      <c r="ACJ38" s="196"/>
      <c r="ACK38" s="196"/>
      <c r="ACL38" s="196"/>
      <c r="ACM38" s="199"/>
      <c r="ACN38" s="196"/>
      <c r="ACO38" s="196"/>
      <c r="ACP38" s="196"/>
      <c r="ACQ38" s="196"/>
      <c r="ACR38" s="196"/>
      <c r="ACS38" s="198"/>
      <c r="ACT38" s="196"/>
      <c r="ACU38" s="196"/>
      <c r="ACV38" s="196"/>
      <c r="ACW38" s="196"/>
      <c r="ACX38" s="196"/>
      <c r="ACY38" s="199"/>
      <c r="ACZ38" s="196"/>
      <c r="ADA38" s="196"/>
      <c r="ADB38" s="196"/>
      <c r="ADC38" s="196"/>
      <c r="ADD38" s="196"/>
      <c r="ADE38" s="200"/>
      <c r="ADF38" s="195"/>
      <c r="ADG38" s="196"/>
      <c r="ADH38" s="196"/>
      <c r="ADI38" s="196"/>
      <c r="ADJ38" s="196"/>
      <c r="ADK38" s="197"/>
      <c r="ADL38" s="196"/>
      <c r="ADM38" s="196"/>
      <c r="ADN38" s="196"/>
      <c r="ADO38" s="196"/>
      <c r="ADP38" s="196"/>
      <c r="ADQ38" s="198"/>
      <c r="ADR38" s="196"/>
      <c r="ADS38" s="196"/>
      <c r="ADT38" s="196"/>
      <c r="ADU38" s="196"/>
      <c r="ADV38" s="196"/>
      <c r="ADW38" s="199"/>
      <c r="ADX38" s="196"/>
      <c r="ADY38" s="196"/>
      <c r="ADZ38" s="196"/>
      <c r="AEA38" s="196"/>
      <c r="AEB38" s="196"/>
      <c r="AEC38" s="198"/>
      <c r="AED38" s="196"/>
      <c r="AEE38" s="196"/>
      <c r="AEF38" s="196"/>
      <c r="AEG38" s="196"/>
      <c r="AEH38" s="196"/>
      <c r="AEI38" s="199"/>
      <c r="AEJ38" s="196"/>
      <c r="AEK38" s="196"/>
      <c r="AEL38" s="196"/>
      <c r="AEM38" s="196"/>
      <c r="AEN38" s="196"/>
      <c r="AEO38" s="198"/>
      <c r="AEP38" s="196"/>
      <c r="AEQ38" s="196"/>
      <c r="AER38" s="196"/>
      <c r="AES38" s="196"/>
      <c r="AET38" s="196"/>
      <c r="AEU38" s="199"/>
      <c r="AEV38" s="196"/>
      <c r="AEW38" s="196"/>
      <c r="AEX38" s="196"/>
      <c r="AEY38" s="196"/>
      <c r="AEZ38" s="196"/>
      <c r="AFA38" s="198"/>
      <c r="AFB38" s="196"/>
      <c r="AFC38" s="196"/>
      <c r="AFD38" s="196"/>
      <c r="AFE38" s="196"/>
      <c r="AFF38" s="196"/>
      <c r="AFG38" s="199"/>
      <c r="AFH38" s="196"/>
      <c r="AFI38" s="196"/>
      <c r="AFJ38" s="196"/>
      <c r="AFK38" s="196"/>
      <c r="AFL38" s="196"/>
      <c r="AFM38" s="200"/>
      <c r="AFN38" s="195"/>
      <c r="AFO38" s="196"/>
      <c r="AFP38" s="196"/>
      <c r="AFQ38" s="196"/>
      <c r="AFR38" s="196"/>
      <c r="AFS38" s="197"/>
      <c r="AFT38" s="196"/>
      <c r="AFU38" s="196"/>
      <c r="AFV38" s="196"/>
      <c r="AFW38" s="196"/>
      <c r="AFX38" s="196"/>
      <c r="AFY38" s="198"/>
      <c r="AFZ38" s="196"/>
      <c r="AGA38" s="196"/>
      <c r="AGB38" s="196"/>
      <c r="AGC38" s="196"/>
      <c r="AGD38" s="196"/>
      <c r="AGE38" s="199"/>
      <c r="AGF38" s="196"/>
      <c r="AGG38" s="196"/>
      <c r="AGH38" s="196"/>
      <c r="AGI38" s="196"/>
      <c r="AGJ38" s="196"/>
      <c r="AGK38" s="198"/>
      <c r="AGL38" s="196"/>
      <c r="AGM38" s="196"/>
      <c r="AGN38" s="196"/>
      <c r="AGO38" s="196"/>
      <c r="AGP38" s="196"/>
      <c r="AGQ38" s="199"/>
      <c r="AGR38" s="196"/>
      <c r="AGS38" s="196"/>
      <c r="AGT38" s="196"/>
      <c r="AGU38" s="196"/>
      <c r="AGV38" s="196"/>
      <c r="AGW38" s="198"/>
      <c r="AGX38" s="196"/>
      <c r="AGY38" s="196"/>
      <c r="AGZ38" s="196"/>
      <c r="AHA38" s="196"/>
      <c r="AHB38" s="196"/>
      <c r="AHC38" s="199"/>
      <c r="AHD38" s="196"/>
      <c r="AHE38" s="196"/>
      <c r="AHF38" s="196"/>
      <c r="AHG38" s="196"/>
      <c r="AHH38" s="196"/>
      <c r="AHI38" s="198"/>
      <c r="AHJ38" s="196"/>
      <c r="AHK38" s="196"/>
      <c r="AHL38" s="196"/>
      <c r="AHM38" s="196"/>
      <c r="AHN38" s="196"/>
      <c r="AHO38" s="199"/>
      <c r="AHP38" s="196"/>
      <c r="AHQ38" s="196"/>
      <c r="AHR38" s="196"/>
      <c r="AHS38" s="196"/>
      <c r="AHT38" s="196"/>
      <c r="AHU38" s="200"/>
      <c r="AHV38" s="195"/>
      <c r="AHW38" s="196"/>
      <c r="AHX38" s="196"/>
      <c r="AHY38" s="196"/>
      <c r="AHZ38" s="196"/>
      <c r="AIA38" s="197"/>
      <c r="AIB38" s="196"/>
      <c r="AIC38" s="196"/>
      <c r="AID38" s="196"/>
      <c r="AIE38" s="196"/>
      <c r="AIF38" s="196"/>
      <c r="AIG38" s="198"/>
      <c r="AIH38" s="196"/>
      <c r="AII38" s="196"/>
      <c r="AIJ38" s="196"/>
      <c r="AIK38" s="196"/>
      <c r="AIL38" s="196"/>
      <c r="AIM38" s="199"/>
      <c r="AIN38" s="196"/>
      <c r="AIO38" s="196"/>
      <c r="AIP38" s="196"/>
      <c r="AIQ38" s="196"/>
      <c r="AIR38" s="196"/>
      <c r="AIS38" s="198"/>
      <c r="AIT38" s="196"/>
      <c r="AIU38" s="196"/>
      <c r="AIV38" s="196"/>
      <c r="AIW38" s="196"/>
      <c r="AIX38" s="196"/>
      <c r="AIY38" s="199"/>
      <c r="AIZ38" s="196"/>
      <c r="AJA38" s="196"/>
      <c r="AJB38" s="196"/>
      <c r="AJC38" s="196"/>
      <c r="AJD38" s="196"/>
      <c r="AJE38" s="198"/>
      <c r="AJF38" s="196"/>
      <c r="AJG38" s="196"/>
      <c r="AJH38" s="196"/>
      <c r="AJI38" s="196"/>
      <c r="AJJ38" s="196"/>
      <c r="AJK38" s="199"/>
      <c r="AJL38" s="196"/>
      <c r="AJM38" s="196"/>
      <c r="AJN38" s="196"/>
      <c r="AJO38" s="196"/>
      <c r="AJP38" s="196"/>
      <c r="AJQ38" s="198"/>
      <c r="AJR38" s="196"/>
      <c r="AJS38" s="196"/>
      <c r="AJT38" s="196"/>
      <c r="AJU38" s="196"/>
      <c r="AJV38" s="196"/>
      <c r="AJW38" s="199"/>
      <c r="AJX38" s="196"/>
      <c r="AJY38" s="196"/>
      <c r="AJZ38" s="196"/>
      <c r="AKA38" s="196"/>
      <c r="AKB38" s="196"/>
      <c r="AKC38" s="200"/>
      <c r="AKD38" s="195"/>
      <c r="AKE38" s="196"/>
      <c r="AKF38" s="196"/>
      <c r="AKG38" s="196"/>
      <c r="AKH38" s="196"/>
      <c r="AKI38" s="197"/>
      <c r="AKJ38" s="196"/>
      <c r="AKK38" s="196"/>
      <c r="AKL38" s="196"/>
      <c r="AKM38" s="196"/>
      <c r="AKN38" s="196"/>
      <c r="AKO38" s="198"/>
      <c r="AKP38" s="196"/>
      <c r="AKQ38" s="196"/>
      <c r="AKR38" s="196"/>
      <c r="AKS38" s="196"/>
      <c r="AKT38" s="196"/>
      <c r="AKU38" s="199"/>
      <c r="AKV38" s="196"/>
      <c r="AKW38" s="196"/>
      <c r="AKX38" s="196"/>
      <c r="AKY38" s="196"/>
      <c r="AKZ38" s="196"/>
      <c r="ALA38" s="198"/>
      <c r="ALB38" s="196"/>
      <c r="ALC38" s="196"/>
      <c r="ALD38" s="196"/>
      <c r="ALE38" s="196"/>
      <c r="ALF38" s="196"/>
      <c r="ALG38" s="199"/>
      <c r="ALH38" s="196"/>
      <c r="ALI38" s="196"/>
      <c r="ALJ38" s="196"/>
      <c r="ALK38" s="196"/>
      <c r="ALL38" s="196"/>
      <c r="ALM38" s="198"/>
      <c r="ALN38" s="196"/>
      <c r="ALO38" s="196"/>
      <c r="ALP38" s="196"/>
      <c r="ALQ38" s="196"/>
      <c r="ALR38" s="196"/>
      <c r="ALS38" s="199"/>
      <c r="ALT38" s="196"/>
      <c r="ALU38" s="196"/>
      <c r="ALV38" s="196"/>
      <c r="ALW38" s="196"/>
      <c r="ALX38" s="196"/>
      <c r="ALY38" s="198"/>
      <c r="ALZ38" s="196"/>
      <c r="AMA38" s="196"/>
      <c r="AMB38" s="196"/>
      <c r="AMC38" s="196"/>
      <c r="AMD38" s="196"/>
      <c r="AME38" s="199"/>
      <c r="AMF38" s="196"/>
      <c r="AMG38" s="196"/>
      <c r="AMH38" s="196"/>
      <c r="AMI38" s="196"/>
      <c r="AMJ38" s="196"/>
      <c r="AMK38" s="200"/>
      <c r="AML38" s="195"/>
      <c r="AMM38" s="196"/>
      <c r="AMN38" s="196"/>
      <c r="AMO38" s="196"/>
      <c r="AMP38" s="196"/>
      <c r="AMQ38" s="197"/>
      <c r="AMR38" s="196"/>
      <c r="AMS38" s="196"/>
      <c r="AMT38" s="196"/>
      <c r="AMU38" s="196"/>
      <c r="AMV38" s="196"/>
      <c r="AMW38" s="198"/>
      <c r="AMX38" s="196"/>
      <c r="AMY38" s="196"/>
      <c r="AMZ38" s="196"/>
      <c r="ANA38" s="196"/>
      <c r="ANB38" s="196"/>
      <c r="ANC38" s="199"/>
      <c r="AND38" s="196"/>
      <c r="ANE38" s="196"/>
      <c r="ANF38" s="196"/>
      <c r="ANG38" s="196"/>
      <c r="ANH38" s="196"/>
      <c r="ANI38" s="198"/>
      <c r="ANJ38" s="196"/>
      <c r="ANK38" s="196"/>
      <c r="ANL38" s="196"/>
      <c r="ANM38" s="196"/>
      <c r="ANN38" s="196"/>
      <c r="ANO38" s="199"/>
      <c r="ANP38" s="196"/>
      <c r="ANQ38" s="196"/>
      <c r="ANR38" s="196"/>
      <c r="ANS38" s="196"/>
      <c r="ANT38" s="196"/>
      <c r="ANU38" s="198"/>
      <c r="ANV38" s="196"/>
      <c r="ANW38" s="196"/>
      <c r="ANX38" s="196"/>
      <c r="ANY38" s="196"/>
      <c r="ANZ38" s="196"/>
      <c r="AOA38" s="199"/>
      <c r="AOB38" s="196"/>
      <c r="AOC38" s="196"/>
      <c r="AOD38" s="196"/>
      <c r="AOE38" s="196"/>
      <c r="AOF38" s="196"/>
      <c r="AOG38" s="198"/>
      <c r="AOH38" s="196"/>
      <c r="AOI38" s="196"/>
      <c r="AOJ38" s="196"/>
      <c r="AOK38" s="196"/>
      <c r="AOL38" s="196"/>
      <c r="AOM38" s="199"/>
      <c r="AON38" s="196"/>
      <c r="AOO38" s="196"/>
      <c r="AOP38" s="196"/>
      <c r="AOQ38" s="196"/>
      <c r="AOR38" s="196"/>
      <c r="AOS38" s="200"/>
      <c r="AOT38" s="195"/>
      <c r="AOU38" s="196"/>
      <c r="AOV38" s="196"/>
      <c r="AOW38" s="196"/>
      <c r="AOX38" s="196"/>
      <c r="AOY38" s="197"/>
      <c r="AOZ38" s="196"/>
      <c r="APA38" s="196"/>
      <c r="APB38" s="196"/>
      <c r="APC38" s="196"/>
      <c r="APD38" s="196"/>
      <c r="APE38" s="198"/>
      <c r="APF38" s="196"/>
      <c r="APG38" s="196"/>
      <c r="APH38" s="196"/>
      <c r="API38" s="196"/>
      <c r="APJ38" s="196"/>
      <c r="APK38" s="199"/>
      <c r="APL38" s="196"/>
      <c r="APM38" s="196"/>
      <c r="APN38" s="196"/>
      <c r="APO38" s="196"/>
      <c r="APP38" s="196"/>
      <c r="APQ38" s="198"/>
      <c r="APR38" s="196"/>
      <c r="APS38" s="196"/>
      <c r="APT38" s="196"/>
      <c r="APU38" s="196"/>
      <c r="APV38" s="196"/>
      <c r="APW38" s="199"/>
      <c r="APX38" s="196"/>
      <c r="APY38" s="196"/>
      <c r="APZ38" s="196"/>
      <c r="AQA38" s="196"/>
      <c r="AQB38" s="196"/>
      <c r="AQC38" s="198"/>
      <c r="AQD38" s="196"/>
      <c r="AQE38" s="196"/>
      <c r="AQF38" s="196"/>
      <c r="AQG38" s="196"/>
      <c r="AQH38" s="196"/>
      <c r="AQI38" s="199"/>
      <c r="AQJ38" s="196"/>
      <c r="AQK38" s="196"/>
      <c r="AQL38" s="196"/>
      <c r="AQM38" s="196"/>
      <c r="AQN38" s="196"/>
      <c r="AQO38" s="198"/>
      <c r="AQP38" s="196"/>
      <c r="AQQ38" s="196"/>
      <c r="AQR38" s="196"/>
      <c r="AQS38" s="196"/>
      <c r="AQT38" s="196"/>
      <c r="AQU38" s="199"/>
      <c r="AQV38" s="196"/>
      <c r="AQW38" s="196"/>
      <c r="AQX38" s="196"/>
      <c r="AQY38" s="196"/>
      <c r="AQZ38" s="196"/>
      <c r="ARA38" s="200"/>
      <c r="ARB38" s="195"/>
      <c r="ARC38" s="196"/>
      <c r="ARD38" s="196"/>
      <c r="ARE38" s="196"/>
      <c r="ARF38" s="196"/>
      <c r="ARG38" s="197"/>
      <c r="ARH38" s="196"/>
      <c r="ARI38" s="196"/>
      <c r="ARJ38" s="196"/>
      <c r="ARK38" s="196"/>
      <c r="ARL38" s="196"/>
      <c r="ARM38" s="198"/>
      <c r="ARN38" s="196"/>
      <c r="ARO38" s="196"/>
      <c r="ARP38" s="196"/>
      <c r="ARQ38" s="196"/>
      <c r="ARR38" s="196"/>
      <c r="ARS38" s="199"/>
      <c r="ART38" s="196"/>
      <c r="ARU38" s="196"/>
      <c r="ARV38" s="196"/>
      <c r="ARW38" s="196"/>
      <c r="ARX38" s="196"/>
      <c r="ARY38" s="198"/>
      <c r="ARZ38" s="196"/>
      <c r="ASA38" s="196"/>
      <c r="ASB38" s="196"/>
      <c r="ASC38" s="196"/>
      <c r="ASD38" s="196"/>
      <c r="ASE38" s="199"/>
      <c r="ASF38" s="196"/>
      <c r="ASG38" s="196"/>
      <c r="ASH38" s="196"/>
      <c r="ASI38" s="196"/>
      <c r="ASJ38" s="196"/>
      <c r="ASK38" s="198"/>
      <c r="ASL38" s="196"/>
      <c r="ASM38" s="196"/>
      <c r="ASN38" s="196"/>
      <c r="ASO38" s="196"/>
      <c r="ASP38" s="196"/>
      <c r="ASQ38" s="199"/>
      <c r="ASR38" s="196"/>
      <c r="ASS38" s="196"/>
      <c r="AST38" s="196"/>
      <c r="ASU38" s="196"/>
      <c r="ASV38" s="196"/>
      <c r="ASW38" s="198"/>
      <c r="ASX38" s="196"/>
      <c r="ASY38" s="196"/>
      <c r="ASZ38" s="196"/>
      <c r="ATA38" s="196"/>
      <c r="ATB38" s="196"/>
      <c r="ATC38" s="199"/>
      <c r="ATD38" s="196"/>
      <c r="ATE38" s="196"/>
      <c r="ATF38" s="196"/>
      <c r="ATG38" s="196"/>
      <c r="ATH38" s="196"/>
      <c r="ATI38" s="200"/>
      <c r="ATJ38" s="195"/>
      <c r="ATK38" s="196"/>
      <c r="ATL38" s="196"/>
      <c r="ATM38" s="196"/>
      <c r="ATN38" s="196"/>
      <c r="ATO38" s="197"/>
      <c r="ATP38" s="196"/>
      <c r="ATQ38" s="196"/>
      <c r="ATR38" s="196"/>
      <c r="ATS38" s="196"/>
      <c r="ATT38" s="196"/>
      <c r="ATU38" s="198"/>
      <c r="ATV38" s="196"/>
      <c r="ATW38" s="196"/>
      <c r="ATX38" s="196"/>
      <c r="ATY38" s="196"/>
      <c r="ATZ38" s="196"/>
      <c r="AUA38" s="199"/>
      <c r="AUB38" s="196"/>
      <c r="AUC38" s="196"/>
      <c r="AUD38" s="196"/>
      <c r="AUE38" s="196"/>
      <c r="AUF38" s="196"/>
      <c r="AUG38" s="198"/>
      <c r="AUH38" s="196"/>
      <c r="AUI38" s="196"/>
      <c r="AUJ38" s="196"/>
      <c r="AUK38" s="196"/>
      <c r="AUL38" s="196"/>
      <c r="AUM38" s="199"/>
      <c r="AUN38" s="196"/>
      <c r="AUO38" s="196"/>
      <c r="AUP38" s="196"/>
      <c r="AUQ38" s="196"/>
      <c r="AUR38" s="196"/>
      <c r="AUS38" s="198"/>
      <c r="AUT38" s="196"/>
      <c r="AUU38" s="196"/>
      <c r="AUV38" s="196"/>
      <c r="AUW38" s="196"/>
      <c r="AUX38" s="196"/>
      <c r="AUY38" s="199"/>
      <c r="AUZ38" s="196"/>
      <c r="AVA38" s="196"/>
      <c r="AVB38" s="196"/>
      <c r="AVC38" s="196"/>
      <c r="AVD38" s="196"/>
      <c r="AVE38" s="198"/>
      <c r="AVF38" s="196"/>
      <c r="AVG38" s="196"/>
      <c r="AVH38" s="196"/>
      <c r="AVI38" s="196"/>
      <c r="AVJ38" s="196"/>
      <c r="AVK38" s="199"/>
      <c r="AVL38" s="196"/>
      <c r="AVM38" s="196"/>
      <c r="AVN38" s="196"/>
      <c r="AVO38" s="196"/>
      <c r="AVP38" s="196"/>
      <c r="AVQ38" s="200"/>
      <c r="AVR38" s="195"/>
      <c r="AVS38" s="196"/>
      <c r="AVT38" s="196"/>
      <c r="AVU38" s="196"/>
      <c r="AVV38" s="196"/>
      <c r="AVW38" s="197"/>
      <c r="AVX38" s="196"/>
      <c r="AVY38" s="196"/>
      <c r="AVZ38" s="196"/>
      <c r="AWA38" s="196"/>
      <c r="AWB38" s="196"/>
      <c r="AWC38" s="198"/>
      <c r="AWD38" s="196"/>
      <c r="AWE38" s="196"/>
      <c r="AWF38" s="196"/>
      <c r="AWG38" s="196"/>
      <c r="AWH38" s="196"/>
      <c r="AWI38" s="199"/>
      <c r="AWJ38" s="196"/>
      <c r="AWK38" s="196"/>
      <c r="AWL38" s="196"/>
      <c r="AWM38" s="196"/>
      <c r="AWN38" s="196"/>
      <c r="AWO38" s="198"/>
      <c r="AWP38" s="196"/>
      <c r="AWQ38" s="196"/>
      <c r="AWR38" s="196"/>
      <c r="AWS38" s="196"/>
      <c r="AWT38" s="196"/>
      <c r="AWU38" s="199"/>
      <c r="AWV38" s="196"/>
      <c r="AWW38" s="196"/>
      <c r="AWX38" s="196"/>
      <c r="AWY38" s="196"/>
      <c r="AWZ38" s="196"/>
      <c r="AXA38" s="198"/>
      <c r="AXB38" s="196"/>
      <c r="AXC38" s="196"/>
      <c r="AXD38" s="196"/>
      <c r="AXE38" s="196"/>
      <c r="AXF38" s="196"/>
      <c r="AXG38" s="199"/>
      <c r="AXH38" s="196"/>
      <c r="AXI38" s="196"/>
      <c r="AXJ38" s="196"/>
      <c r="AXK38" s="196"/>
      <c r="AXL38" s="196"/>
      <c r="AXM38" s="198"/>
      <c r="AXN38" s="196"/>
      <c r="AXO38" s="196"/>
      <c r="AXP38" s="196"/>
      <c r="AXQ38" s="196"/>
      <c r="AXR38" s="196"/>
      <c r="AXS38" s="199"/>
      <c r="AXT38" s="196"/>
      <c r="AXU38" s="196"/>
      <c r="AXV38" s="196"/>
      <c r="AXW38" s="196"/>
      <c r="AXX38" s="196"/>
      <c r="AXY38" s="200"/>
      <c r="AXZ38" s="195"/>
      <c r="AYA38" s="196"/>
      <c r="AYB38" s="196"/>
      <c r="AYC38" s="196"/>
      <c r="AYD38" s="196"/>
      <c r="AYE38" s="197"/>
      <c r="AYF38" s="196"/>
      <c r="AYG38" s="196"/>
      <c r="AYH38" s="196"/>
      <c r="AYI38" s="196"/>
      <c r="AYJ38" s="196"/>
      <c r="AYK38" s="198"/>
      <c r="AYL38" s="196"/>
      <c r="AYM38" s="196"/>
      <c r="AYN38" s="196"/>
      <c r="AYO38" s="196"/>
      <c r="AYP38" s="196"/>
      <c r="AYQ38" s="199"/>
      <c r="AYR38" s="196"/>
      <c r="AYS38" s="196"/>
      <c r="AYT38" s="196"/>
      <c r="AYU38" s="196"/>
      <c r="AYV38" s="196"/>
      <c r="AYW38" s="198"/>
      <c r="AYX38" s="196"/>
      <c r="AYY38" s="196"/>
      <c r="AYZ38" s="196"/>
      <c r="AZA38" s="196"/>
      <c r="AZB38" s="196"/>
      <c r="AZC38" s="199"/>
      <c r="AZD38" s="196"/>
      <c r="AZE38" s="196"/>
      <c r="AZF38" s="196"/>
      <c r="AZG38" s="196"/>
      <c r="AZH38" s="196"/>
      <c r="AZI38" s="198"/>
      <c r="AZJ38" s="196"/>
      <c r="AZK38" s="196"/>
      <c r="AZL38" s="196"/>
      <c r="AZM38" s="196"/>
      <c r="AZN38" s="196"/>
      <c r="AZO38" s="199"/>
      <c r="AZP38" s="196"/>
      <c r="AZQ38" s="196"/>
      <c r="AZR38" s="196"/>
      <c r="AZS38" s="196"/>
      <c r="AZT38" s="196"/>
      <c r="AZU38" s="198"/>
      <c r="AZV38" s="196"/>
      <c r="AZW38" s="196"/>
      <c r="AZX38" s="196"/>
      <c r="AZY38" s="196"/>
      <c r="AZZ38" s="196"/>
      <c r="BAA38" s="199"/>
      <c r="BAB38" s="196"/>
      <c r="BAC38" s="196"/>
      <c r="BAD38" s="196"/>
      <c r="BAE38" s="196"/>
      <c r="BAF38" s="196"/>
      <c r="BAG38" s="200"/>
      <c r="BAH38" s="195"/>
      <c r="BAI38" s="196"/>
      <c r="BAJ38" s="196"/>
      <c r="BAK38" s="196"/>
      <c r="BAL38" s="196"/>
      <c r="BAM38" s="197"/>
      <c r="BAN38" s="196"/>
      <c r="BAO38" s="196"/>
      <c r="BAP38" s="196"/>
      <c r="BAQ38" s="196"/>
      <c r="BAR38" s="196"/>
      <c r="BAS38" s="198"/>
      <c r="BAT38" s="196"/>
      <c r="BAU38" s="196"/>
      <c r="BAV38" s="196"/>
      <c r="BAW38" s="196"/>
      <c r="BAX38" s="196"/>
      <c r="BAY38" s="199"/>
      <c r="BAZ38" s="196"/>
      <c r="BBA38" s="196"/>
      <c r="BBB38" s="196"/>
      <c r="BBC38" s="196"/>
      <c r="BBD38" s="196"/>
      <c r="BBE38" s="198"/>
      <c r="BBF38" s="196"/>
      <c r="BBG38" s="196"/>
      <c r="BBH38" s="196"/>
      <c r="BBI38" s="196"/>
      <c r="BBJ38" s="196"/>
      <c r="BBK38" s="199"/>
      <c r="BBL38" s="196"/>
      <c r="BBM38" s="196"/>
      <c r="BBN38" s="196"/>
      <c r="BBO38" s="196"/>
      <c r="BBP38" s="196"/>
      <c r="BBQ38" s="198"/>
      <c r="BBR38" s="196"/>
      <c r="BBS38" s="196"/>
      <c r="BBT38" s="196"/>
      <c r="BBU38" s="196"/>
      <c r="BBV38" s="196"/>
      <c r="BBW38" s="199"/>
      <c r="BBX38" s="196"/>
      <c r="BBY38" s="196"/>
      <c r="BBZ38" s="196"/>
      <c r="BCA38" s="196"/>
      <c r="BCB38" s="196"/>
      <c r="BCC38" s="198"/>
      <c r="BCD38" s="196"/>
      <c r="BCE38" s="196"/>
      <c r="BCF38" s="196"/>
      <c r="BCG38" s="196"/>
      <c r="BCH38" s="196"/>
      <c r="BCI38" s="199"/>
      <c r="BCJ38" s="196"/>
      <c r="BCK38" s="196"/>
      <c r="BCL38" s="196"/>
      <c r="BCM38" s="196"/>
      <c r="BCN38" s="196"/>
      <c r="BCO38" s="200"/>
      <c r="BCP38" s="195"/>
      <c r="BCQ38" s="196"/>
      <c r="BCR38" s="196"/>
      <c r="BCS38" s="196"/>
      <c r="BCT38" s="196"/>
      <c r="BCU38" s="197"/>
      <c r="BCV38" s="196"/>
      <c r="BCW38" s="196"/>
      <c r="BCX38" s="196"/>
      <c r="BCY38" s="196"/>
      <c r="BCZ38" s="196"/>
      <c r="BDA38" s="198"/>
      <c r="BDB38" s="196"/>
      <c r="BDC38" s="196"/>
      <c r="BDD38" s="196"/>
      <c r="BDE38" s="196"/>
      <c r="BDF38" s="196"/>
      <c r="BDG38" s="199"/>
      <c r="BDH38" s="196"/>
      <c r="BDI38" s="196"/>
      <c r="BDJ38" s="196"/>
      <c r="BDK38" s="196"/>
      <c r="BDL38" s="196"/>
      <c r="BDM38" s="198"/>
      <c r="BDN38" s="196"/>
      <c r="BDO38" s="196"/>
      <c r="BDP38" s="196"/>
      <c r="BDQ38" s="196"/>
      <c r="BDR38" s="196"/>
      <c r="BDS38" s="199"/>
      <c r="BDT38" s="196"/>
      <c r="BDU38" s="196"/>
      <c r="BDV38" s="196"/>
      <c r="BDW38" s="196"/>
      <c r="BDX38" s="196"/>
      <c r="BDY38" s="198"/>
      <c r="BDZ38" s="196"/>
      <c r="BEA38" s="196"/>
      <c r="BEB38" s="196"/>
      <c r="BEC38" s="196"/>
      <c r="BED38" s="196"/>
      <c r="BEE38" s="199"/>
      <c r="BEF38" s="196"/>
      <c r="BEG38" s="196"/>
      <c r="BEH38" s="196"/>
      <c r="BEI38" s="196"/>
      <c r="BEJ38" s="196"/>
      <c r="BEK38" s="198"/>
      <c r="BEL38" s="196"/>
      <c r="BEM38" s="196"/>
      <c r="BEN38" s="196"/>
      <c r="BEO38" s="196"/>
      <c r="BEP38" s="196"/>
      <c r="BEQ38" s="199"/>
      <c r="BER38" s="196"/>
      <c r="BES38" s="196"/>
      <c r="BET38" s="196"/>
      <c r="BEU38" s="196"/>
      <c r="BEV38" s="196"/>
      <c r="BEW38" s="200"/>
      <c r="BEX38" s="195"/>
      <c r="BEY38" s="196"/>
      <c r="BEZ38" s="196"/>
      <c r="BFA38" s="196"/>
      <c r="BFB38" s="196"/>
      <c r="BFC38" s="197"/>
      <c r="BFD38" s="196"/>
      <c r="BFE38" s="196"/>
      <c r="BFF38" s="196"/>
      <c r="BFG38" s="196"/>
      <c r="BFH38" s="196"/>
      <c r="BFI38" s="198"/>
      <c r="BFJ38" s="196"/>
      <c r="BFK38" s="196"/>
      <c r="BFL38" s="196"/>
      <c r="BFM38" s="196"/>
      <c r="BFN38" s="196"/>
      <c r="BFO38" s="199"/>
      <c r="BFP38" s="196"/>
      <c r="BFQ38" s="196"/>
      <c r="BFR38" s="196"/>
      <c r="BFS38" s="196"/>
      <c r="BFT38" s="196"/>
      <c r="BFU38" s="198"/>
      <c r="BFV38" s="196"/>
      <c r="BFW38" s="196"/>
      <c r="BFX38" s="196"/>
      <c r="BFY38" s="196"/>
      <c r="BFZ38" s="196"/>
      <c r="BGA38" s="199"/>
      <c r="BGB38" s="196"/>
      <c r="BGC38" s="196"/>
      <c r="BGD38" s="196"/>
      <c r="BGE38" s="196"/>
      <c r="BGF38" s="196"/>
      <c r="BGG38" s="198"/>
      <c r="BGH38" s="196"/>
      <c r="BGI38" s="196"/>
      <c r="BGJ38" s="196"/>
      <c r="BGK38" s="196"/>
      <c r="BGL38" s="196"/>
      <c r="BGM38" s="199"/>
      <c r="BGN38" s="196"/>
      <c r="BGO38" s="196"/>
      <c r="BGP38" s="196"/>
      <c r="BGQ38" s="196"/>
      <c r="BGR38" s="196"/>
      <c r="BGS38" s="198"/>
      <c r="BGT38" s="196"/>
      <c r="BGU38" s="196"/>
      <c r="BGV38" s="196"/>
      <c r="BGW38" s="196"/>
      <c r="BGX38" s="196"/>
      <c r="BGY38" s="199"/>
      <c r="BGZ38" s="196"/>
      <c r="BHA38" s="196"/>
      <c r="BHB38" s="196"/>
      <c r="BHC38" s="196"/>
      <c r="BHD38" s="196"/>
      <c r="BHE38" s="200"/>
      <c r="BHF38" s="187"/>
      <c r="BHG38" s="188"/>
      <c r="BHH38" s="188"/>
      <c r="BHI38" s="188"/>
      <c r="BHJ38" s="188"/>
      <c r="BHK38" s="188"/>
      <c r="BHL38" s="188"/>
      <c r="BHM38" s="188"/>
      <c r="BHN38" s="188"/>
      <c r="BHO38" s="188"/>
      <c r="BHP38" s="188"/>
      <c r="BHQ38" s="188"/>
      <c r="BHR38" s="188"/>
      <c r="BHS38" s="188"/>
      <c r="BHT38" s="188"/>
      <c r="BHU38" s="188"/>
      <c r="BHV38" s="188"/>
      <c r="BHW38" s="188"/>
      <c r="BHX38" s="188"/>
      <c r="BHY38" s="188"/>
      <c r="BHZ38" s="188"/>
      <c r="BIA38" s="188"/>
      <c r="BIB38" s="188"/>
      <c r="BIC38" s="188"/>
      <c r="BID38" s="188"/>
      <c r="BIE38" s="188"/>
      <c r="BIF38" s="188"/>
      <c r="BIG38" s="188"/>
      <c r="BIH38" s="188"/>
      <c r="BII38" s="188"/>
      <c r="BIJ38" s="188"/>
      <c r="BIK38" s="188"/>
      <c r="BIL38" s="188"/>
      <c r="BIM38" s="188"/>
      <c r="BIN38" s="188"/>
      <c r="BIO38" s="188"/>
      <c r="BIP38" s="188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230" t="s">
        <v>54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72"/>
      <c r="ZV39" s="172"/>
      <c r="ZW39" s="172"/>
      <c r="ZX39" s="172"/>
      <c r="ZY39" s="174"/>
      <c r="ZZ39" s="172"/>
      <c r="AAA39" s="172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71"/>
      <c r="AAY39" s="172"/>
      <c r="AAZ39" s="172"/>
      <c r="ABA39" s="172"/>
      <c r="ABB39" s="172"/>
      <c r="ABC39" s="173"/>
      <c r="ABD39" s="172"/>
      <c r="ABE39" s="172"/>
      <c r="ABF39" s="172"/>
      <c r="ABG39" s="172"/>
      <c r="ABH39" s="172"/>
      <c r="ABI39" s="174"/>
      <c r="ABJ39" s="172"/>
      <c r="ABK39" s="172"/>
      <c r="ABL39" s="172"/>
      <c r="ABM39" s="172"/>
      <c r="ABN39" s="172"/>
      <c r="ABO39" s="175"/>
      <c r="ABP39" s="172"/>
      <c r="ABQ39" s="172"/>
      <c r="ABR39" s="172"/>
      <c r="ABS39" s="172"/>
      <c r="ABT39" s="172"/>
      <c r="ABU39" s="174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87"/>
      <c r="BHG39" s="188"/>
      <c r="BHH39" s="188"/>
      <c r="BHI39" s="188"/>
      <c r="BHJ39" s="188"/>
      <c r="BHK39" s="188"/>
      <c r="BHL39" s="188"/>
      <c r="BHM39" s="188"/>
      <c r="BHN39" s="188"/>
      <c r="BHO39" s="188"/>
      <c r="BHP39" s="188"/>
      <c r="BHQ39" s="188"/>
      <c r="BHR39" s="188"/>
      <c r="BHS39" s="188"/>
      <c r="BHT39" s="188"/>
      <c r="BHU39" s="188"/>
      <c r="BHV39" s="188"/>
      <c r="BHW39" s="188"/>
      <c r="BHX39" s="188"/>
      <c r="BHY39" s="188"/>
      <c r="BHZ39" s="188"/>
      <c r="BIA39" s="188"/>
      <c r="BIB39" s="188"/>
      <c r="BIC39" s="188"/>
      <c r="BID39" s="188"/>
      <c r="BIE39" s="188"/>
      <c r="BIF39" s="188"/>
      <c r="BIG39" s="188"/>
      <c r="BIH39" s="188"/>
      <c r="BII39" s="188"/>
      <c r="BIJ39" s="188"/>
      <c r="BIK39" s="188"/>
      <c r="BIL39" s="188"/>
      <c r="BIM39" s="188"/>
      <c r="BIN39" s="188"/>
      <c r="BIO39" s="188"/>
      <c r="BIP39" s="188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231"/>
      <c r="D40" s="120" t="str">
        <f t="shared" si="0"/>
        <v/>
      </c>
      <c r="E40" s="22">
        <v>0</v>
      </c>
      <c r="F40" s="189"/>
      <c r="G40" s="190"/>
      <c r="H40" s="190"/>
      <c r="I40" s="190"/>
      <c r="J40" s="190"/>
      <c r="K40" s="191"/>
      <c r="L40" s="190"/>
      <c r="M40" s="190"/>
      <c r="N40" s="190"/>
      <c r="O40" s="190"/>
      <c r="P40" s="190"/>
      <c r="Q40" s="192"/>
      <c r="R40" s="190"/>
      <c r="S40" s="190"/>
      <c r="T40" s="190"/>
      <c r="U40" s="190"/>
      <c r="V40" s="190"/>
      <c r="W40" s="193"/>
      <c r="X40" s="190"/>
      <c r="Y40" s="190"/>
      <c r="Z40" s="190"/>
      <c r="AA40" s="190"/>
      <c r="AB40" s="190"/>
      <c r="AC40" s="192"/>
      <c r="AD40" s="190"/>
      <c r="AE40" s="190"/>
      <c r="AF40" s="190"/>
      <c r="AG40" s="190"/>
      <c r="AH40" s="190"/>
      <c r="AI40" s="193"/>
      <c r="AJ40" s="190"/>
      <c r="AK40" s="190"/>
      <c r="AL40" s="190"/>
      <c r="AM40" s="190"/>
      <c r="AN40" s="190"/>
      <c r="AO40" s="192"/>
      <c r="AP40" s="190"/>
      <c r="AQ40" s="190"/>
      <c r="AR40" s="190"/>
      <c r="AS40" s="190"/>
      <c r="AT40" s="190"/>
      <c r="AU40" s="193"/>
      <c r="AV40" s="190"/>
      <c r="AW40" s="190"/>
      <c r="AX40" s="190"/>
      <c r="AY40" s="190"/>
      <c r="AZ40" s="190"/>
      <c r="BA40" s="192"/>
      <c r="BB40" s="190"/>
      <c r="BC40" s="190"/>
      <c r="BD40" s="190"/>
      <c r="BE40" s="190"/>
      <c r="BF40" s="190"/>
      <c r="BG40" s="193"/>
      <c r="BH40" s="190"/>
      <c r="BI40" s="190"/>
      <c r="BJ40" s="190"/>
      <c r="BK40" s="190"/>
      <c r="BL40" s="190"/>
      <c r="BM40" s="194"/>
      <c r="BN40" s="189"/>
      <c r="BO40" s="190"/>
      <c r="BP40" s="190"/>
      <c r="BQ40" s="190"/>
      <c r="BR40" s="190"/>
      <c r="BS40" s="191"/>
      <c r="BT40" s="190"/>
      <c r="BU40" s="190"/>
      <c r="BV40" s="190"/>
      <c r="BW40" s="190"/>
      <c r="BX40" s="190"/>
      <c r="BY40" s="192"/>
      <c r="BZ40" s="190"/>
      <c r="CA40" s="190"/>
      <c r="CB40" s="190"/>
      <c r="CC40" s="190"/>
      <c r="CD40" s="190"/>
      <c r="CE40" s="193"/>
      <c r="CF40" s="190"/>
      <c r="CG40" s="190"/>
      <c r="CH40" s="190"/>
      <c r="CI40" s="190"/>
      <c r="CJ40" s="190"/>
      <c r="CK40" s="192"/>
      <c r="CL40" s="190"/>
      <c r="CM40" s="190"/>
      <c r="CN40" s="190"/>
      <c r="CO40" s="190"/>
      <c r="CP40" s="190"/>
      <c r="CQ40" s="193"/>
      <c r="CR40" s="190"/>
      <c r="CS40" s="190"/>
      <c r="CT40" s="190"/>
      <c r="CU40" s="190"/>
      <c r="CV40" s="190"/>
      <c r="CW40" s="192"/>
      <c r="CX40" s="190"/>
      <c r="CY40" s="190"/>
      <c r="CZ40" s="190"/>
      <c r="DA40" s="190"/>
      <c r="DB40" s="190"/>
      <c r="DC40" s="193"/>
      <c r="DD40" s="190"/>
      <c r="DE40" s="190"/>
      <c r="DF40" s="190"/>
      <c r="DG40" s="190"/>
      <c r="DH40" s="190"/>
      <c r="DI40" s="192"/>
      <c r="DJ40" s="190"/>
      <c r="DK40" s="190"/>
      <c r="DL40" s="190"/>
      <c r="DM40" s="190"/>
      <c r="DN40" s="190"/>
      <c r="DO40" s="193"/>
      <c r="DP40" s="190"/>
      <c r="DQ40" s="190"/>
      <c r="DR40" s="190"/>
      <c r="DS40" s="190"/>
      <c r="DT40" s="190"/>
      <c r="DU40" s="194"/>
      <c r="DV40" s="189"/>
      <c r="DW40" s="190"/>
      <c r="DX40" s="190"/>
      <c r="DY40" s="190"/>
      <c r="DZ40" s="190"/>
      <c r="EA40" s="191"/>
      <c r="EB40" s="190"/>
      <c r="EC40" s="190"/>
      <c r="ED40" s="190"/>
      <c r="EE40" s="190"/>
      <c r="EF40" s="190"/>
      <c r="EG40" s="192"/>
      <c r="EH40" s="190"/>
      <c r="EI40" s="190"/>
      <c r="EJ40" s="190"/>
      <c r="EK40" s="190"/>
      <c r="EL40" s="190"/>
      <c r="EM40" s="193"/>
      <c r="EN40" s="190"/>
      <c r="EO40" s="190"/>
      <c r="EP40" s="190"/>
      <c r="EQ40" s="190"/>
      <c r="ER40" s="190"/>
      <c r="ES40" s="192"/>
      <c r="ET40" s="190"/>
      <c r="EU40" s="190"/>
      <c r="EV40" s="190"/>
      <c r="EW40" s="190"/>
      <c r="EX40" s="190"/>
      <c r="EY40" s="193"/>
      <c r="EZ40" s="190"/>
      <c r="FA40" s="190"/>
      <c r="FB40" s="190"/>
      <c r="FC40" s="190"/>
      <c r="FD40" s="190"/>
      <c r="FE40" s="192"/>
      <c r="FF40" s="190"/>
      <c r="FG40" s="190"/>
      <c r="FH40" s="190"/>
      <c r="FI40" s="190"/>
      <c r="FJ40" s="190"/>
      <c r="FK40" s="193"/>
      <c r="FL40" s="190"/>
      <c r="FM40" s="190"/>
      <c r="FN40" s="190"/>
      <c r="FO40" s="190"/>
      <c r="FP40" s="190"/>
      <c r="FQ40" s="192"/>
      <c r="FR40" s="190"/>
      <c r="FS40" s="190"/>
      <c r="FT40" s="190"/>
      <c r="FU40" s="190"/>
      <c r="FV40" s="190"/>
      <c r="FW40" s="193"/>
      <c r="FX40" s="190"/>
      <c r="FY40" s="190"/>
      <c r="FZ40" s="190"/>
      <c r="GA40" s="190"/>
      <c r="GB40" s="190"/>
      <c r="GC40" s="194"/>
      <c r="GD40" s="189"/>
      <c r="GE40" s="190"/>
      <c r="GF40" s="190"/>
      <c r="GG40" s="190"/>
      <c r="GH40" s="190"/>
      <c r="GI40" s="191"/>
      <c r="GJ40" s="190"/>
      <c r="GK40" s="190"/>
      <c r="GL40" s="190"/>
      <c r="GM40" s="190"/>
      <c r="GN40" s="190"/>
      <c r="GO40" s="192"/>
      <c r="GP40" s="190"/>
      <c r="GQ40" s="190"/>
      <c r="GR40" s="190"/>
      <c r="GS40" s="190"/>
      <c r="GT40" s="190"/>
      <c r="GU40" s="193"/>
      <c r="GV40" s="190"/>
      <c r="GW40" s="190"/>
      <c r="GX40" s="190"/>
      <c r="GY40" s="190"/>
      <c r="GZ40" s="190"/>
      <c r="HA40" s="192"/>
      <c r="HB40" s="190"/>
      <c r="HC40" s="190"/>
      <c r="HD40" s="190"/>
      <c r="HE40" s="190"/>
      <c r="HF40" s="190"/>
      <c r="HG40" s="193"/>
      <c r="HH40" s="190"/>
      <c r="HI40" s="190"/>
      <c r="HJ40" s="190"/>
      <c r="HK40" s="190"/>
      <c r="HL40" s="190"/>
      <c r="HM40" s="192"/>
      <c r="HN40" s="190"/>
      <c r="HO40" s="190"/>
      <c r="HP40" s="190"/>
      <c r="HQ40" s="190"/>
      <c r="HR40" s="190"/>
      <c r="HS40" s="193"/>
      <c r="HT40" s="190"/>
      <c r="HU40" s="190"/>
      <c r="HV40" s="190"/>
      <c r="HW40" s="190"/>
      <c r="HX40" s="190"/>
      <c r="HY40" s="192"/>
      <c r="HZ40" s="190"/>
      <c r="IA40" s="190"/>
      <c r="IB40" s="190"/>
      <c r="IC40" s="190"/>
      <c r="ID40" s="190"/>
      <c r="IE40" s="193"/>
      <c r="IF40" s="190"/>
      <c r="IG40" s="190"/>
      <c r="IH40" s="190"/>
      <c r="II40" s="190"/>
      <c r="IJ40" s="190"/>
      <c r="IK40" s="194"/>
      <c r="IL40" s="189"/>
      <c r="IM40" s="190"/>
      <c r="IN40" s="190"/>
      <c r="IO40" s="190"/>
      <c r="IP40" s="190"/>
      <c r="IQ40" s="191"/>
      <c r="IR40" s="190"/>
      <c r="IS40" s="190"/>
      <c r="IT40" s="190"/>
      <c r="IU40" s="190"/>
      <c r="IV40" s="190"/>
      <c r="IW40" s="192"/>
      <c r="IX40" s="190"/>
      <c r="IY40" s="190"/>
      <c r="IZ40" s="190"/>
      <c r="JA40" s="190"/>
      <c r="JB40" s="190"/>
      <c r="JC40" s="193"/>
      <c r="JD40" s="190"/>
      <c r="JE40" s="190"/>
      <c r="JF40" s="190"/>
      <c r="JG40" s="190"/>
      <c r="JH40" s="190"/>
      <c r="JI40" s="192"/>
      <c r="JJ40" s="190"/>
      <c r="JK40" s="190"/>
      <c r="JL40" s="190"/>
      <c r="JM40" s="190"/>
      <c r="JN40" s="190"/>
      <c r="JO40" s="193"/>
      <c r="JP40" s="190"/>
      <c r="JQ40" s="190"/>
      <c r="JR40" s="190"/>
      <c r="JS40" s="190"/>
      <c r="JT40" s="190"/>
      <c r="JU40" s="192"/>
      <c r="JV40" s="190"/>
      <c r="JW40" s="190"/>
      <c r="JX40" s="190"/>
      <c r="JY40" s="190"/>
      <c r="JZ40" s="190"/>
      <c r="KA40" s="193"/>
      <c r="KB40" s="190"/>
      <c r="KC40" s="190"/>
      <c r="KD40" s="190"/>
      <c r="KE40" s="190"/>
      <c r="KF40" s="190"/>
      <c r="KG40" s="192"/>
      <c r="KH40" s="190"/>
      <c r="KI40" s="190"/>
      <c r="KJ40" s="190"/>
      <c r="KK40" s="190"/>
      <c r="KL40" s="190"/>
      <c r="KM40" s="193"/>
      <c r="KN40" s="190"/>
      <c r="KO40" s="190"/>
      <c r="KP40" s="190"/>
      <c r="KQ40" s="190"/>
      <c r="KR40" s="190"/>
      <c r="KS40" s="194"/>
      <c r="KT40" s="189"/>
      <c r="KU40" s="190"/>
      <c r="KV40" s="190"/>
      <c r="KW40" s="190"/>
      <c r="KX40" s="190"/>
      <c r="KY40" s="191"/>
      <c r="KZ40" s="190"/>
      <c r="LA40" s="190"/>
      <c r="LB40" s="190"/>
      <c r="LC40" s="190"/>
      <c r="LD40" s="190"/>
      <c r="LE40" s="192"/>
      <c r="LF40" s="190"/>
      <c r="LG40" s="190"/>
      <c r="LH40" s="190"/>
      <c r="LI40" s="190"/>
      <c r="LJ40" s="190"/>
      <c r="LK40" s="193"/>
      <c r="LL40" s="190"/>
      <c r="LM40" s="190"/>
      <c r="LN40" s="190"/>
      <c r="LO40" s="190"/>
      <c r="LP40" s="190"/>
      <c r="LQ40" s="192"/>
      <c r="LR40" s="190"/>
      <c r="LS40" s="190"/>
      <c r="LT40" s="190"/>
      <c r="LU40" s="190"/>
      <c r="LV40" s="190"/>
      <c r="LW40" s="193"/>
      <c r="LX40" s="190"/>
      <c r="LY40" s="190"/>
      <c r="LZ40" s="190"/>
      <c r="MA40" s="190"/>
      <c r="MB40" s="190"/>
      <c r="MC40" s="192"/>
      <c r="MD40" s="190"/>
      <c r="ME40" s="190"/>
      <c r="MF40" s="190"/>
      <c r="MG40" s="190"/>
      <c r="MH40" s="190"/>
      <c r="MI40" s="193"/>
      <c r="MJ40" s="190"/>
      <c r="MK40" s="190"/>
      <c r="ML40" s="190"/>
      <c r="MM40" s="190"/>
      <c r="MN40" s="190"/>
      <c r="MO40" s="192"/>
      <c r="MP40" s="190"/>
      <c r="MQ40" s="190"/>
      <c r="MR40" s="190"/>
      <c r="MS40" s="190"/>
      <c r="MT40" s="190"/>
      <c r="MU40" s="193"/>
      <c r="MV40" s="190"/>
      <c r="MW40" s="190"/>
      <c r="MX40" s="190"/>
      <c r="MY40" s="190"/>
      <c r="MZ40" s="190"/>
      <c r="NA40" s="194"/>
      <c r="NB40" s="189"/>
      <c r="NC40" s="190"/>
      <c r="ND40" s="190"/>
      <c r="NE40" s="190"/>
      <c r="NF40" s="190"/>
      <c r="NG40" s="191"/>
      <c r="NH40" s="190"/>
      <c r="NI40" s="190"/>
      <c r="NJ40" s="190"/>
      <c r="NK40" s="190"/>
      <c r="NL40" s="190"/>
      <c r="NM40" s="192"/>
      <c r="NN40" s="190"/>
      <c r="NO40" s="190"/>
      <c r="NP40" s="190"/>
      <c r="NQ40" s="190"/>
      <c r="NR40" s="190"/>
      <c r="NS40" s="193"/>
      <c r="NT40" s="190"/>
      <c r="NU40" s="190"/>
      <c r="NV40" s="190"/>
      <c r="NW40" s="190"/>
      <c r="NX40" s="190"/>
      <c r="NY40" s="192"/>
      <c r="NZ40" s="190"/>
      <c r="OA40" s="190"/>
      <c r="OB40" s="190"/>
      <c r="OC40" s="190"/>
      <c r="OD40" s="190"/>
      <c r="OE40" s="193"/>
      <c r="OF40" s="190"/>
      <c r="OG40" s="190"/>
      <c r="OH40" s="190"/>
      <c r="OI40" s="190"/>
      <c r="OJ40" s="190"/>
      <c r="OK40" s="192"/>
      <c r="OL40" s="190"/>
      <c r="OM40" s="190"/>
      <c r="ON40" s="190"/>
      <c r="OO40" s="190"/>
      <c r="OP40" s="190"/>
      <c r="OQ40" s="193"/>
      <c r="OR40" s="190"/>
      <c r="OS40" s="190"/>
      <c r="OT40" s="190"/>
      <c r="OU40" s="190"/>
      <c r="OV40" s="190"/>
      <c r="OW40" s="192"/>
      <c r="OX40" s="190"/>
      <c r="OY40" s="190"/>
      <c r="OZ40" s="190"/>
      <c r="PA40" s="190"/>
      <c r="PB40" s="190"/>
      <c r="PC40" s="193"/>
      <c r="PD40" s="190"/>
      <c r="PE40" s="190"/>
      <c r="PF40" s="190"/>
      <c r="PG40" s="190"/>
      <c r="PH40" s="190"/>
      <c r="PI40" s="194"/>
      <c r="PJ40" s="189"/>
      <c r="PK40" s="190"/>
      <c r="PL40" s="190"/>
      <c r="PM40" s="190"/>
      <c r="PN40" s="190"/>
      <c r="PO40" s="191"/>
      <c r="PP40" s="190"/>
      <c r="PQ40" s="190"/>
      <c r="PR40" s="190"/>
      <c r="PS40" s="190"/>
      <c r="PT40" s="190"/>
      <c r="PU40" s="192"/>
      <c r="PV40" s="190"/>
      <c r="PW40" s="190"/>
      <c r="PX40" s="190"/>
      <c r="PY40" s="190"/>
      <c r="PZ40" s="190"/>
      <c r="QA40" s="193"/>
      <c r="QB40" s="190"/>
      <c r="QC40" s="190"/>
      <c r="QD40" s="190"/>
      <c r="QE40" s="190"/>
      <c r="QF40" s="190"/>
      <c r="QG40" s="192"/>
      <c r="QH40" s="190"/>
      <c r="QI40" s="190"/>
      <c r="QJ40" s="190"/>
      <c r="QK40" s="190"/>
      <c r="QL40" s="190"/>
      <c r="QM40" s="193"/>
      <c r="QN40" s="190"/>
      <c r="QO40" s="190"/>
      <c r="QP40" s="190"/>
      <c r="QQ40" s="190"/>
      <c r="QR40" s="190"/>
      <c r="QS40" s="192"/>
      <c r="QT40" s="190"/>
      <c r="QU40" s="190"/>
      <c r="QV40" s="190"/>
      <c r="QW40" s="190"/>
      <c r="QX40" s="190"/>
      <c r="QY40" s="193"/>
      <c r="QZ40" s="190"/>
      <c r="RA40" s="190"/>
      <c r="RB40" s="190"/>
      <c r="RC40" s="190"/>
      <c r="RD40" s="190"/>
      <c r="RE40" s="192"/>
      <c r="RF40" s="190"/>
      <c r="RG40" s="190"/>
      <c r="RH40" s="190"/>
      <c r="RI40" s="190"/>
      <c r="RJ40" s="190"/>
      <c r="RK40" s="193"/>
      <c r="RL40" s="190"/>
      <c r="RM40" s="190"/>
      <c r="RN40" s="190"/>
      <c r="RO40" s="190"/>
      <c r="RP40" s="190"/>
      <c r="RQ40" s="194"/>
      <c r="RR40" s="189"/>
      <c r="RS40" s="190"/>
      <c r="RT40" s="190"/>
      <c r="RU40" s="190"/>
      <c r="RV40" s="190"/>
      <c r="RW40" s="191"/>
      <c r="RX40" s="190"/>
      <c r="RY40" s="190"/>
      <c r="RZ40" s="190"/>
      <c r="SA40" s="190"/>
      <c r="SB40" s="190"/>
      <c r="SC40" s="192"/>
      <c r="SD40" s="190"/>
      <c r="SE40" s="190"/>
      <c r="SF40" s="190"/>
      <c r="SG40" s="190"/>
      <c r="SH40" s="190"/>
      <c r="SI40" s="193"/>
      <c r="SJ40" s="190"/>
      <c r="SK40" s="190"/>
      <c r="SL40" s="190"/>
      <c r="SM40" s="190"/>
      <c r="SN40" s="190"/>
      <c r="SO40" s="192"/>
      <c r="SP40" s="190"/>
      <c r="SQ40" s="190"/>
      <c r="SR40" s="190"/>
      <c r="SS40" s="190"/>
      <c r="ST40" s="190"/>
      <c r="SU40" s="193"/>
      <c r="SV40" s="190"/>
      <c r="SW40" s="190"/>
      <c r="SX40" s="190"/>
      <c r="SY40" s="190"/>
      <c r="SZ40" s="190"/>
      <c r="TA40" s="192"/>
      <c r="TB40" s="190"/>
      <c r="TC40" s="190"/>
      <c r="TD40" s="190"/>
      <c r="TE40" s="190"/>
      <c r="TF40" s="190"/>
      <c r="TG40" s="193"/>
      <c r="TH40" s="190"/>
      <c r="TI40" s="190"/>
      <c r="TJ40" s="190"/>
      <c r="TK40" s="190"/>
      <c r="TL40" s="190"/>
      <c r="TM40" s="192"/>
      <c r="TN40" s="190"/>
      <c r="TO40" s="190"/>
      <c r="TP40" s="190"/>
      <c r="TQ40" s="190"/>
      <c r="TR40" s="190"/>
      <c r="TS40" s="193"/>
      <c r="TT40" s="190"/>
      <c r="TU40" s="190"/>
      <c r="TV40" s="190"/>
      <c r="TW40" s="190"/>
      <c r="TX40" s="190"/>
      <c r="TY40" s="194"/>
      <c r="TZ40" s="189"/>
      <c r="UA40" s="190"/>
      <c r="UB40" s="190"/>
      <c r="UC40" s="190"/>
      <c r="UD40" s="190"/>
      <c r="UE40" s="191"/>
      <c r="UF40" s="190"/>
      <c r="UG40" s="190"/>
      <c r="UH40" s="190"/>
      <c r="UI40" s="190"/>
      <c r="UJ40" s="190"/>
      <c r="UK40" s="192"/>
      <c r="UL40" s="190"/>
      <c r="UM40" s="190"/>
      <c r="UN40" s="190"/>
      <c r="UO40" s="190"/>
      <c r="UP40" s="190"/>
      <c r="UQ40" s="193"/>
      <c r="UR40" s="190"/>
      <c r="US40" s="190"/>
      <c r="UT40" s="190"/>
      <c r="UU40" s="190"/>
      <c r="UV40" s="190"/>
      <c r="UW40" s="192"/>
      <c r="UX40" s="190"/>
      <c r="UY40" s="190"/>
      <c r="UZ40" s="190"/>
      <c r="VA40" s="190"/>
      <c r="VB40" s="190"/>
      <c r="VC40" s="193"/>
      <c r="VD40" s="190"/>
      <c r="VE40" s="190"/>
      <c r="VF40" s="190"/>
      <c r="VG40" s="190"/>
      <c r="VH40" s="190"/>
      <c r="VI40" s="192"/>
      <c r="VJ40" s="190"/>
      <c r="VK40" s="190"/>
      <c r="VL40" s="190"/>
      <c r="VM40" s="190"/>
      <c r="VN40" s="190"/>
      <c r="VO40" s="193"/>
      <c r="VP40" s="190"/>
      <c r="VQ40" s="190"/>
      <c r="VR40" s="190"/>
      <c r="VS40" s="190"/>
      <c r="VT40" s="190"/>
      <c r="VU40" s="192"/>
      <c r="VV40" s="190"/>
      <c r="VW40" s="190"/>
      <c r="VX40" s="190"/>
      <c r="VY40" s="190"/>
      <c r="VZ40" s="190"/>
      <c r="WA40" s="193"/>
      <c r="WB40" s="190"/>
      <c r="WC40" s="190"/>
      <c r="WD40" s="190"/>
      <c r="WE40" s="190"/>
      <c r="WF40" s="190"/>
      <c r="WG40" s="194"/>
      <c r="WH40" s="189"/>
      <c r="WI40" s="190"/>
      <c r="WJ40" s="190"/>
      <c r="WK40" s="190"/>
      <c r="WL40" s="190"/>
      <c r="WM40" s="191"/>
      <c r="WN40" s="190"/>
      <c r="WO40" s="190"/>
      <c r="WP40" s="190"/>
      <c r="WQ40" s="190"/>
      <c r="WR40" s="190"/>
      <c r="WS40" s="192"/>
      <c r="WT40" s="190"/>
      <c r="WU40" s="190"/>
      <c r="WV40" s="190"/>
      <c r="WW40" s="190"/>
      <c r="WX40" s="190"/>
      <c r="WY40" s="193"/>
      <c r="WZ40" s="190"/>
      <c r="XA40" s="190"/>
      <c r="XB40" s="190"/>
      <c r="XC40" s="190"/>
      <c r="XD40" s="190"/>
      <c r="XE40" s="192"/>
      <c r="XF40" s="190"/>
      <c r="XG40" s="190"/>
      <c r="XH40" s="190"/>
      <c r="XI40" s="190"/>
      <c r="XJ40" s="190"/>
      <c r="XK40" s="193"/>
      <c r="XL40" s="190"/>
      <c r="XM40" s="190"/>
      <c r="XN40" s="190"/>
      <c r="XO40" s="190"/>
      <c r="XP40" s="190"/>
      <c r="XQ40" s="192"/>
      <c r="XR40" s="190"/>
      <c r="XS40" s="190"/>
      <c r="XT40" s="190"/>
      <c r="XU40" s="190"/>
      <c r="XV40" s="190"/>
      <c r="XW40" s="193"/>
      <c r="XX40" s="190"/>
      <c r="XY40" s="190"/>
      <c r="XZ40" s="190"/>
      <c r="YA40" s="190"/>
      <c r="YB40" s="190"/>
      <c r="YC40" s="192"/>
      <c r="YD40" s="190"/>
      <c r="YE40" s="190"/>
      <c r="YF40" s="190"/>
      <c r="YG40" s="190"/>
      <c r="YH40" s="190"/>
      <c r="YI40" s="193"/>
      <c r="YJ40" s="190"/>
      <c r="YK40" s="190"/>
      <c r="YL40" s="190"/>
      <c r="YM40" s="190"/>
      <c r="YN40" s="190"/>
      <c r="YO40" s="194"/>
      <c r="YP40" s="189"/>
      <c r="YQ40" s="190"/>
      <c r="YR40" s="190"/>
      <c r="YS40" s="190"/>
      <c r="YT40" s="190"/>
      <c r="YU40" s="191"/>
      <c r="YV40" s="190"/>
      <c r="YW40" s="190"/>
      <c r="YX40" s="190"/>
      <c r="YY40" s="190"/>
      <c r="YZ40" s="190"/>
      <c r="ZA40" s="192"/>
      <c r="ZB40" s="190"/>
      <c r="ZC40" s="190"/>
      <c r="ZD40" s="190"/>
      <c r="ZE40" s="190"/>
      <c r="ZF40" s="190"/>
      <c r="ZG40" s="193"/>
      <c r="ZH40" s="190"/>
      <c r="ZI40" s="190"/>
      <c r="ZJ40" s="190"/>
      <c r="ZK40" s="190"/>
      <c r="ZL40" s="190"/>
      <c r="ZM40" s="192"/>
      <c r="ZN40" s="190"/>
      <c r="ZO40" s="190"/>
      <c r="ZP40" s="190"/>
      <c r="ZQ40" s="190"/>
      <c r="ZR40" s="190"/>
      <c r="ZS40" s="193"/>
      <c r="ZT40" s="190"/>
      <c r="ZU40" s="190"/>
      <c r="ZV40" s="190"/>
      <c r="ZW40" s="190"/>
      <c r="ZX40" s="190"/>
      <c r="ZY40" s="192"/>
      <c r="ZZ40" s="190"/>
      <c r="AAA40" s="190"/>
      <c r="AAB40" s="190"/>
      <c r="AAC40" s="190"/>
      <c r="AAD40" s="190"/>
      <c r="AAE40" s="193"/>
      <c r="AAF40" s="190"/>
      <c r="AAG40" s="190"/>
      <c r="AAH40" s="190"/>
      <c r="AAI40" s="190"/>
      <c r="AAJ40" s="190"/>
      <c r="AAK40" s="192"/>
      <c r="AAL40" s="190"/>
      <c r="AAM40" s="190"/>
      <c r="AAN40" s="190"/>
      <c r="AAO40" s="190"/>
      <c r="AAP40" s="190"/>
      <c r="AAQ40" s="193"/>
      <c r="AAR40" s="190"/>
      <c r="AAS40" s="190"/>
      <c r="AAT40" s="190"/>
      <c r="AAU40" s="190"/>
      <c r="AAV40" s="190"/>
      <c r="AAW40" s="194"/>
      <c r="AAX40" s="189"/>
      <c r="AAY40" s="190"/>
      <c r="AAZ40" s="190"/>
      <c r="ABA40" s="190"/>
      <c r="ABB40" s="190"/>
      <c r="ABC40" s="191"/>
      <c r="ABD40" s="190"/>
      <c r="ABE40" s="190"/>
      <c r="ABF40" s="190"/>
      <c r="ABG40" s="190"/>
      <c r="ABH40" s="190"/>
      <c r="ABI40" s="192"/>
      <c r="ABJ40" s="190"/>
      <c r="ABK40" s="190"/>
      <c r="ABL40" s="190"/>
      <c r="ABM40" s="190"/>
      <c r="ABN40" s="190"/>
      <c r="ABO40" s="193"/>
      <c r="ABP40" s="190"/>
      <c r="ABQ40" s="190"/>
      <c r="ABR40" s="190"/>
      <c r="ABS40" s="190"/>
      <c r="ABT40" s="190"/>
      <c r="ABU40" s="192"/>
      <c r="ABV40" s="190"/>
      <c r="ABW40" s="190"/>
      <c r="ABX40" s="190"/>
      <c r="ABY40" s="190"/>
      <c r="ABZ40" s="190"/>
      <c r="ACA40" s="193"/>
      <c r="ACB40" s="190"/>
      <c r="ACC40" s="190"/>
      <c r="ACD40" s="190"/>
      <c r="ACE40" s="190"/>
      <c r="ACF40" s="190"/>
      <c r="ACG40" s="192"/>
      <c r="ACH40" s="190"/>
      <c r="ACI40" s="190"/>
      <c r="ACJ40" s="190"/>
      <c r="ACK40" s="190"/>
      <c r="ACL40" s="190"/>
      <c r="ACM40" s="193"/>
      <c r="ACN40" s="190"/>
      <c r="ACO40" s="190"/>
      <c r="ACP40" s="190"/>
      <c r="ACQ40" s="190"/>
      <c r="ACR40" s="190"/>
      <c r="ACS40" s="192"/>
      <c r="ACT40" s="190"/>
      <c r="ACU40" s="190"/>
      <c r="ACV40" s="190"/>
      <c r="ACW40" s="190"/>
      <c r="ACX40" s="190"/>
      <c r="ACY40" s="193"/>
      <c r="ACZ40" s="190"/>
      <c r="ADA40" s="190"/>
      <c r="ADB40" s="190"/>
      <c r="ADC40" s="190"/>
      <c r="ADD40" s="190"/>
      <c r="ADE40" s="194"/>
      <c r="ADF40" s="189"/>
      <c r="ADG40" s="190"/>
      <c r="ADH40" s="190"/>
      <c r="ADI40" s="190"/>
      <c r="ADJ40" s="190"/>
      <c r="ADK40" s="191"/>
      <c r="ADL40" s="190"/>
      <c r="ADM40" s="190"/>
      <c r="ADN40" s="190"/>
      <c r="ADO40" s="190"/>
      <c r="ADP40" s="190"/>
      <c r="ADQ40" s="192"/>
      <c r="ADR40" s="190"/>
      <c r="ADS40" s="190"/>
      <c r="ADT40" s="190"/>
      <c r="ADU40" s="190"/>
      <c r="ADV40" s="190"/>
      <c r="ADW40" s="193"/>
      <c r="ADX40" s="190"/>
      <c r="ADY40" s="190"/>
      <c r="ADZ40" s="190"/>
      <c r="AEA40" s="190"/>
      <c r="AEB40" s="190"/>
      <c r="AEC40" s="192"/>
      <c r="AED40" s="190"/>
      <c r="AEE40" s="190"/>
      <c r="AEF40" s="190"/>
      <c r="AEG40" s="190"/>
      <c r="AEH40" s="190"/>
      <c r="AEI40" s="193"/>
      <c r="AEJ40" s="190"/>
      <c r="AEK40" s="190"/>
      <c r="AEL40" s="190"/>
      <c r="AEM40" s="190"/>
      <c r="AEN40" s="190"/>
      <c r="AEO40" s="192"/>
      <c r="AEP40" s="190"/>
      <c r="AEQ40" s="190"/>
      <c r="AER40" s="190"/>
      <c r="AES40" s="190"/>
      <c r="AET40" s="190"/>
      <c r="AEU40" s="193"/>
      <c r="AEV40" s="190"/>
      <c r="AEW40" s="190"/>
      <c r="AEX40" s="190"/>
      <c r="AEY40" s="190"/>
      <c r="AEZ40" s="190"/>
      <c r="AFA40" s="192"/>
      <c r="AFB40" s="190"/>
      <c r="AFC40" s="190"/>
      <c r="AFD40" s="190"/>
      <c r="AFE40" s="190"/>
      <c r="AFF40" s="190"/>
      <c r="AFG40" s="193"/>
      <c r="AFH40" s="190"/>
      <c r="AFI40" s="190"/>
      <c r="AFJ40" s="190"/>
      <c r="AFK40" s="190"/>
      <c r="AFL40" s="190"/>
      <c r="AFM40" s="194"/>
      <c r="AFN40" s="189"/>
      <c r="AFO40" s="190"/>
      <c r="AFP40" s="190"/>
      <c r="AFQ40" s="190"/>
      <c r="AFR40" s="190"/>
      <c r="AFS40" s="191"/>
      <c r="AFT40" s="190"/>
      <c r="AFU40" s="190"/>
      <c r="AFV40" s="190"/>
      <c r="AFW40" s="190"/>
      <c r="AFX40" s="190"/>
      <c r="AFY40" s="192"/>
      <c r="AFZ40" s="190"/>
      <c r="AGA40" s="190"/>
      <c r="AGB40" s="190"/>
      <c r="AGC40" s="190"/>
      <c r="AGD40" s="190"/>
      <c r="AGE40" s="193"/>
      <c r="AGF40" s="190"/>
      <c r="AGG40" s="190"/>
      <c r="AGH40" s="190"/>
      <c r="AGI40" s="190"/>
      <c r="AGJ40" s="190"/>
      <c r="AGK40" s="192"/>
      <c r="AGL40" s="190"/>
      <c r="AGM40" s="190"/>
      <c r="AGN40" s="190"/>
      <c r="AGO40" s="190"/>
      <c r="AGP40" s="190"/>
      <c r="AGQ40" s="193"/>
      <c r="AGR40" s="190"/>
      <c r="AGS40" s="190"/>
      <c r="AGT40" s="190"/>
      <c r="AGU40" s="190"/>
      <c r="AGV40" s="190"/>
      <c r="AGW40" s="192"/>
      <c r="AGX40" s="190"/>
      <c r="AGY40" s="190"/>
      <c r="AGZ40" s="190"/>
      <c r="AHA40" s="190"/>
      <c r="AHB40" s="190"/>
      <c r="AHC40" s="193"/>
      <c r="AHD40" s="190"/>
      <c r="AHE40" s="190"/>
      <c r="AHF40" s="190"/>
      <c r="AHG40" s="190"/>
      <c r="AHH40" s="190"/>
      <c r="AHI40" s="192"/>
      <c r="AHJ40" s="190"/>
      <c r="AHK40" s="190"/>
      <c r="AHL40" s="190"/>
      <c r="AHM40" s="190"/>
      <c r="AHN40" s="190"/>
      <c r="AHO40" s="193"/>
      <c r="AHP40" s="190"/>
      <c r="AHQ40" s="190"/>
      <c r="AHR40" s="190"/>
      <c r="AHS40" s="190"/>
      <c r="AHT40" s="190"/>
      <c r="AHU40" s="194"/>
      <c r="AHV40" s="189"/>
      <c r="AHW40" s="190"/>
      <c r="AHX40" s="190"/>
      <c r="AHY40" s="190"/>
      <c r="AHZ40" s="190"/>
      <c r="AIA40" s="191"/>
      <c r="AIB40" s="190"/>
      <c r="AIC40" s="190"/>
      <c r="AID40" s="190"/>
      <c r="AIE40" s="190"/>
      <c r="AIF40" s="190"/>
      <c r="AIG40" s="192"/>
      <c r="AIH40" s="190"/>
      <c r="AII40" s="190"/>
      <c r="AIJ40" s="190"/>
      <c r="AIK40" s="190"/>
      <c r="AIL40" s="190"/>
      <c r="AIM40" s="193"/>
      <c r="AIN40" s="190"/>
      <c r="AIO40" s="190"/>
      <c r="AIP40" s="190"/>
      <c r="AIQ40" s="190"/>
      <c r="AIR40" s="190"/>
      <c r="AIS40" s="192"/>
      <c r="AIT40" s="190"/>
      <c r="AIU40" s="190"/>
      <c r="AIV40" s="190"/>
      <c r="AIW40" s="190"/>
      <c r="AIX40" s="190"/>
      <c r="AIY40" s="193"/>
      <c r="AIZ40" s="190"/>
      <c r="AJA40" s="190"/>
      <c r="AJB40" s="190"/>
      <c r="AJC40" s="190"/>
      <c r="AJD40" s="190"/>
      <c r="AJE40" s="192"/>
      <c r="AJF40" s="190"/>
      <c r="AJG40" s="190"/>
      <c r="AJH40" s="190"/>
      <c r="AJI40" s="190"/>
      <c r="AJJ40" s="190"/>
      <c r="AJK40" s="193"/>
      <c r="AJL40" s="190"/>
      <c r="AJM40" s="190"/>
      <c r="AJN40" s="190"/>
      <c r="AJO40" s="190"/>
      <c r="AJP40" s="190"/>
      <c r="AJQ40" s="192"/>
      <c r="AJR40" s="190"/>
      <c r="AJS40" s="190"/>
      <c r="AJT40" s="190"/>
      <c r="AJU40" s="190"/>
      <c r="AJV40" s="190"/>
      <c r="AJW40" s="193"/>
      <c r="AJX40" s="190"/>
      <c r="AJY40" s="190"/>
      <c r="AJZ40" s="190"/>
      <c r="AKA40" s="190"/>
      <c r="AKB40" s="190"/>
      <c r="AKC40" s="194"/>
      <c r="AKD40" s="189"/>
      <c r="AKE40" s="190"/>
      <c r="AKF40" s="190"/>
      <c r="AKG40" s="190"/>
      <c r="AKH40" s="190"/>
      <c r="AKI40" s="191"/>
      <c r="AKJ40" s="190"/>
      <c r="AKK40" s="190"/>
      <c r="AKL40" s="190"/>
      <c r="AKM40" s="190"/>
      <c r="AKN40" s="190"/>
      <c r="AKO40" s="192"/>
      <c r="AKP40" s="190"/>
      <c r="AKQ40" s="190"/>
      <c r="AKR40" s="190"/>
      <c r="AKS40" s="190"/>
      <c r="AKT40" s="190"/>
      <c r="AKU40" s="193"/>
      <c r="AKV40" s="190"/>
      <c r="AKW40" s="190"/>
      <c r="AKX40" s="190"/>
      <c r="AKY40" s="190"/>
      <c r="AKZ40" s="190"/>
      <c r="ALA40" s="192"/>
      <c r="ALB40" s="190"/>
      <c r="ALC40" s="190"/>
      <c r="ALD40" s="190"/>
      <c r="ALE40" s="190"/>
      <c r="ALF40" s="190"/>
      <c r="ALG40" s="193"/>
      <c r="ALH40" s="190"/>
      <c r="ALI40" s="190"/>
      <c r="ALJ40" s="190"/>
      <c r="ALK40" s="190"/>
      <c r="ALL40" s="190"/>
      <c r="ALM40" s="192"/>
      <c r="ALN40" s="190"/>
      <c r="ALO40" s="190"/>
      <c r="ALP40" s="190"/>
      <c r="ALQ40" s="190"/>
      <c r="ALR40" s="190"/>
      <c r="ALS40" s="193"/>
      <c r="ALT40" s="190"/>
      <c r="ALU40" s="190"/>
      <c r="ALV40" s="190"/>
      <c r="ALW40" s="190"/>
      <c r="ALX40" s="190"/>
      <c r="ALY40" s="192"/>
      <c r="ALZ40" s="190"/>
      <c r="AMA40" s="190"/>
      <c r="AMB40" s="190"/>
      <c r="AMC40" s="190"/>
      <c r="AMD40" s="190"/>
      <c r="AME40" s="193"/>
      <c r="AMF40" s="190"/>
      <c r="AMG40" s="190"/>
      <c r="AMH40" s="190"/>
      <c r="AMI40" s="190"/>
      <c r="AMJ40" s="190"/>
      <c r="AMK40" s="194"/>
      <c r="AML40" s="189"/>
      <c r="AMM40" s="190"/>
      <c r="AMN40" s="190"/>
      <c r="AMO40" s="190"/>
      <c r="AMP40" s="190"/>
      <c r="AMQ40" s="191"/>
      <c r="AMR40" s="190"/>
      <c r="AMS40" s="190"/>
      <c r="AMT40" s="190"/>
      <c r="AMU40" s="190"/>
      <c r="AMV40" s="190"/>
      <c r="AMW40" s="192"/>
      <c r="AMX40" s="190"/>
      <c r="AMY40" s="190"/>
      <c r="AMZ40" s="190"/>
      <c r="ANA40" s="190"/>
      <c r="ANB40" s="190"/>
      <c r="ANC40" s="193"/>
      <c r="AND40" s="190"/>
      <c r="ANE40" s="190"/>
      <c r="ANF40" s="190"/>
      <c r="ANG40" s="190"/>
      <c r="ANH40" s="190"/>
      <c r="ANI40" s="192"/>
      <c r="ANJ40" s="190"/>
      <c r="ANK40" s="190"/>
      <c r="ANL40" s="190"/>
      <c r="ANM40" s="190"/>
      <c r="ANN40" s="190"/>
      <c r="ANO40" s="193"/>
      <c r="ANP40" s="190"/>
      <c r="ANQ40" s="190"/>
      <c r="ANR40" s="190"/>
      <c r="ANS40" s="190"/>
      <c r="ANT40" s="190"/>
      <c r="ANU40" s="192"/>
      <c r="ANV40" s="190"/>
      <c r="ANW40" s="190"/>
      <c r="ANX40" s="190"/>
      <c r="ANY40" s="190"/>
      <c r="ANZ40" s="190"/>
      <c r="AOA40" s="193"/>
      <c r="AOB40" s="190"/>
      <c r="AOC40" s="190"/>
      <c r="AOD40" s="190"/>
      <c r="AOE40" s="190"/>
      <c r="AOF40" s="190"/>
      <c r="AOG40" s="192"/>
      <c r="AOH40" s="190"/>
      <c r="AOI40" s="190"/>
      <c r="AOJ40" s="190"/>
      <c r="AOK40" s="190"/>
      <c r="AOL40" s="190"/>
      <c r="AOM40" s="193"/>
      <c r="AON40" s="190"/>
      <c r="AOO40" s="190"/>
      <c r="AOP40" s="190"/>
      <c r="AOQ40" s="190"/>
      <c r="AOR40" s="190"/>
      <c r="AOS40" s="194"/>
      <c r="AOT40" s="189"/>
      <c r="AOU40" s="190"/>
      <c r="AOV40" s="190"/>
      <c r="AOW40" s="190"/>
      <c r="AOX40" s="190"/>
      <c r="AOY40" s="191"/>
      <c r="AOZ40" s="190"/>
      <c r="APA40" s="190"/>
      <c r="APB40" s="190"/>
      <c r="APC40" s="190"/>
      <c r="APD40" s="190"/>
      <c r="APE40" s="192"/>
      <c r="APF40" s="190"/>
      <c r="APG40" s="190"/>
      <c r="APH40" s="190"/>
      <c r="API40" s="190"/>
      <c r="APJ40" s="190"/>
      <c r="APK40" s="193"/>
      <c r="APL40" s="190"/>
      <c r="APM40" s="190"/>
      <c r="APN40" s="190"/>
      <c r="APO40" s="190"/>
      <c r="APP40" s="190"/>
      <c r="APQ40" s="192"/>
      <c r="APR40" s="190"/>
      <c r="APS40" s="190"/>
      <c r="APT40" s="190"/>
      <c r="APU40" s="190"/>
      <c r="APV40" s="190"/>
      <c r="APW40" s="193"/>
      <c r="APX40" s="190"/>
      <c r="APY40" s="190"/>
      <c r="APZ40" s="190"/>
      <c r="AQA40" s="190"/>
      <c r="AQB40" s="190"/>
      <c r="AQC40" s="192"/>
      <c r="AQD40" s="190"/>
      <c r="AQE40" s="190"/>
      <c r="AQF40" s="190"/>
      <c r="AQG40" s="190"/>
      <c r="AQH40" s="190"/>
      <c r="AQI40" s="193"/>
      <c r="AQJ40" s="190"/>
      <c r="AQK40" s="190"/>
      <c r="AQL40" s="190"/>
      <c r="AQM40" s="190"/>
      <c r="AQN40" s="190"/>
      <c r="AQO40" s="192"/>
      <c r="AQP40" s="190"/>
      <c r="AQQ40" s="190"/>
      <c r="AQR40" s="190"/>
      <c r="AQS40" s="190"/>
      <c r="AQT40" s="190"/>
      <c r="AQU40" s="193"/>
      <c r="AQV40" s="190"/>
      <c r="AQW40" s="190"/>
      <c r="AQX40" s="190"/>
      <c r="AQY40" s="190"/>
      <c r="AQZ40" s="190"/>
      <c r="ARA40" s="194"/>
      <c r="ARB40" s="189"/>
      <c r="ARC40" s="190"/>
      <c r="ARD40" s="190"/>
      <c r="ARE40" s="190"/>
      <c r="ARF40" s="190"/>
      <c r="ARG40" s="191"/>
      <c r="ARH40" s="190"/>
      <c r="ARI40" s="190"/>
      <c r="ARJ40" s="190"/>
      <c r="ARK40" s="190"/>
      <c r="ARL40" s="190"/>
      <c r="ARM40" s="192"/>
      <c r="ARN40" s="190"/>
      <c r="ARO40" s="190"/>
      <c r="ARP40" s="190"/>
      <c r="ARQ40" s="190"/>
      <c r="ARR40" s="190"/>
      <c r="ARS40" s="193"/>
      <c r="ART40" s="190"/>
      <c r="ARU40" s="190"/>
      <c r="ARV40" s="190"/>
      <c r="ARW40" s="190"/>
      <c r="ARX40" s="190"/>
      <c r="ARY40" s="192"/>
      <c r="ARZ40" s="190"/>
      <c r="ASA40" s="190"/>
      <c r="ASB40" s="190"/>
      <c r="ASC40" s="190"/>
      <c r="ASD40" s="190"/>
      <c r="ASE40" s="193"/>
      <c r="ASF40" s="190"/>
      <c r="ASG40" s="190"/>
      <c r="ASH40" s="190"/>
      <c r="ASI40" s="190"/>
      <c r="ASJ40" s="190"/>
      <c r="ASK40" s="192"/>
      <c r="ASL40" s="190"/>
      <c r="ASM40" s="190"/>
      <c r="ASN40" s="190"/>
      <c r="ASO40" s="190"/>
      <c r="ASP40" s="190"/>
      <c r="ASQ40" s="193"/>
      <c r="ASR40" s="190"/>
      <c r="ASS40" s="190"/>
      <c r="AST40" s="190"/>
      <c r="ASU40" s="190"/>
      <c r="ASV40" s="190"/>
      <c r="ASW40" s="192"/>
      <c r="ASX40" s="190"/>
      <c r="ASY40" s="190"/>
      <c r="ASZ40" s="190"/>
      <c r="ATA40" s="190"/>
      <c r="ATB40" s="190"/>
      <c r="ATC40" s="193"/>
      <c r="ATD40" s="190"/>
      <c r="ATE40" s="190"/>
      <c r="ATF40" s="190"/>
      <c r="ATG40" s="190"/>
      <c r="ATH40" s="190"/>
      <c r="ATI40" s="194"/>
      <c r="ATJ40" s="189"/>
      <c r="ATK40" s="190"/>
      <c r="ATL40" s="190"/>
      <c r="ATM40" s="190"/>
      <c r="ATN40" s="190"/>
      <c r="ATO40" s="191"/>
      <c r="ATP40" s="190"/>
      <c r="ATQ40" s="190"/>
      <c r="ATR40" s="190"/>
      <c r="ATS40" s="190"/>
      <c r="ATT40" s="190"/>
      <c r="ATU40" s="192"/>
      <c r="ATV40" s="190"/>
      <c r="ATW40" s="190"/>
      <c r="ATX40" s="190"/>
      <c r="ATY40" s="190"/>
      <c r="ATZ40" s="190"/>
      <c r="AUA40" s="193"/>
      <c r="AUB40" s="190"/>
      <c r="AUC40" s="190"/>
      <c r="AUD40" s="190"/>
      <c r="AUE40" s="190"/>
      <c r="AUF40" s="190"/>
      <c r="AUG40" s="192"/>
      <c r="AUH40" s="190"/>
      <c r="AUI40" s="190"/>
      <c r="AUJ40" s="190"/>
      <c r="AUK40" s="190"/>
      <c r="AUL40" s="190"/>
      <c r="AUM40" s="193"/>
      <c r="AUN40" s="190"/>
      <c r="AUO40" s="190"/>
      <c r="AUP40" s="190"/>
      <c r="AUQ40" s="190"/>
      <c r="AUR40" s="190"/>
      <c r="AUS40" s="192"/>
      <c r="AUT40" s="190"/>
      <c r="AUU40" s="190"/>
      <c r="AUV40" s="190"/>
      <c r="AUW40" s="190"/>
      <c r="AUX40" s="190"/>
      <c r="AUY40" s="193"/>
      <c r="AUZ40" s="190"/>
      <c r="AVA40" s="190"/>
      <c r="AVB40" s="190"/>
      <c r="AVC40" s="190"/>
      <c r="AVD40" s="190"/>
      <c r="AVE40" s="192"/>
      <c r="AVF40" s="190"/>
      <c r="AVG40" s="190"/>
      <c r="AVH40" s="190"/>
      <c r="AVI40" s="190"/>
      <c r="AVJ40" s="190"/>
      <c r="AVK40" s="193"/>
      <c r="AVL40" s="190"/>
      <c r="AVM40" s="190"/>
      <c r="AVN40" s="190"/>
      <c r="AVO40" s="190"/>
      <c r="AVP40" s="190"/>
      <c r="AVQ40" s="194"/>
      <c r="AVR40" s="189"/>
      <c r="AVS40" s="190"/>
      <c r="AVT40" s="190"/>
      <c r="AVU40" s="190"/>
      <c r="AVV40" s="190"/>
      <c r="AVW40" s="191"/>
      <c r="AVX40" s="190"/>
      <c r="AVY40" s="190"/>
      <c r="AVZ40" s="190"/>
      <c r="AWA40" s="190"/>
      <c r="AWB40" s="190"/>
      <c r="AWC40" s="192"/>
      <c r="AWD40" s="190"/>
      <c r="AWE40" s="190"/>
      <c r="AWF40" s="190"/>
      <c r="AWG40" s="190"/>
      <c r="AWH40" s="190"/>
      <c r="AWI40" s="193"/>
      <c r="AWJ40" s="190"/>
      <c r="AWK40" s="190"/>
      <c r="AWL40" s="190"/>
      <c r="AWM40" s="190"/>
      <c r="AWN40" s="190"/>
      <c r="AWO40" s="192"/>
      <c r="AWP40" s="190"/>
      <c r="AWQ40" s="190"/>
      <c r="AWR40" s="190"/>
      <c r="AWS40" s="190"/>
      <c r="AWT40" s="190"/>
      <c r="AWU40" s="193"/>
      <c r="AWV40" s="190"/>
      <c r="AWW40" s="190"/>
      <c r="AWX40" s="190"/>
      <c r="AWY40" s="190"/>
      <c r="AWZ40" s="190"/>
      <c r="AXA40" s="192"/>
      <c r="AXB40" s="190"/>
      <c r="AXC40" s="190"/>
      <c r="AXD40" s="190"/>
      <c r="AXE40" s="190"/>
      <c r="AXF40" s="190"/>
      <c r="AXG40" s="193"/>
      <c r="AXH40" s="190"/>
      <c r="AXI40" s="190"/>
      <c r="AXJ40" s="190"/>
      <c r="AXK40" s="190"/>
      <c r="AXL40" s="190"/>
      <c r="AXM40" s="192"/>
      <c r="AXN40" s="190"/>
      <c r="AXO40" s="190"/>
      <c r="AXP40" s="190"/>
      <c r="AXQ40" s="190"/>
      <c r="AXR40" s="190"/>
      <c r="AXS40" s="193"/>
      <c r="AXT40" s="190"/>
      <c r="AXU40" s="190"/>
      <c r="AXV40" s="190"/>
      <c r="AXW40" s="190"/>
      <c r="AXX40" s="190"/>
      <c r="AXY40" s="194"/>
      <c r="AXZ40" s="189"/>
      <c r="AYA40" s="190"/>
      <c r="AYB40" s="190"/>
      <c r="AYC40" s="190"/>
      <c r="AYD40" s="190"/>
      <c r="AYE40" s="191"/>
      <c r="AYF40" s="190"/>
      <c r="AYG40" s="190"/>
      <c r="AYH40" s="190"/>
      <c r="AYI40" s="190"/>
      <c r="AYJ40" s="190"/>
      <c r="AYK40" s="192"/>
      <c r="AYL40" s="190"/>
      <c r="AYM40" s="190"/>
      <c r="AYN40" s="190"/>
      <c r="AYO40" s="190"/>
      <c r="AYP40" s="190"/>
      <c r="AYQ40" s="193"/>
      <c r="AYR40" s="190"/>
      <c r="AYS40" s="190"/>
      <c r="AYT40" s="190"/>
      <c r="AYU40" s="190"/>
      <c r="AYV40" s="190"/>
      <c r="AYW40" s="192"/>
      <c r="AYX40" s="190"/>
      <c r="AYY40" s="190"/>
      <c r="AYZ40" s="190"/>
      <c r="AZA40" s="190"/>
      <c r="AZB40" s="190"/>
      <c r="AZC40" s="193"/>
      <c r="AZD40" s="190"/>
      <c r="AZE40" s="190"/>
      <c r="AZF40" s="190"/>
      <c r="AZG40" s="190"/>
      <c r="AZH40" s="190"/>
      <c r="AZI40" s="192"/>
      <c r="AZJ40" s="190"/>
      <c r="AZK40" s="190"/>
      <c r="AZL40" s="190"/>
      <c r="AZM40" s="190"/>
      <c r="AZN40" s="190"/>
      <c r="AZO40" s="193"/>
      <c r="AZP40" s="190"/>
      <c r="AZQ40" s="190"/>
      <c r="AZR40" s="190"/>
      <c r="AZS40" s="190"/>
      <c r="AZT40" s="190"/>
      <c r="AZU40" s="192"/>
      <c r="AZV40" s="190"/>
      <c r="AZW40" s="190"/>
      <c r="AZX40" s="190"/>
      <c r="AZY40" s="190"/>
      <c r="AZZ40" s="190"/>
      <c r="BAA40" s="193"/>
      <c r="BAB40" s="190"/>
      <c r="BAC40" s="190"/>
      <c r="BAD40" s="190"/>
      <c r="BAE40" s="190"/>
      <c r="BAF40" s="190"/>
      <c r="BAG40" s="194"/>
      <c r="BAH40" s="189"/>
      <c r="BAI40" s="190"/>
      <c r="BAJ40" s="190"/>
      <c r="BAK40" s="190"/>
      <c r="BAL40" s="190"/>
      <c r="BAM40" s="191"/>
      <c r="BAN40" s="190"/>
      <c r="BAO40" s="190"/>
      <c r="BAP40" s="190"/>
      <c r="BAQ40" s="190"/>
      <c r="BAR40" s="190"/>
      <c r="BAS40" s="192"/>
      <c r="BAT40" s="190"/>
      <c r="BAU40" s="190"/>
      <c r="BAV40" s="190"/>
      <c r="BAW40" s="190"/>
      <c r="BAX40" s="190"/>
      <c r="BAY40" s="193"/>
      <c r="BAZ40" s="190"/>
      <c r="BBA40" s="190"/>
      <c r="BBB40" s="190"/>
      <c r="BBC40" s="190"/>
      <c r="BBD40" s="190"/>
      <c r="BBE40" s="192"/>
      <c r="BBF40" s="190"/>
      <c r="BBG40" s="190"/>
      <c r="BBH40" s="190"/>
      <c r="BBI40" s="190"/>
      <c r="BBJ40" s="190"/>
      <c r="BBK40" s="193"/>
      <c r="BBL40" s="190"/>
      <c r="BBM40" s="190"/>
      <c r="BBN40" s="190"/>
      <c r="BBO40" s="190"/>
      <c r="BBP40" s="190"/>
      <c r="BBQ40" s="192"/>
      <c r="BBR40" s="190"/>
      <c r="BBS40" s="190"/>
      <c r="BBT40" s="190"/>
      <c r="BBU40" s="190"/>
      <c r="BBV40" s="190"/>
      <c r="BBW40" s="193"/>
      <c r="BBX40" s="190"/>
      <c r="BBY40" s="190"/>
      <c r="BBZ40" s="190"/>
      <c r="BCA40" s="190"/>
      <c r="BCB40" s="190"/>
      <c r="BCC40" s="192"/>
      <c r="BCD40" s="190"/>
      <c r="BCE40" s="190"/>
      <c r="BCF40" s="190"/>
      <c r="BCG40" s="190"/>
      <c r="BCH40" s="190"/>
      <c r="BCI40" s="193"/>
      <c r="BCJ40" s="190"/>
      <c r="BCK40" s="190"/>
      <c r="BCL40" s="190"/>
      <c r="BCM40" s="190"/>
      <c r="BCN40" s="190"/>
      <c r="BCO40" s="194"/>
      <c r="BCP40" s="189"/>
      <c r="BCQ40" s="190"/>
      <c r="BCR40" s="190"/>
      <c r="BCS40" s="190"/>
      <c r="BCT40" s="190"/>
      <c r="BCU40" s="191"/>
      <c r="BCV40" s="190"/>
      <c r="BCW40" s="190"/>
      <c r="BCX40" s="190"/>
      <c r="BCY40" s="190"/>
      <c r="BCZ40" s="190"/>
      <c r="BDA40" s="192"/>
      <c r="BDB40" s="190"/>
      <c r="BDC40" s="190"/>
      <c r="BDD40" s="190"/>
      <c r="BDE40" s="190"/>
      <c r="BDF40" s="190"/>
      <c r="BDG40" s="193"/>
      <c r="BDH40" s="190"/>
      <c r="BDI40" s="190"/>
      <c r="BDJ40" s="190"/>
      <c r="BDK40" s="190"/>
      <c r="BDL40" s="190"/>
      <c r="BDM40" s="192"/>
      <c r="BDN40" s="190"/>
      <c r="BDO40" s="190"/>
      <c r="BDP40" s="190"/>
      <c r="BDQ40" s="190"/>
      <c r="BDR40" s="190"/>
      <c r="BDS40" s="193"/>
      <c r="BDT40" s="190"/>
      <c r="BDU40" s="190"/>
      <c r="BDV40" s="190"/>
      <c r="BDW40" s="190"/>
      <c r="BDX40" s="190"/>
      <c r="BDY40" s="192"/>
      <c r="BDZ40" s="190"/>
      <c r="BEA40" s="190"/>
      <c r="BEB40" s="190"/>
      <c r="BEC40" s="190"/>
      <c r="BED40" s="190"/>
      <c r="BEE40" s="193"/>
      <c r="BEF40" s="190"/>
      <c r="BEG40" s="190"/>
      <c r="BEH40" s="190"/>
      <c r="BEI40" s="190"/>
      <c r="BEJ40" s="190"/>
      <c r="BEK40" s="192"/>
      <c r="BEL40" s="190"/>
      <c r="BEM40" s="190"/>
      <c r="BEN40" s="190"/>
      <c r="BEO40" s="190"/>
      <c r="BEP40" s="190"/>
      <c r="BEQ40" s="193"/>
      <c r="BER40" s="190"/>
      <c r="BES40" s="190"/>
      <c r="BET40" s="190"/>
      <c r="BEU40" s="190"/>
      <c r="BEV40" s="190"/>
      <c r="BEW40" s="194"/>
      <c r="BEX40" s="189"/>
      <c r="BEY40" s="190"/>
      <c r="BEZ40" s="190"/>
      <c r="BFA40" s="190"/>
      <c r="BFB40" s="190"/>
      <c r="BFC40" s="191"/>
      <c r="BFD40" s="190"/>
      <c r="BFE40" s="190"/>
      <c r="BFF40" s="190"/>
      <c r="BFG40" s="190"/>
      <c r="BFH40" s="190"/>
      <c r="BFI40" s="192"/>
      <c r="BFJ40" s="190"/>
      <c r="BFK40" s="190"/>
      <c r="BFL40" s="190"/>
      <c r="BFM40" s="190"/>
      <c r="BFN40" s="190"/>
      <c r="BFO40" s="193"/>
      <c r="BFP40" s="190"/>
      <c r="BFQ40" s="190"/>
      <c r="BFR40" s="190"/>
      <c r="BFS40" s="190"/>
      <c r="BFT40" s="190"/>
      <c r="BFU40" s="192"/>
      <c r="BFV40" s="190"/>
      <c r="BFW40" s="190"/>
      <c r="BFX40" s="190"/>
      <c r="BFY40" s="190"/>
      <c r="BFZ40" s="190"/>
      <c r="BGA40" s="193"/>
      <c r="BGB40" s="190"/>
      <c r="BGC40" s="190"/>
      <c r="BGD40" s="190"/>
      <c r="BGE40" s="190"/>
      <c r="BGF40" s="190"/>
      <c r="BGG40" s="192"/>
      <c r="BGH40" s="190"/>
      <c r="BGI40" s="190"/>
      <c r="BGJ40" s="190"/>
      <c r="BGK40" s="190"/>
      <c r="BGL40" s="190"/>
      <c r="BGM40" s="193"/>
      <c r="BGN40" s="190"/>
      <c r="BGO40" s="190"/>
      <c r="BGP40" s="190"/>
      <c r="BGQ40" s="190"/>
      <c r="BGR40" s="190"/>
      <c r="BGS40" s="192"/>
      <c r="BGT40" s="190"/>
      <c r="BGU40" s="190"/>
      <c r="BGV40" s="190"/>
      <c r="BGW40" s="190"/>
      <c r="BGX40" s="190"/>
      <c r="BGY40" s="193"/>
      <c r="BGZ40" s="190"/>
      <c r="BHA40" s="190"/>
      <c r="BHB40" s="190"/>
      <c r="BHC40" s="190"/>
      <c r="BHD40" s="190"/>
      <c r="BHE40" s="194"/>
      <c r="BHF40" s="187"/>
      <c r="BHG40" s="188"/>
      <c r="BHH40" s="188"/>
      <c r="BHI40" s="188"/>
      <c r="BHJ40" s="188"/>
      <c r="BHK40" s="188"/>
      <c r="BHL40" s="188"/>
      <c r="BHM40" s="188"/>
      <c r="BHN40" s="188"/>
      <c r="BHO40" s="188"/>
      <c r="BHP40" s="188"/>
      <c r="BHQ40" s="188"/>
      <c r="BHR40" s="188"/>
      <c r="BHS40" s="188"/>
      <c r="BHT40" s="188"/>
      <c r="BHU40" s="188"/>
      <c r="BHV40" s="188"/>
      <c r="BHW40" s="188"/>
      <c r="BHX40" s="188"/>
      <c r="BHY40" s="188"/>
      <c r="BHZ40" s="188"/>
      <c r="BIA40" s="188"/>
      <c r="BIB40" s="188"/>
      <c r="BIC40" s="188"/>
      <c r="BID40" s="188"/>
      <c r="BIE40" s="188"/>
      <c r="BIF40" s="188"/>
      <c r="BIG40" s="188"/>
      <c r="BIH40" s="188"/>
      <c r="BII40" s="188"/>
      <c r="BIJ40" s="188"/>
      <c r="BIK40" s="188"/>
      <c r="BIL40" s="188"/>
      <c r="BIM40" s="188"/>
      <c r="BIN40" s="188"/>
      <c r="BIO40" s="188"/>
      <c r="BIP40" s="188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242" t="s">
        <v>105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76"/>
      <c r="AFO41" s="177"/>
      <c r="AFP41" s="177"/>
      <c r="AFQ41" s="177"/>
      <c r="AFR41" s="177"/>
      <c r="AFS41" s="178"/>
      <c r="AFT41" s="177"/>
      <c r="AFU41" s="177"/>
      <c r="AFV41" s="177"/>
      <c r="AFW41" s="177"/>
      <c r="AFX41" s="177"/>
      <c r="AFY41" s="179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77"/>
      <c r="AHY41" s="177"/>
      <c r="AHZ41" s="177"/>
      <c r="AIA41" s="178"/>
      <c r="AIB41" s="177"/>
      <c r="AIC41" s="177"/>
      <c r="AID41" s="177"/>
      <c r="AIE41" s="177"/>
      <c r="AIF41" s="177"/>
      <c r="AIG41" s="179"/>
      <c r="AIH41" s="177"/>
      <c r="AII41" s="177"/>
      <c r="AIJ41" s="177"/>
      <c r="AIK41" s="177"/>
      <c r="AIL41" s="177"/>
      <c r="AIM41" s="180"/>
      <c r="AIN41" s="177"/>
      <c r="AIO41" s="177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87"/>
      <c r="BHG41" s="188"/>
      <c r="BHH41" s="188"/>
      <c r="BHI41" s="188"/>
      <c r="BHJ41" s="188"/>
      <c r="BHK41" s="188"/>
      <c r="BHL41" s="188"/>
      <c r="BHM41" s="188"/>
      <c r="BHN41" s="188"/>
      <c r="BHO41" s="188"/>
      <c r="BHP41" s="188"/>
      <c r="BHQ41" s="188"/>
      <c r="BHR41" s="188"/>
      <c r="BHS41" s="188"/>
      <c r="BHT41" s="188"/>
      <c r="BHU41" s="188"/>
      <c r="BHV41" s="188"/>
      <c r="BHW41" s="188"/>
      <c r="BHX41" s="188"/>
      <c r="BHY41" s="188"/>
      <c r="BHZ41" s="188"/>
      <c r="BIA41" s="188"/>
      <c r="BIB41" s="188"/>
      <c r="BIC41" s="188"/>
      <c r="BID41" s="188"/>
      <c r="BIE41" s="188"/>
      <c r="BIF41" s="188"/>
      <c r="BIG41" s="188"/>
      <c r="BIH41" s="188"/>
      <c r="BII41" s="188"/>
      <c r="BIJ41" s="188"/>
      <c r="BIK41" s="188"/>
      <c r="BIL41" s="188"/>
      <c r="BIM41" s="188"/>
      <c r="BIN41" s="188"/>
      <c r="BIO41" s="188"/>
      <c r="BIP41" s="188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243"/>
      <c r="D42" s="121" t="str">
        <f t="shared" si="0"/>
        <v/>
      </c>
      <c r="E42" s="30">
        <v>0</v>
      </c>
      <c r="F42" s="195"/>
      <c r="G42" s="196"/>
      <c r="H42" s="196"/>
      <c r="I42" s="196"/>
      <c r="J42" s="196"/>
      <c r="K42" s="197"/>
      <c r="L42" s="196"/>
      <c r="M42" s="196"/>
      <c r="N42" s="196"/>
      <c r="O42" s="196"/>
      <c r="P42" s="196"/>
      <c r="Q42" s="198"/>
      <c r="R42" s="196"/>
      <c r="S42" s="196"/>
      <c r="T42" s="196"/>
      <c r="U42" s="196"/>
      <c r="V42" s="196"/>
      <c r="W42" s="199"/>
      <c r="X42" s="196"/>
      <c r="Y42" s="196"/>
      <c r="Z42" s="196"/>
      <c r="AA42" s="196"/>
      <c r="AB42" s="196"/>
      <c r="AC42" s="198"/>
      <c r="AD42" s="196"/>
      <c r="AE42" s="196"/>
      <c r="AF42" s="196"/>
      <c r="AG42" s="196"/>
      <c r="AH42" s="196"/>
      <c r="AI42" s="199"/>
      <c r="AJ42" s="196"/>
      <c r="AK42" s="196"/>
      <c r="AL42" s="196"/>
      <c r="AM42" s="196"/>
      <c r="AN42" s="196"/>
      <c r="AO42" s="198"/>
      <c r="AP42" s="196"/>
      <c r="AQ42" s="196"/>
      <c r="AR42" s="196"/>
      <c r="AS42" s="196"/>
      <c r="AT42" s="196"/>
      <c r="AU42" s="199"/>
      <c r="AV42" s="196"/>
      <c r="AW42" s="196"/>
      <c r="AX42" s="196"/>
      <c r="AY42" s="196"/>
      <c r="AZ42" s="196"/>
      <c r="BA42" s="198"/>
      <c r="BB42" s="196"/>
      <c r="BC42" s="196"/>
      <c r="BD42" s="196"/>
      <c r="BE42" s="196"/>
      <c r="BF42" s="196"/>
      <c r="BG42" s="199"/>
      <c r="BH42" s="196"/>
      <c r="BI42" s="196"/>
      <c r="BJ42" s="196"/>
      <c r="BK42" s="196"/>
      <c r="BL42" s="196"/>
      <c r="BM42" s="200"/>
      <c r="BN42" s="195"/>
      <c r="BO42" s="196"/>
      <c r="BP42" s="196"/>
      <c r="BQ42" s="196"/>
      <c r="BR42" s="196"/>
      <c r="BS42" s="197"/>
      <c r="BT42" s="196"/>
      <c r="BU42" s="196"/>
      <c r="BV42" s="196"/>
      <c r="BW42" s="196"/>
      <c r="BX42" s="196"/>
      <c r="BY42" s="198"/>
      <c r="BZ42" s="196"/>
      <c r="CA42" s="196"/>
      <c r="CB42" s="196"/>
      <c r="CC42" s="196"/>
      <c r="CD42" s="196"/>
      <c r="CE42" s="199"/>
      <c r="CF42" s="196"/>
      <c r="CG42" s="196"/>
      <c r="CH42" s="196"/>
      <c r="CI42" s="196"/>
      <c r="CJ42" s="196"/>
      <c r="CK42" s="198"/>
      <c r="CL42" s="196"/>
      <c r="CM42" s="196"/>
      <c r="CN42" s="196"/>
      <c r="CO42" s="196"/>
      <c r="CP42" s="196"/>
      <c r="CQ42" s="199"/>
      <c r="CR42" s="196"/>
      <c r="CS42" s="196"/>
      <c r="CT42" s="196"/>
      <c r="CU42" s="196"/>
      <c r="CV42" s="196"/>
      <c r="CW42" s="198"/>
      <c r="CX42" s="196"/>
      <c r="CY42" s="196"/>
      <c r="CZ42" s="196"/>
      <c r="DA42" s="196"/>
      <c r="DB42" s="196"/>
      <c r="DC42" s="199"/>
      <c r="DD42" s="196"/>
      <c r="DE42" s="196"/>
      <c r="DF42" s="196"/>
      <c r="DG42" s="196"/>
      <c r="DH42" s="196"/>
      <c r="DI42" s="198"/>
      <c r="DJ42" s="196"/>
      <c r="DK42" s="196"/>
      <c r="DL42" s="196"/>
      <c r="DM42" s="196"/>
      <c r="DN42" s="196"/>
      <c r="DO42" s="199"/>
      <c r="DP42" s="196"/>
      <c r="DQ42" s="196"/>
      <c r="DR42" s="196"/>
      <c r="DS42" s="196"/>
      <c r="DT42" s="196"/>
      <c r="DU42" s="200"/>
      <c r="DV42" s="195"/>
      <c r="DW42" s="196"/>
      <c r="DX42" s="196"/>
      <c r="DY42" s="196"/>
      <c r="DZ42" s="196"/>
      <c r="EA42" s="197"/>
      <c r="EB42" s="196"/>
      <c r="EC42" s="196"/>
      <c r="ED42" s="196"/>
      <c r="EE42" s="196"/>
      <c r="EF42" s="196"/>
      <c r="EG42" s="198"/>
      <c r="EH42" s="196"/>
      <c r="EI42" s="196"/>
      <c r="EJ42" s="196"/>
      <c r="EK42" s="196"/>
      <c r="EL42" s="196"/>
      <c r="EM42" s="199"/>
      <c r="EN42" s="196"/>
      <c r="EO42" s="196"/>
      <c r="EP42" s="196"/>
      <c r="EQ42" s="196"/>
      <c r="ER42" s="196"/>
      <c r="ES42" s="198"/>
      <c r="ET42" s="196"/>
      <c r="EU42" s="196"/>
      <c r="EV42" s="196"/>
      <c r="EW42" s="196"/>
      <c r="EX42" s="196"/>
      <c r="EY42" s="199"/>
      <c r="EZ42" s="196"/>
      <c r="FA42" s="196"/>
      <c r="FB42" s="196"/>
      <c r="FC42" s="196"/>
      <c r="FD42" s="196"/>
      <c r="FE42" s="198"/>
      <c r="FF42" s="196"/>
      <c r="FG42" s="196"/>
      <c r="FH42" s="196"/>
      <c r="FI42" s="196"/>
      <c r="FJ42" s="196"/>
      <c r="FK42" s="199"/>
      <c r="FL42" s="196"/>
      <c r="FM42" s="196"/>
      <c r="FN42" s="196"/>
      <c r="FO42" s="196"/>
      <c r="FP42" s="196"/>
      <c r="FQ42" s="198"/>
      <c r="FR42" s="196"/>
      <c r="FS42" s="196"/>
      <c r="FT42" s="196"/>
      <c r="FU42" s="196"/>
      <c r="FV42" s="196"/>
      <c r="FW42" s="199"/>
      <c r="FX42" s="196"/>
      <c r="FY42" s="196"/>
      <c r="FZ42" s="196"/>
      <c r="GA42" s="196"/>
      <c r="GB42" s="196"/>
      <c r="GC42" s="200"/>
      <c r="GD42" s="195"/>
      <c r="GE42" s="196"/>
      <c r="GF42" s="196"/>
      <c r="GG42" s="196"/>
      <c r="GH42" s="196"/>
      <c r="GI42" s="197"/>
      <c r="GJ42" s="196"/>
      <c r="GK42" s="196"/>
      <c r="GL42" s="196"/>
      <c r="GM42" s="196"/>
      <c r="GN42" s="196"/>
      <c r="GO42" s="198"/>
      <c r="GP42" s="196"/>
      <c r="GQ42" s="196"/>
      <c r="GR42" s="196"/>
      <c r="GS42" s="196"/>
      <c r="GT42" s="196"/>
      <c r="GU42" s="199"/>
      <c r="GV42" s="196"/>
      <c r="GW42" s="196"/>
      <c r="GX42" s="196"/>
      <c r="GY42" s="196"/>
      <c r="GZ42" s="196"/>
      <c r="HA42" s="198"/>
      <c r="HB42" s="196"/>
      <c r="HC42" s="196"/>
      <c r="HD42" s="196"/>
      <c r="HE42" s="196"/>
      <c r="HF42" s="196"/>
      <c r="HG42" s="199"/>
      <c r="HH42" s="196"/>
      <c r="HI42" s="196"/>
      <c r="HJ42" s="196"/>
      <c r="HK42" s="196"/>
      <c r="HL42" s="196"/>
      <c r="HM42" s="198"/>
      <c r="HN42" s="196"/>
      <c r="HO42" s="196"/>
      <c r="HP42" s="196"/>
      <c r="HQ42" s="196"/>
      <c r="HR42" s="196"/>
      <c r="HS42" s="199"/>
      <c r="HT42" s="196"/>
      <c r="HU42" s="196"/>
      <c r="HV42" s="196"/>
      <c r="HW42" s="196"/>
      <c r="HX42" s="196"/>
      <c r="HY42" s="198"/>
      <c r="HZ42" s="196"/>
      <c r="IA42" s="196"/>
      <c r="IB42" s="196"/>
      <c r="IC42" s="196"/>
      <c r="ID42" s="196"/>
      <c r="IE42" s="199"/>
      <c r="IF42" s="196"/>
      <c r="IG42" s="196"/>
      <c r="IH42" s="196"/>
      <c r="II42" s="196"/>
      <c r="IJ42" s="196"/>
      <c r="IK42" s="200"/>
      <c r="IL42" s="195"/>
      <c r="IM42" s="196"/>
      <c r="IN42" s="196"/>
      <c r="IO42" s="196"/>
      <c r="IP42" s="196"/>
      <c r="IQ42" s="197"/>
      <c r="IR42" s="196"/>
      <c r="IS42" s="196"/>
      <c r="IT42" s="196"/>
      <c r="IU42" s="196"/>
      <c r="IV42" s="196"/>
      <c r="IW42" s="198"/>
      <c r="IX42" s="196"/>
      <c r="IY42" s="196"/>
      <c r="IZ42" s="196"/>
      <c r="JA42" s="196"/>
      <c r="JB42" s="196"/>
      <c r="JC42" s="199"/>
      <c r="JD42" s="196"/>
      <c r="JE42" s="196"/>
      <c r="JF42" s="196"/>
      <c r="JG42" s="196"/>
      <c r="JH42" s="196"/>
      <c r="JI42" s="198"/>
      <c r="JJ42" s="196"/>
      <c r="JK42" s="196"/>
      <c r="JL42" s="196"/>
      <c r="JM42" s="196"/>
      <c r="JN42" s="196"/>
      <c r="JO42" s="199"/>
      <c r="JP42" s="196"/>
      <c r="JQ42" s="196"/>
      <c r="JR42" s="196"/>
      <c r="JS42" s="196"/>
      <c r="JT42" s="196"/>
      <c r="JU42" s="198"/>
      <c r="JV42" s="196"/>
      <c r="JW42" s="196"/>
      <c r="JX42" s="196"/>
      <c r="JY42" s="196"/>
      <c r="JZ42" s="196"/>
      <c r="KA42" s="199"/>
      <c r="KB42" s="196"/>
      <c r="KC42" s="196"/>
      <c r="KD42" s="196"/>
      <c r="KE42" s="196"/>
      <c r="KF42" s="196"/>
      <c r="KG42" s="198"/>
      <c r="KH42" s="196"/>
      <c r="KI42" s="196"/>
      <c r="KJ42" s="196"/>
      <c r="KK42" s="196"/>
      <c r="KL42" s="196"/>
      <c r="KM42" s="199"/>
      <c r="KN42" s="196"/>
      <c r="KO42" s="196"/>
      <c r="KP42" s="196"/>
      <c r="KQ42" s="196"/>
      <c r="KR42" s="196"/>
      <c r="KS42" s="200"/>
      <c r="KT42" s="195"/>
      <c r="KU42" s="196"/>
      <c r="KV42" s="196"/>
      <c r="KW42" s="196"/>
      <c r="KX42" s="196"/>
      <c r="KY42" s="197"/>
      <c r="KZ42" s="196"/>
      <c r="LA42" s="196"/>
      <c r="LB42" s="196"/>
      <c r="LC42" s="196"/>
      <c r="LD42" s="196"/>
      <c r="LE42" s="198"/>
      <c r="LF42" s="196"/>
      <c r="LG42" s="196"/>
      <c r="LH42" s="196"/>
      <c r="LI42" s="196"/>
      <c r="LJ42" s="196"/>
      <c r="LK42" s="199"/>
      <c r="LL42" s="196"/>
      <c r="LM42" s="196"/>
      <c r="LN42" s="196"/>
      <c r="LO42" s="196"/>
      <c r="LP42" s="196"/>
      <c r="LQ42" s="198"/>
      <c r="LR42" s="196"/>
      <c r="LS42" s="196"/>
      <c r="LT42" s="196"/>
      <c r="LU42" s="196"/>
      <c r="LV42" s="196"/>
      <c r="LW42" s="199"/>
      <c r="LX42" s="196"/>
      <c r="LY42" s="196"/>
      <c r="LZ42" s="196"/>
      <c r="MA42" s="196"/>
      <c r="MB42" s="196"/>
      <c r="MC42" s="198"/>
      <c r="MD42" s="196"/>
      <c r="ME42" s="196"/>
      <c r="MF42" s="196"/>
      <c r="MG42" s="196"/>
      <c r="MH42" s="196"/>
      <c r="MI42" s="199"/>
      <c r="MJ42" s="196"/>
      <c r="MK42" s="196"/>
      <c r="ML42" s="196"/>
      <c r="MM42" s="196"/>
      <c r="MN42" s="196"/>
      <c r="MO42" s="198"/>
      <c r="MP42" s="196"/>
      <c r="MQ42" s="196"/>
      <c r="MR42" s="196"/>
      <c r="MS42" s="196"/>
      <c r="MT42" s="196"/>
      <c r="MU42" s="199"/>
      <c r="MV42" s="196"/>
      <c r="MW42" s="196"/>
      <c r="MX42" s="196"/>
      <c r="MY42" s="196"/>
      <c r="MZ42" s="196"/>
      <c r="NA42" s="200"/>
      <c r="NB42" s="195"/>
      <c r="NC42" s="196"/>
      <c r="ND42" s="196"/>
      <c r="NE42" s="196"/>
      <c r="NF42" s="196"/>
      <c r="NG42" s="197"/>
      <c r="NH42" s="196"/>
      <c r="NI42" s="196"/>
      <c r="NJ42" s="196"/>
      <c r="NK42" s="196"/>
      <c r="NL42" s="196"/>
      <c r="NM42" s="198"/>
      <c r="NN42" s="196"/>
      <c r="NO42" s="196"/>
      <c r="NP42" s="196"/>
      <c r="NQ42" s="196"/>
      <c r="NR42" s="196"/>
      <c r="NS42" s="199"/>
      <c r="NT42" s="196"/>
      <c r="NU42" s="196"/>
      <c r="NV42" s="196"/>
      <c r="NW42" s="196"/>
      <c r="NX42" s="196"/>
      <c r="NY42" s="198"/>
      <c r="NZ42" s="196"/>
      <c r="OA42" s="196"/>
      <c r="OB42" s="196"/>
      <c r="OC42" s="196"/>
      <c r="OD42" s="196"/>
      <c r="OE42" s="199"/>
      <c r="OF42" s="196"/>
      <c r="OG42" s="196"/>
      <c r="OH42" s="196"/>
      <c r="OI42" s="196"/>
      <c r="OJ42" s="196"/>
      <c r="OK42" s="198"/>
      <c r="OL42" s="196"/>
      <c r="OM42" s="196"/>
      <c r="ON42" s="196"/>
      <c r="OO42" s="196"/>
      <c r="OP42" s="196"/>
      <c r="OQ42" s="199"/>
      <c r="OR42" s="196"/>
      <c r="OS42" s="196"/>
      <c r="OT42" s="196"/>
      <c r="OU42" s="196"/>
      <c r="OV42" s="196"/>
      <c r="OW42" s="198"/>
      <c r="OX42" s="196"/>
      <c r="OY42" s="196"/>
      <c r="OZ42" s="196"/>
      <c r="PA42" s="196"/>
      <c r="PB42" s="196"/>
      <c r="PC42" s="199"/>
      <c r="PD42" s="196"/>
      <c r="PE42" s="196"/>
      <c r="PF42" s="196"/>
      <c r="PG42" s="196"/>
      <c r="PH42" s="196"/>
      <c r="PI42" s="200"/>
      <c r="PJ42" s="195"/>
      <c r="PK42" s="196"/>
      <c r="PL42" s="196"/>
      <c r="PM42" s="196"/>
      <c r="PN42" s="196"/>
      <c r="PO42" s="197"/>
      <c r="PP42" s="196"/>
      <c r="PQ42" s="196"/>
      <c r="PR42" s="196"/>
      <c r="PS42" s="196"/>
      <c r="PT42" s="196"/>
      <c r="PU42" s="198"/>
      <c r="PV42" s="196"/>
      <c r="PW42" s="196"/>
      <c r="PX42" s="196"/>
      <c r="PY42" s="196"/>
      <c r="PZ42" s="196"/>
      <c r="QA42" s="199"/>
      <c r="QB42" s="196"/>
      <c r="QC42" s="196"/>
      <c r="QD42" s="196"/>
      <c r="QE42" s="196"/>
      <c r="QF42" s="196"/>
      <c r="QG42" s="198"/>
      <c r="QH42" s="196"/>
      <c r="QI42" s="196"/>
      <c r="QJ42" s="196"/>
      <c r="QK42" s="196"/>
      <c r="QL42" s="196"/>
      <c r="QM42" s="199"/>
      <c r="QN42" s="196"/>
      <c r="QO42" s="196"/>
      <c r="QP42" s="196"/>
      <c r="QQ42" s="196"/>
      <c r="QR42" s="196"/>
      <c r="QS42" s="198"/>
      <c r="QT42" s="196"/>
      <c r="QU42" s="196"/>
      <c r="QV42" s="196"/>
      <c r="QW42" s="196"/>
      <c r="QX42" s="196"/>
      <c r="QY42" s="199"/>
      <c r="QZ42" s="196"/>
      <c r="RA42" s="196"/>
      <c r="RB42" s="196"/>
      <c r="RC42" s="196"/>
      <c r="RD42" s="196"/>
      <c r="RE42" s="198"/>
      <c r="RF42" s="196"/>
      <c r="RG42" s="196"/>
      <c r="RH42" s="196"/>
      <c r="RI42" s="196"/>
      <c r="RJ42" s="196"/>
      <c r="RK42" s="199"/>
      <c r="RL42" s="196"/>
      <c r="RM42" s="196"/>
      <c r="RN42" s="196"/>
      <c r="RO42" s="196"/>
      <c r="RP42" s="196"/>
      <c r="RQ42" s="200"/>
      <c r="RR42" s="195"/>
      <c r="RS42" s="196"/>
      <c r="RT42" s="196"/>
      <c r="RU42" s="196"/>
      <c r="RV42" s="196"/>
      <c r="RW42" s="197"/>
      <c r="RX42" s="196"/>
      <c r="RY42" s="196"/>
      <c r="RZ42" s="196"/>
      <c r="SA42" s="196"/>
      <c r="SB42" s="196"/>
      <c r="SC42" s="198"/>
      <c r="SD42" s="196"/>
      <c r="SE42" s="196"/>
      <c r="SF42" s="196"/>
      <c r="SG42" s="196"/>
      <c r="SH42" s="196"/>
      <c r="SI42" s="199"/>
      <c r="SJ42" s="196"/>
      <c r="SK42" s="196"/>
      <c r="SL42" s="196"/>
      <c r="SM42" s="196"/>
      <c r="SN42" s="196"/>
      <c r="SO42" s="198"/>
      <c r="SP42" s="196"/>
      <c r="SQ42" s="196"/>
      <c r="SR42" s="196"/>
      <c r="SS42" s="196"/>
      <c r="ST42" s="196"/>
      <c r="SU42" s="199"/>
      <c r="SV42" s="196"/>
      <c r="SW42" s="196"/>
      <c r="SX42" s="196"/>
      <c r="SY42" s="196"/>
      <c r="SZ42" s="196"/>
      <c r="TA42" s="198"/>
      <c r="TB42" s="196"/>
      <c r="TC42" s="196"/>
      <c r="TD42" s="196"/>
      <c r="TE42" s="196"/>
      <c r="TF42" s="196"/>
      <c r="TG42" s="199"/>
      <c r="TH42" s="196"/>
      <c r="TI42" s="196"/>
      <c r="TJ42" s="196"/>
      <c r="TK42" s="196"/>
      <c r="TL42" s="196"/>
      <c r="TM42" s="198"/>
      <c r="TN42" s="196"/>
      <c r="TO42" s="196"/>
      <c r="TP42" s="196"/>
      <c r="TQ42" s="196"/>
      <c r="TR42" s="196"/>
      <c r="TS42" s="199"/>
      <c r="TT42" s="196"/>
      <c r="TU42" s="196"/>
      <c r="TV42" s="196"/>
      <c r="TW42" s="196"/>
      <c r="TX42" s="196"/>
      <c r="TY42" s="200"/>
      <c r="TZ42" s="195"/>
      <c r="UA42" s="196"/>
      <c r="UB42" s="196"/>
      <c r="UC42" s="196"/>
      <c r="UD42" s="196"/>
      <c r="UE42" s="197"/>
      <c r="UF42" s="196"/>
      <c r="UG42" s="196"/>
      <c r="UH42" s="196"/>
      <c r="UI42" s="196"/>
      <c r="UJ42" s="196"/>
      <c r="UK42" s="198"/>
      <c r="UL42" s="196"/>
      <c r="UM42" s="196"/>
      <c r="UN42" s="196"/>
      <c r="UO42" s="196"/>
      <c r="UP42" s="196"/>
      <c r="UQ42" s="199"/>
      <c r="UR42" s="196"/>
      <c r="US42" s="196"/>
      <c r="UT42" s="196"/>
      <c r="UU42" s="196"/>
      <c r="UV42" s="196"/>
      <c r="UW42" s="198"/>
      <c r="UX42" s="196"/>
      <c r="UY42" s="196"/>
      <c r="UZ42" s="196"/>
      <c r="VA42" s="196"/>
      <c r="VB42" s="196"/>
      <c r="VC42" s="199"/>
      <c r="VD42" s="196"/>
      <c r="VE42" s="196"/>
      <c r="VF42" s="196"/>
      <c r="VG42" s="196"/>
      <c r="VH42" s="196"/>
      <c r="VI42" s="198"/>
      <c r="VJ42" s="196"/>
      <c r="VK42" s="196"/>
      <c r="VL42" s="196"/>
      <c r="VM42" s="196"/>
      <c r="VN42" s="196"/>
      <c r="VO42" s="199"/>
      <c r="VP42" s="196"/>
      <c r="VQ42" s="196"/>
      <c r="VR42" s="196"/>
      <c r="VS42" s="196"/>
      <c r="VT42" s="196"/>
      <c r="VU42" s="198"/>
      <c r="VV42" s="196"/>
      <c r="VW42" s="196"/>
      <c r="VX42" s="196"/>
      <c r="VY42" s="196"/>
      <c r="VZ42" s="196"/>
      <c r="WA42" s="199"/>
      <c r="WB42" s="196"/>
      <c r="WC42" s="196"/>
      <c r="WD42" s="196"/>
      <c r="WE42" s="196"/>
      <c r="WF42" s="196"/>
      <c r="WG42" s="200"/>
      <c r="WH42" s="195"/>
      <c r="WI42" s="196"/>
      <c r="WJ42" s="196"/>
      <c r="WK42" s="196"/>
      <c r="WL42" s="196"/>
      <c r="WM42" s="197"/>
      <c r="WN42" s="196"/>
      <c r="WO42" s="196"/>
      <c r="WP42" s="196"/>
      <c r="WQ42" s="196"/>
      <c r="WR42" s="196"/>
      <c r="WS42" s="198"/>
      <c r="WT42" s="196"/>
      <c r="WU42" s="196"/>
      <c r="WV42" s="196"/>
      <c r="WW42" s="196"/>
      <c r="WX42" s="196"/>
      <c r="WY42" s="199"/>
      <c r="WZ42" s="196"/>
      <c r="XA42" s="196"/>
      <c r="XB42" s="196"/>
      <c r="XC42" s="196"/>
      <c r="XD42" s="196"/>
      <c r="XE42" s="198"/>
      <c r="XF42" s="196"/>
      <c r="XG42" s="196"/>
      <c r="XH42" s="196"/>
      <c r="XI42" s="196"/>
      <c r="XJ42" s="196"/>
      <c r="XK42" s="199"/>
      <c r="XL42" s="196"/>
      <c r="XM42" s="196"/>
      <c r="XN42" s="196"/>
      <c r="XO42" s="196"/>
      <c r="XP42" s="196"/>
      <c r="XQ42" s="198"/>
      <c r="XR42" s="196"/>
      <c r="XS42" s="196"/>
      <c r="XT42" s="196"/>
      <c r="XU42" s="196"/>
      <c r="XV42" s="196"/>
      <c r="XW42" s="199"/>
      <c r="XX42" s="196"/>
      <c r="XY42" s="196"/>
      <c r="XZ42" s="196"/>
      <c r="YA42" s="196"/>
      <c r="YB42" s="196"/>
      <c r="YC42" s="198"/>
      <c r="YD42" s="196"/>
      <c r="YE42" s="196"/>
      <c r="YF42" s="196"/>
      <c r="YG42" s="196"/>
      <c r="YH42" s="196"/>
      <c r="YI42" s="199"/>
      <c r="YJ42" s="196"/>
      <c r="YK42" s="196"/>
      <c r="YL42" s="196"/>
      <c r="YM42" s="196"/>
      <c r="YN42" s="196"/>
      <c r="YO42" s="200"/>
      <c r="YP42" s="195"/>
      <c r="YQ42" s="196"/>
      <c r="YR42" s="196"/>
      <c r="YS42" s="196"/>
      <c r="YT42" s="196"/>
      <c r="YU42" s="197"/>
      <c r="YV42" s="196"/>
      <c r="YW42" s="196"/>
      <c r="YX42" s="196"/>
      <c r="YY42" s="196"/>
      <c r="YZ42" s="196"/>
      <c r="ZA42" s="198"/>
      <c r="ZB42" s="196"/>
      <c r="ZC42" s="196"/>
      <c r="ZD42" s="196"/>
      <c r="ZE42" s="196"/>
      <c r="ZF42" s="196"/>
      <c r="ZG42" s="199"/>
      <c r="ZH42" s="196"/>
      <c r="ZI42" s="196"/>
      <c r="ZJ42" s="196"/>
      <c r="ZK42" s="196"/>
      <c r="ZL42" s="196"/>
      <c r="ZM42" s="198"/>
      <c r="ZN42" s="196"/>
      <c r="ZO42" s="196"/>
      <c r="ZP42" s="196"/>
      <c r="ZQ42" s="196"/>
      <c r="ZR42" s="196"/>
      <c r="ZS42" s="199"/>
      <c r="ZT42" s="196"/>
      <c r="ZU42" s="196"/>
      <c r="ZV42" s="196"/>
      <c r="ZW42" s="196"/>
      <c r="ZX42" s="196"/>
      <c r="ZY42" s="198"/>
      <c r="ZZ42" s="196"/>
      <c r="AAA42" s="196"/>
      <c r="AAB42" s="196"/>
      <c r="AAC42" s="196"/>
      <c r="AAD42" s="196"/>
      <c r="AAE42" s="199"/>
      <c r="AAF42" s="196"/>
      <c r="AAG42" s="196"/>
      <c r="AAH42" s="196"/>
      <c r="AAI42" s="196"/>
      <c r="AAJ42" s="196"/>
      <c r="AAK42" s="198"/>
      <c r="AAL42" s="196"/>
      <c r="AAM42" s="196"/>
      <c r="AAN42" s="196"/>
      <c r="AAO42" s="196"/>
      <c r="AAP42" s="196"/>
      <c r="AAQ42" s="199"/>
      <c r="AAR42" s="196"/>
      <c r="AAS42" s="196"/>
      <c r="AAT42" s="196"/>
      <c r="AAU42" s="196"/>
      <c r="AAV42" s="196"/>
      <c r="AAW42" s="200"/>
      <c r="AAX42" s="195"/>
      <c r="AAY42" s="196"/>
      <c r="AAZ42" s="196"/>
      <c r="ABA42" s="196"/>
      <c r="ABB42" s="196"/>
      <c r="ABC42" s="197"/>
      <c r="ABD42" s="196"/>
      <c r="ABE42" s="196"/>
      <c r="ABF42" s="196"/>
      <c r="ABG42" s="196"/>
      <c r="ABH42" s="196"/>
      <c r="ABI42" s="198"/>
      <c r="ABJ42" s="196"/>
      <c r="ABK42" s="196"/>
      <c r="ABL42" s="196"/>
      <c r="ABM42" s="196"/>
      <c r="ABN42" s="196"/>
      <c r="ABO42" s="199"/>
      <c r="ABP42" s="196"/>
      <c r="ABQ42" s="196"/>
      <c r="ABR42" s="196"/>
      <c r="ABS42" s="196"/>
      <c r="ABT42" s="196"/>
      <c r="ABU42" s="198"/>
      <c r="ABV42" s="196"/>
      <c r="ABW42" s="196"/>
      <c r="ABX42" s="196"/>
      <c r="ABY42" s="196"/>
      <c r="ABZ42" s="196"/>
      <c r="ACA42" s="199"/>
      <c r="ACB42" s="196"/>
      <c r="ACC42" s="196"/>
      <c r="ACD42" s="196"/>
      <c r="ACE42" s="196"/>
      <c r="ACF42" s="196"/>
      <c r="ACG42" s="198"/>
      <c r="ACH42" s="196"/>
      <c r="ACI42" s="196"/>
      <c r="ACJ42" s="196"/>
      <c r="ACK42" s="196"/>
      <c r="ACL42" s="196"/>
      <c r="ACM42" s="199"/>
      <c r="ACN42" s="196"/>
      <c r="ACO42" s="196"/>
      <c r="ACP42" s="196"/>
      <c r="ACQ42" s="196"/>
      <c r="ACR42" s="196"/>
      <c r="ACS42" s="198"/>
      <c r="ACT42" s="196"/>
      <c r="ACU42" s="196"/>
      <c r="ACV42" s="196"/>
      <c r="ACW42" s="196"/>
      <c r="ACX42" s="196"/>
      <c r="ACY42" s="199"/>
      <c r="ACZ42" s="196"/>
      <c r="ADA42" s="196"/>
      <c r="ADB42" s="196"/>
      <c r="ADC42" s="196"/>
      <c r="ADD42" s="196"/>
      <c r="ADE42" s="200"/>
      <c r="ADF42" s="195"/>
      <c r="ADG42" s="196"/>
      <c r="ADH42" s="196"/>
      <c r="ADI42" s="196"/>
      <c r="ADJ42" s="196"/>
      <c r="ADK42" s="197"/>
      <c r="ADL42" s="196"/>
      <c r="ADM42" s="196"/>
      <c r="ADN42" s="196"/>
      <c r="ADO42" s="196"/>
      <c r="ADP42" s="196"/>
      <c r="ADQ42" s="198"/>
      <c r="ADR42" s="196"/>
      <c r="ADS42" s="196"/>
      <c r="ADT42" s="196"/>
      <c r="ADU42" s="196"/>
      <c r="ADV42" s="196"/>
      <c r="ADW42" s="199"/>
      <c r="ADX42" s="196"/>
      <c r="ADY42" s="196"/>
      <c r="ADZ42" s="196"/>
      <c r="AEA42" s="196"/>
      <c r="AEB42" s="196"/>
      <c r="AEC42" s="198"/>
      <c r="AED42" s="196"/>
      <c r="AEE42" s="196"/>
      <c r="AEF42" s="196"/>
      <c r="AEG42" s="196"/>
      <c r="AEH42" s="196"/>
      <c r="AEI42" s="199"/>
      <c r="AEJ42" s="196"/>
      <c r="AEK42" s="196"/>
      <c r="AEL42" s="196"/>
      <c r="AEM42" s="196"/>
      <c r="AEN42" s="196"/>
      <c r="AEO42" s="198"/>
      <c r="AEP42" s="196"/>
      <c r="AEQ42" s="196"/>
      <c r="AER42" s="196"/>
      <c r="AES42" s="196"/>
      <c r="AET42" s="196"/>
      <c r="AEU42" s="199"/>
      <c r="AEV42" s="196"/>
      <c r="AEW42" s="196"/>
      <c r="AEX42" s="196"/>
      <c r="AEY42" s="196"/>
      <c r="AEZ42" s="196"/>
      <c r="AFA42" s="198"/>
      <c r="AFB42" s="196"/>
      <c r="AFC42" s="196"/>
      <c r="AFD42" s="196"/>
      <c r="AFE42" s="196"/>
      <c r="AFF42" s="196"/>
      <c r="AFG42" s="199"/>
      <c r="AFH42" s="196"/>
      <c r="AFI42" s="196"/>
      <c r="AFJ42" s="196"/>
      <c r="AFK42" s="196"/>
      <c r="AFL42" s="196"/>
      <c r="AFM42" s="200"/>
      <c r="AFN42" s="195"/>
      <c r="AFO42" s="196"/>
      <c r="AFP42" s="196"/>
      <c r="AFQ42" s="196"/>
      <c r="AFR42" s="196"/>
      <c r="AFS42" s="197"/>
      <c r="AFT42" s="196"/>
      <c r="AFU42" s="196"/>
      <c r="AFV42" s="196"/>
      <c r="AFW42" s="196"/>
      <c r="AFX42" s="196"/>
      <c r="AFY42" s="198"/>
      <c r="AFZ42" s="196"/>
      <c r="AGA42" s="196"/>
      <c r="AGB42" s="196"/>
      <c r="AGC42" s="196"/>
      <c r="AGD42" s="196"/>
      <c r="AGE42" s="199"/>
      <c r="AGF42" s="196"/>
      <c r="AGG42" s="196"/>
      <c r="AGH42" s="196"/>
      <c r="AGI42" s="196"/>
      <c r="AGJ42" s="196"/>
      <c r="AGK42" s="198"/>
      <c r="AGL42" s="196"/>
      <c r="AGM42" s="196"/>
      <c r="AGN42" s="196"/>
      <c r="AGO42" s="196"/>
      <c r="AGP42" s="196"/>
      <c r="AGQ42" s="199"/>
      <c r="AGR42" s="196"/>
      <c r="AGS42" s="196"/>
      <c r="AGT42" s="196"/>
      <c r="AGU42" s="196"/>
      <c r="AGV42" s="196"/>
      <c r="AGW42" s="198"/>
      <c r="AGX42" s="196"/>
      <c r="AGY42" s="196"/>
      <c r="AGZ42" s="196"/>
      <c r="AHA42" s="196"/>
      <c r="AHB42" s="196"/>
      <c r="AHC42" s="199"/>
      <c r="AHD42" s="196"/>
      <c r="AHE42" s="196"/>
      <c r="AHF42" s="196"/>
      <c r="AHG42" s="196"/>
      <c r="AHH42" s="196"/>
      <c r="AHI42" s="198"/>
      <c r="AHJ42" s="196"/>
      <c r="AHK42" s="196"/>
      <c r="AHL42" s="196"/>
      <c r="AHM42" s="196"/>
      <c r="AHN42" s="196"/>
      <c r="AHO42" s="199"/>
      <c r="AHP42" s="196"/>
      <c r="AHQ42" s="196"/>
      <c r="AHR42" s="196"/>
      <c r="AHS42" s="196"/>
      <c r="AHT42" s="196"/>
      <c r="AHU42" s="200"/>
      <c r="AHV42" s="195"/>
      <c r="AHW42" s="196"/>
      <c r="AHX42" s="196"/>
      <c r="AHY42" s="196"/>
      <c r="AHZ42" s="196"/>
      <c r="AIA42" s="197"/>
      <c r="AIB42" s="196"/>
      <c r="AIC42" s="196"/>
      <c r="AID42" s="196"/>
      <c r="AIE42" s="196"/>
      <c r="AIF42" s="196"/>
      <c r="AIG42" s="198"/>
      <c r="AIH42" s="196"/>
      <c r="AII42" s="196"/>
      <c r="AIJ42" s="196"/>
      <c r="AIK42" s="196"/>
      <c r="AIL42" s="196"/>
      <c r="AIM42" s="199"/>
      <c r="AIN42" s="196"/>
      <c r="AIO42" s="196"/>
      <c r="AIP42" s="196"/>
      <c r="AIQ42" s="196"/>
      <c r="AIR42" s="196"/>
      <c r="AIS42" s="198"/>
      <c r="AIT42" s="196"/>
      <c r="AIU42" s="196"/>
      <c r="AIV42" s="196"/>
      <c r="AIW42" s="196"/>
      <c r="AIX42" s="196"/>
      <c r="AIY42" s="199"/>
      <c r="AIZ42" s="196"/>
      <c r="AJA42" s="196"/>
      <c r="AJB42" s="196"/>
      <c r="AJC42" s="196"/>
      <c r="AJD42" s="196"/>
      <c r="AJE42" s="198"/>
      <c r="AJF42" s="196"/>
      <c r="AJG42" s="196"/>
      <c r="AJH42" s="196"/>
      <c r="AJI42" s="196"/>
      <c r="AJJ42" s="196"/>
      <c r="AJK42" s="199"/>
      <c r="AJL42" s="196"/>
      <c r="AJM42" s="196"/>
      <c r="AJN42" s="196"/>
      <c r="AJO42" s="196"/>
      <c r="AJP42" s="196"/>
      <c r="AJQ42" s="198"/>
      <c r="AJR42" s="196"/>
      <c r="AJS42" s="196"/>
      <c r="AJT42" s="196"/>
      <c r="AJU42" s="196"/>
      <c r="AJV42" s="196"/>
      <c r="AJW42" s="199"/>
      <c r="AJX42" s="196"/>
      <c r="AJY42" s="196"/>
      <c r="AJZ42" s="196"/>
      <c r="AKA42" s="196"/>
      <c r="AKB42" s="196"/>
      <c r="AKC42" s="200"/>
      <c r="AKD42" s="195"/>
      <c r="AKE42" s="196"/>
      <c r="AKF42" s="196"/>
      <c r="AKG42" s="196"/>
      <c r="AKH42" s="196"/>
      <c r="AKI42" s="197"/>
      <c r="AKJ42" s="196"/>
      <c r="AKK42" s="196"/>
      <c r="AKL42" s="196"/>
      <c r="AKM42" s="196"/>
      <c r="AKN42" s="196"/>
      <c r="AKO42" s="198"/>
      <c r="AKP42" s="196"/>
      <c r="AKQ42" s="196"/>
      <c r="AKR42" s="196"/>
      <c r="AKS42" s="196"/>
      <c r="AKT42" s="196"/>
      <c r="AKU42" s="199"/>
      <c r="AKV42" s="196"/>
      <c r="AKW42" s="196"/>
      <c r="AKX42" s="196"/>
      <c r="AKY42" s="196"/>
      <c r="AKZ42" s="196"/>
      <c r="ALA42" s="198"/>
      <c r="ALB42" s="196"/>
      <c r="ALC42" s="196"/>
      <c r="ALD42" s="196"/>
      <c r="ALE42" s="196"/>
      <c r="ALF42" s="196"/>
      <c r="ALG42" s="199"/>
      <c r="ALH42" s="196"/>
      <c r="ALI42" s="196"/>
      <c r="ALJ42" s="196"/>
      <c r="ALK42" s="196"/>
      <c r="ALL42" s="196"/>
      <c r="ALM42" s="198"/>
      <c r="ALN42" s="196"/>
      <c r="ALO42" s="196"/>
      <c r="ALP42" s="196"/>
      <c r="ALQ42" s="196"/>
      <c r="ALR42" s="196"/>
      <c r="ALS42" s="199"/>
      <c r="ALT42" s="196"/>
      <c r="ALU42" s="196"/>
      <c r="ALV42" s="196"/>
      <c r="ALW42" s="196"/>
      <c r="ALX42" s="196"/>
      <c r="ALY42" s="198"/>
      <c r="ALZ42" s="196"/>
      <c r="AMA42" s="196"/>
      <c r="AMB42" s="196"/>
      <c r="AMC42" s="196"/>
      <c r="AMD42" s="196"/>
      <c r="AME42" s="199"/>
      <c r="AMF42" s="196"/>
      <c r="AMG42" s="196"/>
      <c r="AMH42" s="196"/>
      <c r="AMI42" s="196"/>
      <c r="AMJ42" s="196"/>
      <c r="AMK42" s="200"/>
      <c r="AML42" s="195"/>
      <c r="AMM42" s="196"/>
      <c r="AMN42" s="196"/>
      <c r="AMO42" s="196"/>
      <c r="AMP42" s="196"/>
      <c r="AMQ42" s="197"/>
      <c r="AMR42" s="196"/>
      <c r="AMS42" s="196"/>
      <c r="AMT42" s="196"/>
      <c r="AMU42" s="196"/>
      <c r="AMV42" s="196"/>
      <c r="AMW42" s="198"/>
      <c r="AMX42" s="196"/>
      <c r="AMY42" s="196"/>
      <c r="AMZ42" s="196"/>
      <c r="ANA42" s="196"/>
      <c r="ANB42" s="196"/>
      <c r="ANC42" s="199"/>
      <c r="AND42" s="196"/>
      <c r="ANE42" s="196"/>
      <c r="ANF42" s="196"/>
      <c r="ANG42" s="196"/>
      <c r="ANH42" s="196"/>
      <c r="ANI42" s="198"/>
      <c r="ANJ42" s="196"/>
      <c r="ANK42" s="196"/>
      <c r="ANL42" s="196"/>
      <c r="ANM42" s="196"/>
      <c r="ANN42" s="196"/>
      <c r="ANO42" s="199"/>
      <c r="ANP42" s="196"/>
      <c r="ANQ42" s="196"/>
      <c r="ANR42" s="196"/>
      <c r="ANS42" s="196"/>
      <c r="ANT42" s="196"/>
      <c r="ANU42" s="198"/>
      <c r="ANV42" s="196"/>
      <c r="ANW42" s="196"/>
      <c r="ANX42" s="196"/>
      <c r="ANY42" s="196"/>
      <c r="ANZ42" s="196"/>
      <c r="AOA42" s="199"/>
      <c r="AOB42" s="196"/>
      <c r="AOC42" s="196"/>
      <c r="AOD42" s="196"/>
      <c r="AOE42" s="196"/>
      <c r="AOF42" s="196"/>
      <c r="AOG42" s="198"/>
      <c r="AOH42" s="196"/>
      <c r="AOI42" s="196"/>
      <c r="AOJ42" s="196"/>
      <c r="AOK42" s="196"/>
      <c r="AOL42" s="196"/>
      <c r="AOM42" s="199"/>
      <c r="AON42" s="196"/>
      <c r="AOO42" s="196"/>
      <c r="AOP42" s="196"/>
      <c r="AOQ42" s="196"/>
      <c r="AOR42" s="196"/>
      <c r="AOS42" s="200"/>
      <c r="AOT42" s="195"/>
      <c r="AOU42" s="196"/>
      <c r="AOV42" s="196"/>
      <c r="AOW42" s="196"/>
      <c r="AOX42" s="196"/>
      <c r="AOY42" s="197"/>
      <c r="AOZ42" s="196"/>
      <c r="APA42" s="196"/>
      <c r="APB42" s="196"/>
      <c r="APC42" s="196"/>
      <c r="APD42" s="196"/>
      <c r="APE42" s="198"/>
      <c r="APF42" s="196"/>
      <c r="APG42" s="196"/>
      <c r="APH42" s="196"/>
      <c r="API42" s="196"/>
      <c r="APJ42" s="196"/>
      <c r="APK42" s="199"/>
      <c r="APL42" s="196"/>
      <c r="APM42" s="196"/>
      <c r="APN42" s="196"/>
      <c r="APO42" s="196"/>
      <c r="APP42" s="196"/>
      <c r="APQ42" s="198"/>
      <c r="APR42" s="196"/>
      <c r="APS42" s="196"/>
      <c r="APT42" s="196"/>
      <c r="APU42" s="196"/>
      <c r="APV42" s="196"/>
      <c r="APW42" s="199"/>
      <c r="APX42" s="196"/>
      <c r="APY42" s="196"/>
      <c r="APZ42" s="196"/>
      <c r="AQA42" s="196"/>
      <c r="AQB42" s="196"/>
      <c r="AQC42" s="198"/>
      <c r="AQD42" s="196"/>
      <c r="AQE42" s="196"/>
      <c r="AQF42" s="196"/>
      <c r="AQG42" s="196"/>
      <c r="AQH42" s="196"/>
      <c r="AQI42" s="199"/>
      <c r="AQJ42" s="196"/>
      <c r="AQK42" s="196"/>
      <c r="AQL42" s="196"/>
      <c r="AQM42" s="196"/>
      <c r="AQN42" s="196"/>
      <c r="AQO42" s="198"/>
      <c r="AQP42" s="196"/>
      <c r="AQQ42" s="196"/>
      <c r="AQR42" s="196"/>
      <c r="AQS42" s="196"/>
      <c r="AQT42" s="196"/>
      <c r="AQU42" s="199"/>
      <c r="AQV42" s="196"/>
      <c r="AQW42" s="196"/>
      <c r="AQX42" s="196"/>
      <c r="AQY42" s="196"/>
      <c r="AQZ42" s="196"/>
      <c r="ARA42" s="200"/>
      <c r="ARB42" s="195"/>
      <c r="ARC42" s="196"/>
      <c r="ARD42" s="196"/>
      <c r="ARE42" s="196"/>
      <c r="ARF42" s="196"/>
      <c r="ARG42" s="197"/>
      <c r="ARH42" s="196"/>
      <c r="ARI42" s="196"/>
      <c r="ARJ42" s="196"/>
      <c r="ARK42" s="196"/>
      <c r="ARL42" s="196"/>
      <c r="ARM42" s="198"/>
      <c r="ARN42" s="196"/>
      <c r="ARO42" s="196"/>
      <c r="ARP42" s="196"/>
      <c r="ARQ42" s="196"/>
      <c r="ARR42" s="196"/>
      <c r="ARS42" s="199"/>
      <c r="ART42" s="196"/>
      <c r="ARU42" s="196"/>
      <c r="ARV42" s="196"/>
      <c r="ARW42" s="196"/>
      <c r="ARX42" s="196"/>
      <c r="ARY42" s="198"/>
      <c r="ARZ42" s="196"/>
      <c r="ASA42" s="196"/>
      <c r="ASB42" s="196"/>
      <c r="ASC42" s="196"/>
      <c r="ASD42" s="196"/>
      <c r="ASE42" s="199"/>
      <c r="ASF42" s="196"/>
      <c r="ASG42" s="196"/>
      <c r="ASH42" s="196"/>
      <c r="ASI42" s="196"/>
      <c r="ASJ42" s="196"/>
      <c r="ASK42" s="198"/>
      <c r="ASL42" s="196"/>
      <c r="ASM42" s="196"/>
      <c r="ASN42" s="196"/>
      <c r="ASO42" s="196"/>
      <c r="ASP42" s="196"/>
      <c r="ASQ42" s="199"/>
      <c r="ASR42" s="196"/>
      <c r="ASS42" s="196"/>
      <c r="AST42" s="196"/>
      <c r="ASU42" s="196"/>
      <c r="ASV42" s="196"/>
      <c r="ASW42" s="198"/>
      <c r="ASX42" s="196"/>
      <c r="ASY42" s="196"/>
      <c r="ASZ42" s="196"/>
      <c r="ATA42" s="196"/>
      <c r="ATB42" s="196"/>
      <c r="ATC42" s="199"/>
      <c r="ATD42" s="196"/>
      <c r="ATE42" s="196"/>
      <c r="ATF42" s="196"/>
      <c r="ATG42" s="196"/>
      <c r="ATH42" s="196"/>
      <c r="ATI42" s="200"/>
      <c r="ATJ42" s="195"/>
      <c r="ATK42" s="196"/>
      <c r="ATL42" s="196"/>
      <c r="ATM42" s="196"/>
      <c r="ATN42" s="196"/>
      <c r="ATO42" s="197"/>
      <c r="ATP42" s="196"/>
      <c r="ATQ42" s="196"/>
      <c r="ATR42" s="196"/>
      <c r="ATS42" s="196"/>
      <c r="ATT42" s="196"/>
      <c r="ATU42" s="198"/>
      <c r="ATV42" s="196"/>
      <c r="ATW42" s="196"/>
      <c r="ATX42" s="196"/>
      <c r="ATY42" s="196"/>
      <c r="ATZ42" s="196"/>
      <c r="AUA42" s="199"/>
      <c r="AUB42" s="196"/>
      <c r="AUC42" s="196"/>
      <c r="AUD42" s="196"/>
      <c r="AUE42" s="196"/>
      <c r="AUF42" s="196"/>
      <c r="AUG42" s="198"/>
      <c r="AUH42" s="196"/>
      <c r="AUI42" s="196"/>
      <c r="AUJ42" s="196"/>
      <c r="AUK42" s="196"/>
      <c r="AUL42" s="196"/>
      <c r="AUM42" s="199"/>
      <c r="AUN42" s="196"/>
      <c r="AUO42" s="196"/>
      <c r="AUP42" s="196"/>
      <c r="AUQ42" s="196"/>
      <c r="AUR42" s="196"/>
      <c r="AUS42" s="198"/>
      <c r="AUT42" s="196"/>
      <c r="AUU42" s="196"/>
      <c r="AUV42" s="196"/>
      <c r="AUW42" s="196"/>
      <c r="AUX42" s="196"/>
      <c r="AUY42" s="199"/>
      <c r="AUZ42" s="196"/>
      <c r="AVA42" s="196"/>
      <c r="AVB42" s="196"/>
      <c r="AVC42" s="196"/>
      <c r="AVD42" s="196"/>
      <c r="AVE42" s="198"/>
      <c r="AVF42" s="196"/>
      <c r="AVG42" s="196"/>
      <c r="AVH42" s="196"/>
      <c r="AVI42" s="196"/>
      <c r="AVJ42" s="196"/>
      <c r="AVK42" s="199"/>
      <c r="AVL42" s="196"/>
      <c r="AVM42" s="196"/>
      <c r="AVN42" s="196"/>
      <c r="AVO42" s="196"/>
      <c r="AVP42" s="196"/>
      <c r="AVQ42" s="200"/>
      <c r="AVR42" s="195"/>
      <c r="AVS42" s="196"/>
      <c r="AVT42" s="196"/>
      <c r="AVU42" s="196"/>
      <c r="AVV42" s="196"/>
      <c r="AVW42" s="197"/>
      <c r="AVX42" s="196"/>
      <c r="AVY42" s="196"/>
      <c r="AVZ42" s="196"/>
      <c r="AWA42" s="196"/>
      <c r="AWB42" s="196"/>
      <c r="AWC42" s="198"/>
      <c r="AWD42" s="196"/>
      <c r="AWE42" s="196"/>
      <c r="AWF42" s="196"/>
      <c r="AWG42" s="196"/>
      <c r="AWH42" s="196"/>
      <c r="AWI42" s="199"/>
      <c r="AWJ42" s="196"/>
      <c r="AWK42" s="196"/>
      <c r="AWL42" s="196"/>
      <c r="AWM42" s="196"/>
      <c r="AWN42" s="196"/>
      <c r="AWO42" s="198"/>
      <c r="AWP42" s="196"/>
      <c r="AWQ42" s="196"/>
      <c r="AWR42" s="196"/>
      <c r="AWS42" s="196"/>
      <c r="AWT42" s="196"/>
      <c r="AWU42" s="199"/>
      <c r="AWV42" s="196"/>
      <c r="AWW42" s="196"/>
      <c r="AWX42" s="196"/>
      <c r="AWY42" s="196"/>
      <c r="AWZ42" s="196"/>
      <c r="AXA42" s="198"/>
      <c r="AXB42" s="196"/>
      <c r="AXC42" s="196"/>
      <c r="AXD42" s="196"/>
      <c r="AXE42" s="196"/>
      <c r="AXF42" s="196"/>
      <c r="AXG42" s="199"/>
      <c r="AXH42" s="196"/>
      <c r="AXI42" s="196"/>
      <c r="AXJ42" s="196"/>
      <c r="AXK42" s="196"/>
      <c r="AXL42" s="196"/>
      <c r="AXM42" s="198"/>
      <c r="AXN42" s="196"/>
      <c r="AXO42" s="196"/>
      <c r="AXP42" s="196"/>
      <c r="AXQ42" s="196"/>
      <c r="AXR42" s="196"/>
      <c r="AXS42" s="199"/>
      <c r="AXT42" s="196"/>
      <c r="AXU42" s="196"/>
      <c r="AXV42" s="196"/>
      <c r="AXW42" s="196"/>
      <c r="AXX42" s="196"/>
      <c r="AXY42" s="200"/>
      <c r="AXZ42" s="195"/>
      <c r="AYA42" s="196"/>
      <c r="AYB42" s="196"/>
      <c r="AYC42" s="196"/>
      <c r="AYD42" s="196"/>
      <c r="AYE42" s="197"/>
      <c r="AYF42" s="196"/>
      <c r="AYG42" s="196"/>
      <c r="AYH42" s="196"/>
      <c r="AYI42" s="196"/>
      <c r="AYJ42" s="196"/>
      <c r="AYK42" s="198"/>
      <c r="AYL42" s="196"/>
      <c r="AYM42" s="196"/>
      <c r="AYN42" s="196"/>
      <c r="AYO42" s="196"/>
      <c r="AYP42" s="196"/>
      <c r="AYQ42" s="199"/>
      <c r="AYR42" s="196"/>
      <c r="AYS42" s="196"/>
      <c r="AYT42" s="196"/>
      <c r="AYU42" s="196"/>
      <c r="AYV42" s="196"/>
      <c r="AYW42" s="198"/>
      <c r="AYX42" s="196"/>
      <c r="AYY42" s="196"/>
      <c r="AYZ42" s="196"/>
      <c r="AZA42" s="196"/>
      <c r="AZB42" s="196"/>
      <c r="AZC42" s="199"/>
      <c r="AZD42" s="196"/>
      <c r="AZE42" s="196"/>
      <c r="AZF42" s="196"/>
      <c r="AZG42" s="196"/>
      <c r="AZH42" s="196"/>
      <c r="AZI42" s="198"/>
      <c r="AZJ42" s="196"/>
      <c r="AZK42" s="196"/>
      <c r="AZL42" s="196"/>
      <c r="AZM42" s="196"/>
      <c r="AZN42" s="196"/>
      <c r="AZO42" s="199"/>
      <c r="AZP42" s="196"/>
      <c r="AZQ42" s="196"/>
      <c r="AZR42" s="196"/>
      <c r="AZS42" s="196"/>
      <c r="AZT42" s="196"/>
      <c r="AZU42" s="198"/>
      <c r="AZV42" s="196"/>
      <c r="AZW42" s="196"/>
      <c r="AZX42" s="196"/>
      <c r="AZY42" s="196"/>
      <c r="AZZ42" s="196"/>
      <c r="BAA42" s="199"/>
      <c r="BAB42" s="196"/>
      <c r="BAC42" s="196"/>
      <c r="BAD42" s="196"/>
      <c r="BAE42" s="196"/>
      <c r="BAF42" s="196"/>
      <c r="BAG42" s="200"/>
      <c r="BAH42" s="195"/>
      <c r="BAI42" s="196"/>
      <c r="BAJ42" s="196"/>
      <c r="BAK42" s="196"/>
      <c r="BAL42" s="196"/>
      <c r="BAM42" s="197"/>
      <c r="BAN42" s="196"/>
      <c r="BAO42" s="196"/>
      <c r="BAP42" s="196"/>
      <c r="BAQ42" s="196"/>
      <c r="BAR42" s="196"/>
      <c r="BAS42" s="198"/>
      <c r="BAT42" s="196"/>
      <c r="BAU42" s="196"/>
      <c r="BAV42" s="196"/>
      <c r="BAW42" s="196"/>
      <c r="BAX42" s="196"/>
      <c r="BAY42" s="199"/>
      <c r="BAZ42" s="196"/>
      <c r="BBA42" s="196"/>
      <c r="BBB42" s="196"/>
      <c r="BBC42" s="196"/>
      <c r="BBD42" s="196"/>
      <c r="BBE42" s="198"/>
      <c r="BBF42" s="196"/>
      <c r="BBG42" s="196"/>
      <c r="BBH42" s="196"/>
      <c r="BBI42" s="196"/>
      <c r="BBJ42" s="196"/>
      <c r="BBK42" s="199"/>
      <c r="BBL42" s="196"/>
      <c r="BBM42" s="196"/>
      <c r="BBN42" s="196"/>
      <c r="BBO42" s="196"/>
      <c r="BBP42" s="196"/>
      <c r="BBQ42" s="198"/>
      <c r="BBR42" s="196"/>
      <c r="BBS42" s="196"/>
      <c r="BBT42" s="196"/>
      <c r="BBU42" s="196"/>
      <c r="BBV42" s="196"/>
      <c r="BBW42" s="199"/>
      <c r="BBX42" s="196"/>
      <c r="BBY42" s="196"/>
      <c r="BBZ42" s="196"/>
      <c r="BCA42" s="196"/>
      <c r="BCB42" s="196"/>
      <c r="BCC42" s="198"/>
      <c r="BCD42" s="196"/>
      <c r="BCE42" s="196"/>
      <c r="BCF42" s="196"/>
      <c r="BCG42" s="196"/>
      <c r="BCH42" s="196"/>
      <c r="BCI42" s="199"/>
      <c r="BCJ42" s="196"/>
      <c r="BCK42" s="196"/>
      <c r="BCL42" s="196"/>
      <c r="BCM42" s="196"/>
      <c r="BCN42" s="196"/>
      <c r="BCO42" s="200"/>
      <c r="BCP42" s="195"/>
      <c r="BCQ42" s="196"/>
      <c r="BCR42" s="196"/>
      <c r="BCS42" s="196"/>
      <c r="BCT42" s="196"/>
      <c r="BCU42" s="197"/>
      <c r="BCV42" s="196"/>
      <c r="BCW42" s="196"/>
      <c r="BCX42" s="196"/>
      <c r="BCY42" s="196"/>
      <c r="BCZ42" s="196"/>
      <c r="BDA42" s="198"/>
      <c r="BDB42" s="196"/>
      <c r="BDC42" s="196"/>
      <c r="BDD42" s="196"/>
      <c r="BDE42" s="196"/>
      <c r="BDF42" s="196"/>
      <c r="BDG42" s="199"/>
      <c r="BDH42" s="196"/>
      <c r="BDI42" s="196"/>
      <c r="BDJ42" s="196"/>
      <c r="BDK42" s="196"/>
      <c r="BDL42" s="196"/>
      <c r="BDM42" s="198"/>
      <c r="BDN42" s="196"/>
      <c r="BDO42" s="196"/>
      <c r="BDP42" s="196"/>
      <c r="BDQ42" s="196"/>
      <c r="BDR42" s="196"/>
      <c r="BDS42" s="199"/>
      <c r="BDT42" s="196"/>
      <c r="BDU42" s="196"/>
      <c r="BDV42" s="196"/>
      <c r="BDW42" s="196"/>
      <c r="BDX42" s="196"/>
      <c r="BDY42" s="198"/>
      <c r="BDZ42" s="196"/>
      <c r="BEA42" s="196"/>
      <c r="BEB42" s="196"/>
      <c r="BEC42" s="196"/>
      <c r="BED42" s="196"/>
      <c r="BEE42" s="199"/>
      <c r="BEF42" s="196"/>
      <c r="BEG42" s="196"/>
      <c r="BEH42" s="196"/>
      <c r="BEI42" s="196"/>
      <c r="BEJ42" s="196"/>
      <c r="BEK42" s="198"/>
      <c r="BEL42" s="196"/>
      <c r="BEM42" s="196"/>
      <c r="BEN42" s="196"/>
      <c r="BEO42" s="196"/>
      <c r="BEP42" s="196"/>
      <c r="BEQ42" s="199"/>
      <c r="BER42" s="196"/>
      <c r="BES42" s="196"/>
      <c r="BET42" s="196"/>
      <c r="BEU42" s="196"/>
      <c r="BEV42" s="196"/>
      <c r="BEW42" s="200"/>
      <c r="BEX42" s="195"/>
      <c r="BEY42" s="196"/>
      <c r="BEZ42" s="196"/>
      <c r="BFA42" s="196"/>
      <c r="BFB42" s="196"/>
      <c r="BFC42" s="197"/>
      <c r="BFD42" s="196"/>
      <c r="BFE42" s="196"/>
      <c r="BFF42" s="196"/>
      <c r="BFG42" s="196"/>
      <c r="BFH42" s="196"/>
      <c r="BFI42" s="198"/>
      <c r="BFJ42" s="196"/>
      <c r="BFK42" s="196"/>
      <c r="BFL42" s="196"/>
      <c r="BFM42" s="196"/>
      <c r="BFN42" s="196"/>
      <c r="BFO42" s="199"/>
      <c r="BFP42" s="196"/>
      <c r="BFQ42" s="196"/>
      <c r="BFR42" s="196"/>
      <c r="BFS42" s="196"/>
      <c r="BFT42" s="196"/>
      <c r="BFU42" s="198"/>
      <c r="BFV42" s="196"/>
      <c r="BFW42" s="196"/>
      <c r="BFX42" s="196"/>
      <c r="BFY42" s="196"/>
      <c r="BFZ42" s="196"/>
      <c r="BGA42" s="199"/>
      <c r="BGB42" s="196"/>
      <c r="BGC42" s="196"/>
      <c r="BGD42" s="196"/>
      <c r="BGE42" s="196"/>
      <c r="BGF42" s="196"/>
      <c r="BGG42" s="198"/>
      <c r="BGH42" s="196"/>
      <c r="BGI42" s="196"/>
      <c r="BGJ42" s="196"/>
      <c r="BGK42" s="196"/>
      <c r="BGL42" s="196"/>
      <c r="BGM42" s="199"/>
      <c r="BGN42" s="196"/>
      <c r="BGO42" s="196"/>
      <c r="BGP42" s="196"/>
      <c r="BGQ42" s="196"/>
      <c r="BGR42" s="196"/>
      <c r="BGS42" s="198"/>
      <c r="BGT42" s="196"/>
      <c r="BGU42" s="196"/>
      <c r="BGV42" s="196"/>
      <c r="BGW42" s="196"/>
      <c r="BGX42" s="196"/>
      <c r="BGY42" s="199"/>
      <c r="BGZ42" s="196"/>
      <c r="BHA42" s="196"/>
      <c r="BHB42" s="196"/>
      <c r="BHC42" s="196"/>
      <c r="BHD42" s="196"/>
      <c r="BHE42" s="200"/>
      <c r="BHF42" s="187"/>
      <c r="BHG42" s="188"/>
      <c r="BHH42" s="188"/>
      <c r="BHI42" s="188"/>
      <c r="BHJ42" s="188"/>
      <c r="BHK42" s="188"/>
      <c r="BHL42" s="188"/>
      <c r="BHM42" s="188"/>
      <c r="BHN42" s="188"/>
      <c r="BHO42" s="188"/>
      <c r="BHP42" s="188"/>
      <c r="BHQ42" s="188"/>
      <c r="BHR42" s="188"/>
      <c r="BHS42" s="188"/>
      <c r="BHT42" s="188"/>
      <c r="BHU42" s="188"/>
      <c r="BHV42" s="188"/>
      <c r="BHW42" s="188"/>
      <c r="BHX42" s="188"/>
      <c r="BHY42" s="188"/>
      <c r="BHZ42" s="188"/>
      <c r="BIA42" s="188"/>
      <c r="BIB42" s="188"/>
      <c r="BIC42" s="188"/>
      <c r="BID42" s="188"/>
      <c r="BIE42" s="188"/>
      <c r="BIF42" s="188"/>
      <c r="BIG42" s="188"/>
      <c r="BIH42" s="188"/>
      <c r="BII42" s="188"/>
      <c r="BIJ42" s="188"/>
      <c r="BIK42" s="188"/>
      <c r="BIL42" s="188"/>
      <c r="BIM42" s="188"/>
      <c r="BIN42" s="188"/>
      <c r="BIO42" s="188"/>
      <c r="BIP42" s="188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230" t="s">
        <v>80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76"/>
      <c r="AKE43" s="177"/>
      <c r="AKF43" s="177"/>
      <c r="AKG43" s="177"/>
      <c r="AKH43" s="177"/>
      <c r="AKI43" s="178"/>
      <c r="AKJ43" s="177"/>
      <c r="AKK43" s="177"/>
      <c r="AKL43" s="177"/>
      <c r="AKM43" s="177"/>
      <c r="AKN43" s="177"/>
      <c r="AKO43" s="179"/>
      <c r="AKP43" s="177"/>
      <c r="AKQ43" s="177"/>
      <c r="AKR43" s="177"/>
      <c r="AKS43" s="177"/>
      <c r="AKT43" s="177"/>
      <c r="AKU43" s="180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76"/>
      <c r="AMM43" s="177"/>
      <c r="AMN43" s="177"/>
      <c r="AMO43" s="177"/>
      <c r="AMP43" s="177"/>
      <c r="AMQ43" s="178"/>
      <c r="AMR43" s="177"/>
      <c r="AMS43" s="177"/>
      <c r="AMT43" s="177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76"/>
      <c r="AOU43" s="177"/>
      <c r="AOV43" s="177"/>
      <c r="AOW43" s="177"/>
      <c r="AOX43" s="177"/>
      <c r="AOY43" s="178"/>
      <c r="AOZ43" s="177"/>
      <c r="APA43" s="177"/>
      <c r="APB43" s="177"/>
      <c r="APC43" s="177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87"/>
      <c r="BHG43" s="188"/>
      <c r="BHH43" s="188"/>
      <c r="BHI43" s="188"/>
      <c r="BHJ43" s="188"/>
      <c r="BHK43" s="188"/>
      <c r="BHL43" s="188"/>
      <c r="BHM43" s="188"/>
      <c r="BHN43" s="188"/>
      <c r="BHO43" s="188"/>
      <c r="BHP43" s="188"/>
      <c r="BHQ43" s="188"/>
      <c r="BHR43" s="188"/>
      <c r="BHS43" s="188"/>
      <c r="BHT43" s="188"/>
      <c r="BHU43" s="188"/>
      <c r="BHV43" s="188"/>
      <c r="BHW43" s="188"/>
      <c r="BHX43" s="188"/>
      <c r="BHY43" s="188"/>
      <c r="BHZ43" s="188"/>
      <c r="BIA43" s="188"/>
      <c r="BIB43" s="188"/>
      <c r="BIC43" s="188"/>
      <c r="BID43" s="188"/>
      <c r="BIE43" s="188"/>
      <c r="BIF43" s="188"/>
      <c r="BIG43" s="188"/>
      <c r="BIH43" s="188"/>
      <c r="BII43" s="188"/>
      <c r="BIJ43" s="188"/>
      <c r="BIK43" s="188"/>
      <c r="BIL43" s="188"/>
      <c r="BIM43" s="188"/>
      <c r="BIN43" s="188"/>
      <c r="BIO43" s="188"/>
      <c r="BIP43" s="188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236"/>
      <c r="D44" s="121" t="str">
        <f t="shared" si="0"/>
        <v/>
      </c>
      <c r="E44" s="30">
        <v>0</v>
      </c>
      <c r="F44" s="195"/>
      <c r="G44" s="196"/>
      <c r="H44" s="196"/>
      <c r="I44" s="196"/>
      <c r="J44" s="196"/>
      <c r="K44" s="197"/>
      <c r="L44" s="196"/>
      <c r="M44" s="196"/>
      <c r="N44" s="196"/>
      <c r="O44" s="196"/>
      <c r="P44" s="196"/>
      <c r="Q44" s="198"/>
      <c r="R44" s="196"/>
      <c r="S44" s="196"/>
      <c r="T44" s="196"/>
      <c r="U44" s="196"/>
      <c r="V44" s="196"/>
      <c r="W44" s="199"/>
      <c r="X44" s="196"/>
      <c r="Y44" s="196"/>
      <c r="Z44" s="196"/>
      <c r="AA44" s="196"/>
      <c r="AB44" s="196"/>
      <c r="AC44" s="198"/>
      <c r="AD44" s="196"/>
      <c r="AE44" s="196"/>
      <c r="AF44" s="196"/>
      <c r="AG44" s="196"/>
      <c r="AH44" s="196"/>
      <c r="AI44" s="199"/>
      <c r="AJ44" s="196"/>
      <c r="AK44" s="196"/>
      <c r="AL44" s="196"/>
      <c r="AM44" s="196"/>
      <c r="AN44" s="196"/>
      <c r="AO44" s="198"/>
      <c r="AP44" s="196"/>
      <c r="AQ44" s="196"/>
      <c r="AR44" s="196"/>
      <c r="AS44" s="196"/>
      <c r="AT44" s="196"/>
      <c r="AU44" s="199"/>
      <c r="AV44" s="196"/>
      <c r="AW44" s="196"/>
      <c r="AX44" s="196"/>
      <c r="AY44" s="196"/>
      <c r="AZ44" s="196"/>
      <c r="BA44" s="198"/>
      <c r="BB44" s="196"/>
      <c r="BC44" s="196"/>
      <c r="BD44" s="196"/>
      <c r="BE44" s="196"/>
      <c r="BF44" s="196"/>
      <c r="BG44" s="199"/>
      <c r="BH44" s="196"/>
      <c r="BI44" s="196"/>
      <c r="BJ44" s="196"/>
      <c r="BK44" s="196"/>
      <c r="BL44" s="196"/>
      <c r="BM44" s="200"/>
      <c r="BN44" s="195"/>
      <c r="BO44" s="196"/>
      <c r="BP44" s="196"/>
      <c r="BQ44" s="196"/>
      <c r="BR44" s="196"/>
      <c r="BS44" s="197"/>
      <c r="BT44" s="196"/>
      <c r="BU44" s="196"/>
      <c r="BV44" s="196"/>
      <c r="BW44" s="196"/>
      <c r="BX44" s="196"/>
      <c r="BY44" s="198"/>
      <c r="BZ44" s="196"/>
      <c r="CA44" s="196"/>
      <c r="CB44" s="196"/>
      <c r="CC44" s="196"/>
      <c r="CD44" s="196"/>
      <c r="CE44" s="199"/>
      <c r="CF44" s="196"/>
      <c r="CG44" s="196"/>
      <c r="CH44" s="196"/>
      <c r="CI44" s="196"/>
      <c r="CJ44" s="196"/>
      <c r="CK44" s="198"/>
      <c r="CL44" s="196"/>
      <c r="CM44" s="196"/>
      <c r="CN44" s="196"/>
      <c r="CO44" s="196"/>
      <c r="CP44" s="196"/>
      <c r="CQ44" s="199"/>
      <c r="CR44" s="196"/>
      <c r="CS44" s="196"/>
      <c r="CT44" s="196"/>
      <c r="CU44" s="196"/>
      <c r="CV44" s="196"/>
      <c r="CW44" s="198"/>
      <c r="CX44" s="196"/>
      <c r="CY44" s="196"/>
      <c r="CZ44" s="196"/>
      <c r="DA44" s="196"/>
      <c r="DB44" s="196"/>
      <c r="DC44" s="199"/>
      <c r="DD44" s="196"/>
      <c r="DE44" s="196"/>
      <c r="DF44" s="196"/>
      <c r="DG44" s="196"/>
      <c r="DH44" s="196"/>
      <c r="DI44" s="198"/>
      <c r="DJ44" s="196"/>
      <c r="DK44" s="196"/>
      <c r="DL44" s="196"/>
      <c r="DM44" s="196"/>
      <c r="DN44" s="196"/>
      <c r="DO44" s="199"/>
      <c r="DP44" s="196"/>
      <c r="DQ44" s="196"/>
      <c r="DR44" s="196"/>
      <c r="DS44" s="196"/>
      <c r="DT44" s="196"/>
      <c r="DU44" s="200"/>
      <c r="DV44" s="195"/>
      <c r="DW44" s="196"/>
      <c r="DX44" s="196"/>
      <c r="DY44" s="196"/>
      <c r="DZ44" s="196"/>
      <c r="EA44" s="197"/>
      <c r="EB44" s="196"/>
      <c r="EC44" s="196"/>
      <c r="ED44" s="196"/>
      <c r="EE44" s="196"/>
      <c r="EF44" s="196"/>
      <c r="EG44" s="198"/>
      <c r="EH44" s="196"/>
      <c r="EI44" s="196"/>
      <c r="EJ44" s="196"/>
      <c r="EK44" s="196"/>
      <c r="EL44" s="196"/>
      <c r="EM44" s="199"/>
      <c r="EN44" s="196"/>
      <c r="EO44" s="196"/>
      <c r="EP44" s="196"/>
      <c r="EQ44" s="196"/>
      <c r="ER44" s="196"/>
      <c r="ES44" s="198"/>
      <c r="ET44" s="196"/>
      <c r="EU44" s="196"/>
      <c r="EV44" s="196"/>
      <c r="EW44" s="196"/>
      <c r="EX44" s="196"/>
      <c r="EY44" s="199"/>
      <c r="EZ44" s="196"/>
      <c r="FA44" s="196"/>
      <c r="FB44" s="196"/>
      <c r="FC44" s="196"/>
      <c r="FD44" s="196"/>
      <c r="FE44" s="198"/>
      <c r="FF44" s="196"/>
      <c r="FG44" s="196"/>
      <c r="FH44" s="196"/>
      <c r="FI44" s="196"/>
      <c r="FJ44" s="196"/>
      <c r="FK44" s="199"/>
      <c r="FL44" s="196"/>
      <c r="FM44" s="196"/>
      <c r="FN44" s="196"/>
      <c r="FO44" s="196"/>
      <c r="FP44" s="196"/>
      <c r="FQ44" s="198"/>
      <c r="FR44" s="196"/>
      <c r="FS44" s="196"/>
      <c r="FT44" s="196"/>
      <c r="FU44" s="196"/>
      <c r="FV44" s="196"/>
      <c r="FW44" s="199"/>
      <c r="FX44" s="196"/>
      <c r="FY44" s="196"/>
      <c r="FZ44" s="196"/>
      <c r="GA44" s="196"/>
      <c r="GB44" s="196"/>
      <c r="GC44" s="200"/>
      <c r="GD44" s="195"/>
      <c r="GE44" s="196"/>
      <c r="GF44" s="196"/>
      <c r="GG44" s="196"/>
      <c r="GH44" s="196"/>
      <c r="GI44" s="197"/>
      <c r="GJ44" s="196"/>
      <c r="GK44" s="196"/>
      <c r="GL44" s="196"/>
      <c r="GM44" s="196"/>
      <c r="GN44" s="196"/>
      <c r="GO44" s="198"/>
      <c r="GP44" s="196"/>
      <c r="GQ44" s="196"/>
      <c r="GR44" s="196"/>
      <c r="GS44" s="196"/>
      <c r="GT44" s="196"/>
      <c r="GU44" s="199"/>
      <c r="GV44" s="196"/>
      <c r="GW44" s="196"/>
      <c r="GX44" s="196"/>
      <c r="GY44" s="196"/>
      <c r="GZ44" s="196"/>
      <c r="HA44" s="198"/>
      <c r="HB44" s="196"/>
      <c r="HC44" s="196"/>
      <c r="HD44" s="196"/>
      <c r="HE44" s="196"/>
      <c r="HF44" s="196"/>
      <c r="HG44" s="199"/>
      <c r="HH44" s="196"/>
      <c r="HI44" s="196"/>
      <c r="HJ44" s="196"/>
      <c r="HK44" s="196"/>
      <c r="HL44" s="196"/>
      <c r="HM44" s="198"/>
      <c r="HN44" s="196"/>
      <c r="HO44" s="196"/>
      <c r="HP44" s="196"/>
      <c r="HQ44" s="196"/>
      <c r="HR44" s="196"/>
      <c r="HS44" s="199"/>
      <c r="HT44" s="196"/>
      <c r="HU44" s="196"/>
      <c r="HV44" s="196"/>
      <c r="HW44" s="196"/>
      <c r="HX44" s="196"/>
      <c r="HY44" s="198"/>
      <c r="HZ44" s="196"/>
      <c r="IA44" s="196"/>
      <c r="IB44" s="196"/>
      <c r="IC44" s="196"/>
      <c r="ID44" s="196"/>
      <c r="IE44" s="199"/>
      <c r="IF44" s="196"/>
      <c r="IG44" s="196"/>
      <c r="IH44" s="196"/>
      <c r="II44" s="196"/>
      <c r="IJ44" s="196"/>
      <c r="IK44" s="200"/>
      <c r="IL44" s="195"/>
      <c r="IM44" s="196"/>
      <c r="IN44" s="196"/>
      <c r="IO44" s="196"/>
      <c r="IP44" s="196"/>
      <c r="IQ44" s="197"/>
      <c r="IR44" s="196"/>
      <c r="IS44" s="196"/>
      <c r="IT44" s="196"/>
      <c r="IU44" s="196"/>
      <c r="IV44" s="196"/>
      <c r="IW44" s="198"/>
      <c r="IX44" s="196"/>
      <c r="IY44" s="196"/>
      <c r="IZ44" s="196"/>
      <c r="JA44" s="196"/>
      <c r="JB44" s="196"/>
      <c r="JC44" s="199"/>
      <c r="JD44" s="196"/>
      <c r="JE44" s="196"/>
      <c r="JF44" s="196"/>
      <c r="JG44" s="196"/>
      <c r="JH44" s="196"/>
      <c r="JI44" s="198"/>
      <c r="JJ44" s="196"/>
      <c r="JK44" s="196"/>
      <c r="JL44" s="196"/>
      <c r="JM44" s="196"/>
      <c r="JN44" s="196"/>
      <c r="JO44" s="199"/>
      <c r="JP44" s="196"/>
      <c r="JQ44" s="196"/>
      <c r="JR44" s="196"/>
      <c r="JS44" s="196"/>
      <c r="JT44" s="196"/>
      <c r="JU44" s="198"/>
      <c r="JV44" s="196"/>
      <c r="JW44" s="196"/>
      <c r="JX44" s="196"/>
      <c r="JY44" s="196"/>
      <c r="JZ44" s="196"/>
      <c r="KA44" s="199"/>
      <c r="KB44" s="196"/>
      <c r="KC44" s="196"/>
      <c r="KD44" s="196"/>
      <c r="KE44" s="196"/>
      <c r="KF44" s="196"/>
      <c r="KG44" s="198"/>
      <c r="KH44" s="196"/>
      <c r="KI44" s="196"/>
      <c r="KJ44" s="196"/>
      <c r="KK44" s="196"/>
      <c r="KL44" s="196"/>
      <c r="KM44" s="199"/>
      <c r="KN44" s="196"/>
      <c r="KO44" s="196"/>
      <c r="KP44" s="196"/>
      <c r="KQ44" s="196"/>
      <c r="KR44" s="196"/>
      <c r="KS44" s="200"/>
      <c r="KT44" s="195"/>
      <c r="KU44" s="196"/>
      <c r="KV44" s="196"/>
      <c r="KW44" s="196"/>
      <c r="KX44" s="196"/>
      <c r="KY44" s="197"/>
      <c r="KZ44" s="196"/>
      <c r="LA44" s="196"/>
      <c r="LB44" s="196"/>
      <c r="LC44" s="196"/>
      <c r="LD44" s="196"/>
      <c r="LE44" s="198"/>
      <c r="LF44" s="196"/>
      <c r="LG44" s="196"/>
      <c r="LH44" s="196"/>
      <c r="LI44" s="196"/>
      <c r="LJ44" s="196"/>
      <c r="LK44" s="199"/>
      <c r="LL44" s="196"/>
      <c r="LM44" s="196"/>
      <c r="LN44" s="196"/>
      <c r="LO44" s="196"/>
      <c r="LP44" s="196"/>
      <c r="LQ44" s="198"/>
      <c r="LR44" s="196"/>
      <c r="LS44" s="196"/>
      <c r="LT44" s="196"/>
      <c r="LU44" s="196"/>
      <c r="LV44" s="196"/>
      <c r="LW44" s="199"/>
      <c r="LX44" s="196"/>
      <c r="LY44" s="196"/>
      <c r="LZ44" s="196"/>
      <c r="MA44" s="196"/>
      <c r="MB44" s="196"/>
      <c r="MC44" s="198"/>
      <c r="MD44" s="196"/>
      <c r="ME44" s="196"/>
      <c r="MF44" s="196"/>
      <c r="MG44" s="196"/>
      <c r="MH44" s="196"/>
      <c r="MI44" s="199"/>
      <c r="MJ44" s="196"/>
      <c r="MK44" s="196"/>
      <c r="ML44" s="196"/>
      <c r="MM44" s="196"/>
      <c r="MN44" s="196"/>
      <c r="MO44" s="198"/>
      <c r="MP44" s="196"/>
      <c r="MQ44" s="196"/>
      <c r="MR44" s="196"/>
      <c r="MS44" s="196"/>
      <c r="MT44" s="196"/>
      <c r="MU44" s="199"/>
      <c r="MV44" s="196"/>
      <c r="MW44" s="196"/>
      <c r="MX44" s="196"/>
      <c r="MY44" s="196"/>
      <c r="MZ44" s="196"/>
      <c r="NA44" s="200"/>
      <c r="NB44" s="195"/>
      <c r="NC44" s="196"/>
      <c r="ND44" s="196"/>
      <c r="NE44" s="196"/>
      <c r="NF44" s="196"/>
      <c r="NG44" s="197"/>
      <c r="NH44" s="196"/>
      <c r="NI44" s="196"/>
      <c r="NJ44" s="196"/>
      <c r="NK44" s="196"/>
      <c r="NL44" s="196"/>
      <c r="NM44" s="198"/>
      <c r="NN44" s="196"/>
      <c r="NO44" s="196"/>
      <c r="NP44" s="196"/>
      <c r="NQ44" s="196"/>
      <c r="NR44" s="196"/>
      <c r="NS44" s="199"/>
      <c r="NT44" s="196"/>
      <c r="NU44" s="196"/>
      <c r="NV44" s="196"/>
      <c r="NW44" s="196"/>
      <c r="NX44" s="196"/>
      <c r="NY44" s="198"/>
      <c r="NZ44" s="196"/>
      <c r="OA44" s="196"/>
      <c r="OB44" s="196"/>
      <c r="OC44" s="196"/>
      <c r="OD44" s="196"/>
      <c r="OE44" s="199"/>
      <c r="OF44" s="196"/>
      <c r="OG44" s="196"/>
      <c r="OH44" s="196"/>
      <c r="OI44" s="196"/>
      <c r="OJ44" s="196"/>
      <c r="OK44" s="198"/>
      <c r="OL44" s="196"/>
      <c r="OM44" s="196"/>
      <c r="ON44" s="196"/>
      <c r="OO44" s="196"/>
      <c r="OP44" s="196"/>
      <c r="OQ44" s="199"/>
      <c r="OR44" s="196"/>
      <c r="OS44" s="196"/>
      <c r="OT44" s="196"/>
      <c r="OU44" s="196"/>
      <c r="OV44" s="196"/>
      <c r="OW44" s="198"/>
      <c r="OX44" s="196"/>
      <c r="OY44" s="196"/>
      <c r="OZ44" s="196"/>
      <c r="PA44" s="196"/>
      <c r="PB44" s="196"/>
      <c r="PC44" s="199"/>
      <c r="PD44" s="196"/>
      <c r="PE44" s="196"/>
      <c r="PF44" s="196"/>
      <c r="PG44" s="196"/>
      <c r="PH44" s="196"/>
      <c r="PI44" s="200"/>
      <c r="PJ44" s="195"/>
      <c r="PK44" s="196"/>
      <c r="PL44" s="196"/>
      <c r="PM44" s="196"/>
      <c r="PN44" s="196"/>
      <c r="PO44" s="197"/>
      <c r="PP44" s="196"/>
      <c r="PQ44" s="196"/>
      <c r="PR44" s="196"/>
      <c r="PS44" s="196"/>
      <c r="PT44" s="196"/>
      <c r="PU44" s="198"/>
      <c r="PV44" s="196"/>
      <c r="PW44" s="196"/>
      <c r="PX44" s="196"/>
      <c r="PY44" s="196"/>
      <c r="PZ44" s="196"/>
      <c r="QA44" s="199"/>
      <c r="QB44" s="196"/>
      <c r="QC44" s="196"/>
      <c r="QD44" s="196"/>
      <c r="QE44" s="196"/>
      <c r="QF44" s="196"/>
      <c r="QG44" s="198"/>
      <c r="QH44" s="196"/>
      <c r="QI44" s="196"/>
      <c r="QJ44" s="196"/>
      <c r="QK44" s="196"/>
      <c r="QL44" s="196"/>
      <c r="QM44" s="199"/>
      <c r="QN44" s="196"/>
      <c r="QO44" s="196"/>
      <c r="QP44" s="196"/>
      <c r="QQ44" s="196"/>
      <c r="QR44" s="196"/>
      <c r="QS44" s="198"/>
      <c r="QT44" s="196"/>
      <c r="QU44" s="196"/>
      <c r="QV44" s="196"/>
      <c r="QW44" s="196"/>
      <c r="QX44" s="196"/>
      <c r="QY44" s="199"/>
      <c r="QZ44" s="196"/>
      <c r="RA44" s="196"/>
      <c r="RB44" s="196"/>
      <c r="RC44" s="196"/>
      <c r="RD44" s="196"/>
      <c r="RE44" s="198"/>
      <c r="RF44" s="196"/>
      <c r="RG44" s="196"/>
      <c r="RH44" s="196"/>
      <c r="RI44" s="196"/>
      <c r="RJ44" s="196"/>
      <c r="RK44" s="199"/>
      <c r="RL44" s="196"/>
      <c r="RM44" s="196"/>
      <c r="RN44" s="196"/>
      <c r="RO44" s="196"/>
      <c r="RP44" s="196"/>
      <c r="RQ44" s="200"/>
      <c r="RR44" s="195"/>
      <c r="RS44" s="196"/>
      <c r="RT44" s="196"/>
      <c r="RU44" s="196"/>
      <c r="RV44" s="196"/>
      <c r="RW44" s="197"/>
      <c r="RX44" s="196"/>
      <c r="RY44" s="196"/>
      <c r="RZ44" s="196"/>
      <c r="SA44" s="196"/>
      <c r="SB44" s="196"/>
      <c r="SC44" s="198"/>
      <c r="SD44" s="196"/>
      <c r="SE44" s="196"/>
      <c r="SF44" s="196"/>
      <c r="SG44" s="196"/>
      <c r="SH44" s="196"/>
      <c r="SI44" s="199"/>
      <c r="SJ44" s="196"/>
      <c r="SK44" s="196"/>
      <c r="SL44" s="196"/>
      <c r="SM44" s="196"/>
      <c r="SN44" s="196"/>
      <c r="SO44" s="198"/>
      <c r="SP44" s="196"/>
      <c r="SQ44" s="196"/>
      <c r="SR44" s="196"/>
      <c r="SS44" s="196"/>
      <c r="ST44" s="196"/>
      <c r="SU44" s="199"/>
      <c r="SV44" s="196"/>
      <c r="SW44" s="196"/>
      <c r="SX44" s="196"/>
      <c r="SY44" s="196"/>
      <c r="SZ44" s="196"/>
      <c r="TA44" s="198"/>
      <c r="TB44" s="196"/>
      <c r="TC44" s="196"/>
      <c r="TD44" s="196"/>
      <c r="TE44" s="196"/>
      <c r="TF44" s="196"/>
      <c r="TG44" s="199"/>
      <c r="TH44" s="196"/>
      <c r="TI44" s="196"/>
      <c r="TJ44" s="196"/>
      <c r="TK44" s="196"/>
      <c r="TL44" s="196"/>
      <c r="TM44" s="198"/>
      <c r="TN44" s="196"/>
      <c r="TO44" s="196"/>
      <c r="TP44" s="196"/>
      <c r="TQ44" s="196"/>
      <c r="TR44" s="196"/>
      <c r="TS44" s="199"/>
      <c r="TT44" s="196"/>
      <c r="TU44" s="196"/>
      <c r="TV44" s="196"/>
      <c r="TW44" s="196"/>
      <c r="TX44" s="196"/>
      <c r="TY44" s="200"/>
      <c r="TZ44" s="195"/>
      <c r="UA44" s="196"/>
      <c r="UB44" s="196"/>
      <c r="UC44" s="196"/>
      <c r="UD44" s="196"/>
      <c r="UE44" s="197"/>
      <c r="UF44" s="196"/>
      <c r="UG44" s="196"/>
      <c r="UH44" s="196"/>
      <c r="UI44" s="196"/>
      <c r="UJ44" s="196"/>
      <c r="UK44" s="198"/>
      <c r="UL44" s="196"/>
      <c r="UM44" s="196"/>
      <c r="UN44" s="196"/>
      <c r="UO44" s="196"/>
      <c r="UP44" s="196"/>
      <c r="UQ44" s="199"/>
      <c r="UR44" s="196"/>
      <c r="US44" s="196"/>
      <c r="UT44" s="196"/>
      <c r="UU44" s="196"/>
      <c r="UV44" s="196"/>
      <c r="UW44" s="198"/>
      <c r="UX44" s="196"/>
      <c r="UY44" s="196"/>
      <c r="UZ44" s="196"/>
      <c r="VA44" s="196"/>
      <c r="VB44" s="196"/>
      <c r="VC44" s="199"/>
      <c r="VD44" s="196"/>
      <c r="VE44" s="196"/>
      <c r="VF44" s="196"/>
      <c r="VG44" s="196"/>
      <c r="VH44" s="196"/>
      <c r="VI44" s="198"/>
      <c r="VJ44" s="196"/>
      <c r="VK44" s="196"/>
      <c r="VL44" s="196"/>
      <c r="VM44" s="196"/>
      <c r="VN44" s="196"/>
      <c r="VO44" s="199"/>
      <c r="VP44" s="196"/>
      <c r="VQ44" s="196"/>
      <c r="VR44" s="196"/>
      <c r="VS44" s="196"/>
      <c r="VT44" s="196"/>
      <c r="VU44" s="198"/>
      <c r="VV44" s="196"/>
      <c r="VW44" s="196"/>
      <c r="VX44" s="196"/>
      <c r="VY44" s="196"/>
      <c r="VZ44" s="196"/>
      <c r="WA44" s="199"/>
      <c r="WB44" s="196"/>
      <c r="WC44" s="196"/>
      <c r="WD44" s="196"/>
      <c r="WE44" s="196"/>
      <c r="WF44" s="196"/>
      <c r="WG44" s="200"/>
      <c r="WH44" s="195"/>
      <c r="WI44" s="196"/>
      <c r="WJ44" s="196"/>
      <c r="WK44" s="196"/>
      <c r="WL44" s="196"/>
      <c r="WM44" s="197"/>
      <c r="WN44" s="196"/>
      <c r="WO44" s="196"/>
      <c r="WP44" s="196"/>
      <c r="WQ44" s="196"/>
      <c r="WR44" s="196"/>
      <c r="WS44" s="198"/>
      <c r="WT44" s="196"/>
      <c r="WU44" s="196"/>
      <c r="WV44" s="196"/>
      <c r="WW44" s="196"/>
      <c r="WX44" s="196"/>
      <c r="WY44" s="199"/>
      <c r="WZ44" s="196"/>
      <c r="XA44" s="196"/>
      <c r="XB44" s="196"/>
      <c r="XC44" s="196"/>
      <c r="XD44" s="196"/>
      <c r="XE44" s="198"/>
      <c r="XF44" s="196"/>
      <c r="XG44" s="196"/>
      <c r="XH44" s="196"/>
      <c r="XI44" s="196"/>
      <c r="XJ44" s="196"/>
      <c r="XK44" s="199"/>
      <c r="XL44" s="196"/>
      <c r="XM44" s="196"/>
      <c r="XN44" s="196"/>
      <c r="XO44" s="196"/>
      <c r="XP44" s="196"/>
      <c r="XQ44" s="198"/>
      <c r="XR44" s="196"/>
      <c r="XS44" s="196"/>
      <c r="XT44" s="196"/>
      <c r="XU44" s="196"/>
      <c r="XV44" s="196"/>
      <c r="XW44" s="199"/>
      <c r="XX44" s="196"/>
      <c r="XY44" s="196"/>
      <c r="XZ44" s="196"/>
      <c r="YA44" s="196"/>
      <c r="YB44" s="196"/>
      <c r="YC44" s="198"/>
      <c r="YD44" s="196"/>
      <c r="YE44" s="196"/>
      <c r="YF44" s="196"/>
      <c r="YG44" s="196"/>
      <c r="YH44" s="196"/>
      <c r="YI44" s="199"/>
      <c r="YJ44" s="196"/>
      <c r="YK44" s="196"/>
      <c r="YL44" s="196"/>
      <c r="YM44" s="196"/>
      <c r="YN44" s="196"/>
      <c r="YO44" s="200"/>
      <c r="YP44" s="195"/>
      <c r="YQ44" s="196"/>
      <c r="YR44" s="196"/>
      <c r="YS44" s="196"/>
      <c r="YT44" s="196"/>
      <c r="YU44" s="197"/>
      <c r="YV44" s="196"/>
      <c r="YW44" s="196"/>
      <c r="YX44" s="196"/>
      <c r="YY44" s="196"/>
      <c r="YZ44" s="196"/>
      <c r="ZA44" s="198"/>
      <c r="ZB44" s="196"/>
      <c r="ZC44" s="196"/>
      <c r="ZD44" s="196"/>
      <c r="ZE44" s="196"/>
      <c r="ZF44" s="196"/>
      <c r="ZG44" s="199"/>
      <c r="ZH44" s="196"/>
      <c r="ZI44" s="196"/>
      <c r="ZJ44" s="196"/>
      <c r="ZK44" s="196"/>
      <c r="ZL44" s="196"/>
      <c r="ZM44" s="198"/>
      <c r="ZN44" s="196"/>
      <c r="ZO44" s="196"/>
      <c r="ZP44" s="196"/>
      <c r="ZQ44" s="196"/>
      <c r="ZR44" s="196"/>
      <c r="ZS44" s="199"/>
      <c r="ZT44" s="196"/>
      <c r="ZU44" s="196"/>
      <c r="ZV44" s="196"/>
      <c r="ZW44" s="196"/>
      <c r="ZX44" s="196"/>
      <c r="ZY44" s="198"/>
      <c r="ZZ44" s="196"/>
      <c r="AAA44" s="196"/>
      <c r="AAB44" s="196"/>
      <c r="AAC44" s="196"/>
      <c r="AAD44" s="196"/>
      <c r="AAE44" s="199"/>
      <c r="AAF44" s="196"/>
      <c r="AAG44" s="196"/>
      <c r="AAH44" s="196"/>
      <c r="AAI44" s="196"/>
      <c r="AAJ44" s="196"/>
      <c r="AAK44" s="198"/>
      <c r="AAL44" s="196"/>
      <c r="AAM44" s="196"/>
      <c r="AAN44" s="196"/>
      <c r="AAO44" s="196"/>
      <c r="AAP44" s="196"/>
      <c r="AAQ44" s="199"/>
      <c r="AAR44" s="196"/>
      <c r="AAS44" s="196"/>
      <c r="AAT44" s="196"/>
      <c r="AAU44" s="196"/>
      <c r="AAV44" s="196"/>
      <c r="AAW44" s="200"/>
      <c r="AAX44" s="195"/>
      <c r="AAY44" s="196"/>
      <c r="AAZ44" s="196"/>
      <c r="ABA44" s="196"/>
      <c r="ABB44" s="196"/>
      <c r="ABC44" s="197"/>
      <c r="ABD44" s="196"/>
      <c r="ABE44" s="196"/>
      <c r="ABF44" s="196"/>
      <c r="ABG44" s="196"/>
      <c r="ABH44" s="196"/>
      <c r="ABI44" s="198"/>
      <c r="ABJ44" s="196"/>
      <c r="ABK44" s="196"/>
      <c r="ABL44" s="196"/>
      <c r="ABM44" s="196"/>
      <c r="ABN44" s="196"/>
      <c r="ABO44" s="199"/>
      <c r="ABP44" s="196"/>
      <c r="ABQ44" s="196"/>
      <c r="ABR44" s="196"/>
      <c r="ABS44" s="196"/>
      <c r="ABT44" s="196"/>
      <c r="ABU44" s="198"/>
      <c r="ABV44" s="196"/>
      <c r="ABW44" s="196"/>
      <c r="ABX44" s="196"/>
      <c r="ABY44" s="196"/>
      <c r="ABZ44" s="196"/>
      <c r="ACA44" s="199"/>
      <c r="ACB44" s="196"/>
      <c r="ACC44" s="196"/>
      <c r="ACD44" s="196"/>
      <c r="ACE44" s="196"/>
      <c r="ACF44" s="196"/>
      <c r="ACG44" s="198"/>
      <c r="ACH44" s="196"/>
      <c r="ACI44" s="196"/>
      <c r="ACJ44" s="196"/>
      <c r="ACK44" s="196"/>
      <c r="ACL44" s="196"/>
      <c r="ACM44" s="199"/>
      <c r="ACN44" s="196"/>
      <c r="ACO44" s="196"/>
      <c r="ACP44" s="196"/>
      <c r="ACQ44" s="196"/>
      <c r="ACR44" s="196"/>
      <c r="ACS44" s="198"/>
      <c r="ACT44" s="196"/>
      <c r="ACU44" s="196"/>
      <c r="ACV44" s="196"/>
      <c r="ACW44" s="196"/>
      <c r="ACX44" s="196"/>
      <c r="ACY44" s="199"/>
      <c r="ACZ44" s="196"/>
      <c r="ADA44" s="196"/>
      <c r="ADB44" s="196"/>
      <c r="ADC44" s="196"/>
      <c r="ADD44" s="196"/>
      <c r="ADE44" s="200"/>
      <c r="ADF44" s="195"/>
      <c r="ADG44" s="196"/>
      <c r="ADH44" s="196"/>
      <c r="ADI44" s="196"/>
      <c r="ADJ44" s="196"/>
      <c r="ADK44" s="197"/>
      <c r="ADL44" s="196"/>
      <c r="ADM44" s="196"/>
      <c r="ADN44" s="196"/>
      <c r="ADO44" s="196"/>
      <c r="ADP44" s="196"/>
      <c r="ADQ44" s="198"/>
      <c r="ADR44" s="196"/>
      <c r="ADS44" s="196"/>
      <c r="ADT44" s="196"/>
      <c r="ADU44" s="196"/>
      <c r="ADV44" s="196"/>
      <c r="ADW44" s="199"/>
      <c r="ADX44" s="196"/>
      <c r="ADY44" s="196"/>
      <c r="ADZ44" s="196"/>
      <c r="AEA44" s="196"/>
      <c r="AEB44" s="196"/>
      <c r="AEC44" s="198"/>
      <c r="AED44" s="196"/>
      <c r="AEE44" s="196"/>
      <c r="AEF44" s="196"/>
      <c r="AEG44" s="196"/>
      <c r="AEH44" s="196"/>
      <c r="AEI44" s="199"/>
      <c r="AEJ44" s="196"/>
      <c r="AEK44" s="196"/>
      <c r="AEL44" s="196"/>
      <c r="AEM44" s="196"/>
      <c r="AEN44" s="196"/>
      <c r="AEO44" s="198"/>
      <c r="AEP44" s="196"/>
      <c r="AEQ44" s="196"/>
      <c r="AER44" s="196"/>
      <c r="AES44" s="196"/>
      <c r="AET44" s="196"/>
      <c r="AEU44" s="199"/>
      <c r="AEV44" s="196"/>
      <c r="AEW44" s="196"/>
      <c r="AEX44" s="196"/>
      <c r="AEY44" s="196"/>
      <c r="AEZ44" s="196"/>
      <c r="AFA44" s="198"/>
      <c r="AFB44" s="196"/>
      <c r="AFC44" s="196"/>
      <c r="AFD44" s="196"/>
      <c r="AFE44" s="196"/>
      <c r="AFF44" s="196"/>
      <c r="AFG44" s="199"/>
      <c r="AFH44" s="196"/>
      <c r="AFI44" s="196"/>
      <c r="AFJ44" s="196"/>
      <c r="AFK44" s="196"/>
      <c r="AFL44" s="196"/>
      <c r="AFM44" s="200"/>
      <c r="AFN44" s="195"/>
      <c r="AFO44" s="196"/>
      <c r="AFP44" s="196"/>
      <c r="AFQ44" s="196"/>
      <c r="AFR44" s="196"/>
      <c r="AFS44" s="197"/>
      <c r="AFT44" s="196"/>
      <c r="AFU44" s="196"/>
      <c r="AFV44" s="196"/>
      <c r="AFW44" s="196"/>
      <c r="AFX44" s="196"/>
      <c r="AFY44" s="198"/>
      <c r="AFZ44" s="196"/>
      <c r="AGA44" s="196"/>
      <c r="AGB44" s="196"/>
      <c r="AGC44" s="196"/>
      <c r="AGD44" s="196"/>
      <c r="AGE44" s="199"/>
      <c r="AGF44" s="196"/>
      <c r="AGG44" s="196"/>
      <c r="AGH44" s="196"/>
      <c r="AGI44" s="196"/>
      <c r="AGJ44" s="196"/>
      <c r="AGK44" s="198"/>
      <c r="AGL44" s="196"/>
      <c r="AGM44" s="196"/>
      <c r="AGN44" s="196"/>
      <c r="AGO44" s="196"/>
      <c r="AGP44" s="196"/>
      <c r="AGQ44" s="199"/>
      <c r="AGR44" s="196"/>
      <c r="AGS44" s="196"/>
      <c r="AGT44" s="196"/>
      <c r="AGU44" s="196"/>
      <c r="AGV44" s="196"/>
      <c r="AGW44" s="198"/>
      <c r="AGX44" s="196"/>
      <c r="AGY44" s="196"/>
      <c r="AGZ44" s="196"/>
      <c r="AHA44" s="196"/>
      <c r="AHB44" s="196"/>
      <c r="AHC44" s="199"/>
      <c r="AHD44" s="196"/>
      <c r="AHE44" s="196"/>
      <c r="AHF44" s="196"/>
      <c r="AHG44" s="196"/>
      <c r="AHH44" s="196"/>
      <c r="AHI44" s="198"/>
      <c r="AHJ44" s="196"/>
      <c r="AHK44" s="196"/>
      <c r="AHL44" s="196"/>
      <c r="AHM44" s="196"/>
      <c r="AHN44" s="196"/>
      <c r="AHO44" s="199"/>
      <c r="AHP44" s="196"/>
      <c r="AHQ44" s="196"/>
      <c r="AHR44" s="196"/>
      <c r="AHS44" s="196"/>
      <c r="AHT44" s="196"/>
      <c r="AHU44" s="200"/>
      <c r="AHV44" s="195"/>
      <c r="AHW44" s="196"/>
      <c r="AHX44" s="196"/>
      <c r="AHY44" s="196"/>
      <c r="AHZ44" s="196"/>
      <c r="AIA44" s="197"/>
      <c r="AIB44" s="196"/>
      <c r="AIC44" s="196"/>
      <c r="AID44" s="196"/>
      <c r="AIE44" s="196"/>
      <c r="AIF44" s="196"/>
      <c r="AIG44" s="198"/>
      <c r="AIH44" s="196"/>
      <c r="AII44" s="196"/>
      <c r="AIJ44" s="196"/>
      <c r="AIK44" s="196"/>
      <c r="AIL44" s="196"/>
      <c r="AIM44" s="199"/>
      <c r="AIN44" s="196"/>
      <c r="AIO44" s="196"/>
      <c r="AIP44" s="196"/>
      <c r="AIQ44" s="196"/>
      <c r="AIR44" s="196"/>
      <c r="AIS44" s="198"/>
      <c r="AIT44" s="196"/>
      <c r="AIU44" s="196"/>
      <c r="AIV44" s="196"/>
      <c r="AIW44" s="196"/>
      <c r="AIX44" s="196"/>
      <c r="AIY44" s="199"/>
      <c r="AIZ44" s="196"/>
      <c r="AJA44" s="196"/>
      <c r="AJB44" s="196"/>
      <c r="AJC44" s="196"/>
      <c r="AJD44" s="196"/>
      <c r="AJE44" s="198"/>
      <c r="AJF44" s="196"/>
      <c r="AJG44" s="196"/>
      <c r="AJH44" s="196"/>
      <c r="AJI44" s="196"/>
      <c r="AJJ44" s="196"/>
      <c r="AJK44" s="199"/>
      <c r="AJL44" s="196"/>
      <c r="AJM44" s="196"/>
      <c r="AJN44" s="196"/>
      <c r="AJO44" s="196"/>
      <c r="AJP44" s="196"/>
      <c r="AJQ44" s="198"/>
      <c r="AJR44" s="196"/>
      <c r="AJS44" s="196"/>
      <c r="AJT44" s="196"/>
      <c r="AJU44" s="196"/>
      <c r="AJV44" s="196"/>
      <c r="AJW44" s="199"/>
      <c r="AJX44" s="196"/>
      <c r="AJY44" s="196"/>
      <c r="AJZ44" s="196"/>
      <c r="AKA44" s="196"/>
      <c r="AKB44" s="196"/>
      <c r="AKC44" s="200"/>
      <c r="AKD44" s="195"/>
      <c r="AKE44" s="196"/>
      <c r="AKF44" s="196"/>
      <c r="AKG44" s="196"/>
      <c r="AKH44" s="196"/>
      <c r="AKI44" s="197"/>
      <c r="AKJ44" s="196"/>
      <c r="AKK44" s="196"/>
      <c r="AKL44" s="196"/>
      <c r="AKM44" s="196"/>
      <c r="AKN44" s="196"/>
      <c r="AKO44" s="198"/>
      <c r="AKP44" s="196"/>
      <c r="AKQ44" s="196"/>
      <c r="AKR44" s="196"/>
      <c r="AKS44" s="196"/>
      <c r="AKT44" s="196"/>
      <c r="AKU44" s="199"/>
      <c r="AKV44" s="196"/>
      <c r="AKW44" s="196"/>
      <c r="AKX44" s="196"/>
      <c r="AKY44" s="196"/>
      <c r="AKZ44" s="196"/>
      <c r="ALA44" s="198"/>
      <c r="ALB44" s="196"/>
      <c r="ALC44" s="196"/>
      <c r="ALD44" s="196"/>
      <c r="ALE44" s="196"/>
      <c r="ALF44" s="196"/>
      <c r="ALG44" s="199"/>
      <c r="ALH44" s="196"/>
      <c r="ALI44" s="196"/>
      <c r="ALJ44" s="196"/>
      <c r="ALK44" s="196"/>
      <c r="ALL44" s="196"/>
      <c r="ALM44" s="198"/>
      <c r="ALN44" s="196"/>
      <c r="ALO44" s="196"/>
      <c r="ALP44" s="196"/>
      <c r="ALQ44" s="196"/>
      <c r="ALR44" s="196"/>
      <c r="ALS44" s="199"/>
      <c r="ALT44" s="196"/>
      <c r="ALU44" s="196"/>
      <c r="ALV44" s="196"/>
      <c r="ALW44" s="196"/>
      <c r="ALX44" s="196"/>
      <c r="ALY44" s="198"/>
      <c r="ALZ44" s="196"/>
      <c r="AMA44" s="196"/>
      <c r="AMB44" s="196"/>
      <c r="AMC44" s="196"/>
      <c r="AMD44" s="196"/>
      <c r="AME44" s="199"/>
      <c r="AMF44" s="196"/>
      <c r="AMG44" s="196"/>
      <c r="AMH44" s="196"/>
      <c r="AMI44" s="196"/>
      <c r="AMJ44" s="196"/>
      <c r="AMK44" s="200"/>
      <c r="AML44" s="195"/>
      <c r="AMM44" s="196"/>
      <c r="AMN44" s="196"/>
      <c r="AMO44" s="196"/>
      <c r="AMP44" s="196"/>
      <c r="AMQ44" s="197"/>
      <c r="AMR44" s="196"/>
      <c r="AMS44" s="196"/>
      <c r="AMT44" s="196"/>
      <c r="AMU44" s="196"/>
      <c r="AMV44" s="196"/>
      <c r="AMW44" s="198"/>
      <c r="AMX44" s="196"/>
      <c r="AMY44" s="196"/>
      <c r="AMZ44" s="196"/>
      <c r="ANA44" s="196"/>
      <c r="ANB44" s="196"/>
      <c r="ANC44" s="199"/>
      <c r="AND44" s="196"/>
      <c r="ANE44" s="196"/>
      <c r="ANF44" s="196"/>
      <c r="ANG44" s="196"/>
      <c r="ANH44" s="196"/>
      <c r="ANI44" s="198"/>
      <c r="ANJ44" s="196"/>
      <c r="ANK44" s="196"/>
      <c r="ANL44" s="196"/>
      <c r="ANM44" s="196"/>
      <c r="ANN44" s="196"/>
      <c r="ANO44" s="199"/>
      <c r="ANP44" s="196"/>
      <c r="ANQ44" s="196"/>
      <c r="ANR44" s="196"/>
      <c r="ANS44" s="196"/>
      <c r="ANT44" s="196"/>
      <c r="ANU44" s="198"/>
      <c r="ANV44" s="196"/>
      <c r="ANW44" s="196"/>
      <c r="ANX44" s="196"/>
      <c r="ANY44" s="196"/>
      <c r="ANZ44" s="196"/>
      <c r="AOA44" s="199"/>
      <c r="AOB44" s="196"/>
      <c r="AOC44" s="196"/>
      <c r="AOD44" s="196"/>
      <c r="AOE44" s="196"/>
      <c r="AOF44" s="196"/>
      <c r="AOG44" s="198"/>
      <c r="AOH44" s="196"/>
      <c r="AOI44" s="196"/>
      <c r="AOJ44" s="196"/>
      <c r="AOK44" s="196"/>
      <c r="AOL44" s="196"/>
      <c r="AOM44" s="199"/>
      <c r="AON44" s="196"/>
      <c r="AOO44" s="196"/>
      <c r="AOP44" s="196"/>
      <c r="AOQ44" s="196"/>
      <c r="AOR44" s="196"/>
      <c r="AOS44" s="200"/>
      <c r="AOT44" s="195"/>
      <c r="AOU44" s="196"/>
      <c r="AOV44" s="196"/>
      <c r="AOW44" s="196"/>
      <c r="AOX44" s="196"/>
      <c r="AOY44" s="197"/>
      <c r="AOZ44" s="196"/>
      <c r="APA44" s="196"/>
      <c r="APB44" s="196"/>
      <c r="APC44" s="196"/>
      <c r="APD44" s="196"/>
      <c r="APE44" s="198"/>
      <c r="APF44" s="196"/>
      <c r="APG44" s="196"/>
      <c r="APH44" s="196"/>
      <c r="API44" s="196"/>
      <c r="APJ44" s="196"/>
      <c r="APK44" s="199"/>
      <c r="APL44" s="196"/>
      <c r="APM44" s="196"/>
      <c r="APN44" s="196"/>
      <c r="APO44" s="196"/>
      <c r="APP44" s="196"/>
      <c r="APQ44" s="198"/>
      <c r="APR44" s="196"/>
      <c r="APS44" s="196"/>
      <c r="APT44" s="196"/>
      <c r="APU44" s="196"/>
      <c r="APV44" s="196"/>
      <c r="APW44" s="199"/>
      <c r="APX44" s="196"/>
      <c r="APY44" s="196"/>
      <c r="APZ44" s="196"/>
      <c r="AQA44" s="196"/>
      <c r="AQB44" s="196"/>
      <c r="AQC44" s="198"/>
      <c r="AQD44" s="196"/>
      <c r="AQE44" s="196"/>
      <c r="AQF44" s="196"/>
      <c r="AQG44" s="196"/>
      <c r="AQH44" s="196"/>
      <c r="AQI44" s="199"/>
      <c r="AQJ44" s="196"/>
      <c r="AQK44" s="196"/>
      <c r="AQL44" s="196"/>
      <c r="AQM44" s="196"/>
      <c r="AQN44" s="196"/>
      <c r="AQO44" s="198"/>
      <c r="AQP44" s="196"/>
      <c r="AQQ44" s="196"/>
      <c r="AQR44" s="196"/>
      <c r="AQS44" s="196"/>
      <c r="AQT44" s="196"/>
      <c r="AQU44" s="199"/>
      <c r="AQV44" s="196"/>
      <c r="AQW44" s="196"/>
      <c r="AQX44" s="196"/>
      <c r="AQY44" s="196"/>
      <c r="AQZ44" s="196"/>
      <c r="ARA44" s="200"/>
      <c r="ARB44" s="195"/>
      <c r="ARC44" s="196"/>
      <c r="ARD44" s="196"/>
      <c r="ARE44" s="196"/>
      <c r="ARF44" s="196"/>
      <c r="ARG44" s="197"/>
      <c r="ARH44" s="196"/>
      <c r="ARI44" s="196"/>
      <c r="ARJ44" s="196"/>
      <c r="ARK44" s="196"/>
      <c r="ARL44" s="196"/>
      <c r="ARM44" s="198"/>
      <c r="ARN44" s="196"/>
      <c r="ARO44" s="196"/>
      <c r="ARP44" s="196"/>
      <c r="ARQ44" s="196"/>
      <c r="ARR44" s="196"/>
      <c r="ARS44" s="199"/>
      <c r="ART44" s="196"/>
      <c r="ARU44" s="196"/>
      <c r="ARV44" s="196"/>
      <c r="ARW44" s="196"/>
      <c r="ARX44" s="196"/>
      <c r="ARY44" s="198"/>
      <c r="ARZ44" s="196"/>
      <c r="ASA44" s="196"/>
      <c r="ASB44" s="196"/>
      <c r="ASC44" s="196"/>
      <c r="ASD44" s="196"/>
      <c r="ASE44" s="199"/>
      <c r="ASF44" s="196"/>
      <c r="ASG44" s="196"/>
      <c r="ASH44" s="196"/>
      <c r="ASI44" s="196"/>
      <c r="ASJ44" s="196"/>
      <c r="ASK44" s="198"/>
      <c r="ASL44" s="196"/>
      <c r="ASM44" s="196"/>
      <c r="ASN44" s="196"/>
      <c r="ASO44" s="196"/>
      <c r="ASP44" s="196"/>
      <c r="ASQ44" s="199"/>
      <c r="ASR44" s="196"/>
      <c r="ASS44" s="196"/>
      <c r="AST44" s="196"/>
      <c r="ASU44" s="196"/>
      <c r="ASV44" s="196"/>
      <c r="ASW44" s="198"/>
      <c r="ASX44" s="196"/>
      <c r="ASY44" s="196"/>
      <c r="ASZ44" s="196"/>
      <c r="ATA44" s="196"/>
      <c r="ATB44" s="196"/>
      <c r="ATC44" s="199"/>
      <c r="ATD44" s="196"/>
      <c r="ATE44" s="196"/>
      <c r="ATF44" s="196"/>
      <c r="ATG44" s="196"/>
      <c r="ATH44" s="196"/>
      <c r="ATI44" s="200"/>
      <c r="ATJ44" s="195"/>
      <c r="ATK44" s="196"/>
      <c r="ATL44" s="196"/>
      <c r="ATM44" s="196"/>
      <c r="ATN44" s="196"/>
      <c r="ATO44" s="197"/>
      <c r="ATP44" s="196"/>
      <c r="ATQ44" s="196"/>
      <c r="ATR44" s="196"/>
      <c r="ATS44" s="196"/>
      <c r="ATT44" s="196"/>
      <c r="ATU44" s="198"/>
      <c r="ATV44" s="196"/>
      <c r="ATW44" s="196"/>
      <c r="ATX44" s="196"/>
      <c r="ATY44" s="196"/>
      <c r="ATZ44" s="196"/>
      <c r="AUA44" s="199"/>
      <c r="AUB44" s="196"/>
      <c r="AUC44" s="196"/>
      <c r="AUD44" s="196"/>
      <c r="AUE44" s="196"/>
      <c r="AUF44" s="196"/>
      <c r="AUG44" s="198"/>
      <c r="AUH44" s="196"/>
      <c r="AUI44" s="196"/>
      <c r="AUJ44" s="196"/>
      <c r="AUK44" s="196"/>
      <c r="AUL44" s="196"/>
      <c r="AUM44" s="199"/>
      <c r="AUN44" s="196"/>
      <c r="AUO44" s="196"/>
      <c r="AUP44" s="196"/>
      <c r="AUQ44" s="196"/>
      <c r="AUR44" s="196"/>
      <c r="AUS44" s="198"/>
      <c r="AUT44" s="196"/>
      <c r="AUU44" s="196"/>
      <c r="AUV44" s="196"/>
      <c r="AUW44" s="196"/>
      <c r="AUX44" s="196"/>
      <c r="AUY44" s="199"/>
      <c r="AUZ44" s="196"/>
      <c r="AVA44" s="196"/>
      <c r="AVB44" s="196"/>
      <c r="AVC44" s="196"/>
      <c r="AVD44" s="196"/>
      <c r="AVE44" s="198"/>
      <c r="AVF44" s="196"/>
      <c r="AVG44" s="196"/>
      <c r="AVH44" s="196"/>
      <c r="AVI44" s="196"/>
      <c r="AVJ44" s="196"/>
      <c r="AVK44" s="199"/>
      <c r="AVL44" s="196"/>
      <c r="AVM44" s="196"/>
      <c r="AVN44" s="196"/>
      <c r="AVO44" s="196"/>
      <c r="AVP44" s="196"/>
      <c r="AVQ44" s="200"/>
      <c r="AVR44" s="195"/>
      <c r="AVS44" s="196"/>
      <c r="AVT44" s="196"/>
      <c r="AVU44" s="196"/>
      <c r="AVV44" s="196"/>
      <c r="AVW44" s="197"/>
      <c r="AVX44" s="196"/>
      <c r="AVY44" s="196"/>
      <c r="AVZ44" s="196"/>
      <c r="AWA44" s="196"/>
      <c r="AWB44" s="196"/>
      <c r="AWC44" s="198"/>
      <c r="AWD44" s="196"/>
      <c r="AWE44" s="196"/>
      <c r="AWF44" s="196"/>
      <c r="AWG44" s="196"/>
      <c r="AWH44" s="196"/>
      <c r="AWI44" s="199"/>
      <c r="AWJ44" s="196"/>
      <c r="AWK44" s="196"/>
      <c r="AWL44" s="196"/>
      <c r="AWM44" s="196"/>
      <c r="AWN44" s="196"/>
      <c r="AWO44" s="198"/>
      <c r="AWP44" s="196"/>
      <c r="AWQ44" s="196"/>
      <c r="AWR44" s="196"/>
      <c r="AWS44" s="196"/>
      <c r="AWT44" s="196"/>
      <c r="AWU44" s="199"/>
      <c r="AWV44" s="196"/>
      <c r="AWW44" s="196"/>
      <c r="AWX44" s="196"/>
      <c r="AWY44" s="196"/>
      <c r="AWZ44" s="196"/>
      <c r="AXA44" s="198"/>
      <c r="AXB44" s="196"/>
      <c r="AXC44" s="196"/>
      <c r="AXD44" s="196"/>
      <c r="AXE44" s="196"/>
      <c r="AXF44" s="196"/>
      <c r="AXG44" s="199"/>
      <c r="AXH44" s="196"/>
      <c r="AXI44" s="196"/>
      <c r="AXJ44" s="196"/>
      <c r="AXK44" s="196"/>
      <c r="AXL44" s="196"/>
      <c r="AXM44" s="198"/>
      <c r="AXN44" s="196"/>
      <c r="AXO44" s="196"/>
      <c r="AXP44" s="196"/>
      <c r="AXQ44" s="196"/>
      <c r="AXR44" s="196"/>
      <c r="AXS44" s="199"/>
      <c r="AXT44" s="196"/>
      <c r="AXU44" s="196"/>
      <c r="AXV44" s="196"/>
      <c r="AXW44" s="196"/>
      <c r="AXX44" s="196"/>
      <c r="AXY44" s="200"/>
      <c r="AXZ44" s="195"/>
      <c r="AYA44" s="196"/>
      <c r="AYB44" s="196"/>
      <c r="AYC44" s="196"/>
      <c r="AYD44" s="196"/>
      <c r="AYE44" s="197"/>
      <c r="AYF44" s="196"/>
      <c r="AYG44" s="196"/>
      <c r="AYH44" s="196"/>
      <c r="AYI44" s="196"/>
      <c r="AYJ44" s="196"/>
      <c r="AYK44" s="198"/>
      <c r="AYL44" s="196"/>
      <c r="AYM44" s="196"/>
      <c r="AYN44" s="196"/>
      <c r="AYO44" s="196"/>
      <c r="AYP44" s="196"/>
      <c r="AYQ44" s="199"/>
      <c r="AYR44" s="196"/>
      <c r="AYS44" s="196"/>
      <c r="AYT44" s="196"/>
      <c r="AYU44" s="196"/>
      <c r="AYV44" s="196"/>
      <c r="AYW44" s="198"/>
      <c r="AYX44" s="196"/>
      <c r="AYY44" s="196"/>
      <c r="AYZ44" s="196"/>
      <c r="AZA44" s="196"/>
      <c r="AZB44" s="196"/>
      <c r="AZC44" s="199"/>
      <c r="AZD44" s="196"/>
      <c r="AZE44" s="196"/>
      <c r="AZF44" s="196"/>
      <c r="AZG44" s="196"/>
      <c r="AZH44" s="196"/>
      <c r="AZI44" s="198"/>
      <c r="AZJ44" s="196"/>
      <c r="AZK44" s="196"/>
      <c r="AZL44" s="196"/>
      <c r="AZM44" s="196"/>
      <c r="AZN44" s="196"/>
      <c r="AZO44" s="199"/>
      <c r="AZP44" s="196"/>
      <c r="AZQ44" s="196"/>
      <c r="AZR44" s="196"/>
      <c r="AZS44" s="196"/>
      <c r="AZT44" s="196"/>
      <c r="AZU44" s="198"/>
      <c r="AZV44" s="196"/>
      <c r="AZW44" s="196"/>
      <c r="AZX44" s="196"/>
      <c r="AZY44" s="196"/>
      <c r="AZZ44" s="196"/>
      <c r="BAA44" s="199"/>
      <c r="BAB44" s="196"/>
      <c r="BAC44" s="196"/>
      <c r="BAD44" s="196"/>
      <c r="BAE44" s="196"/>
      <c r="BAF44" s="196"/>
      <c r="BAG44" s="200"/>
      <c r="BAH44" s="195"/>
      <c r="BAI44" s="196"/>
      <c r="BAJ44" s="196"/>
      <c r="BAK44" s="196"/>
      <c r="BAL44" s="196"/>
      <c r="BAM44" s="197"/>
      <c r="BAN44" s="196"/>
      <c r="BAO44" s="196"/>
      <c r="BAP44" s="196"/>
      <c r="BAQ44" s="196"/>
      <c r="BAR44" s="196"/>
      <c r="BAS44" s="198"/>
      <c r="BAT44" s="196"/>
      <c r="BAU44" s="196"/>
      <c r="BAV44" s="196"/>
      <c r="BAW44" s="196"/>
      <c r="BAX44" s="196"/>
      <c r="BAY44" s="199"/>
      <c r="BAZ44" s="196"/>
      <c r="BBA44" s="196"/>
      <c r="BBB44" s="196"/>
      <c r="BBC44" s="196"/>
      <c r="BBD44" s="196"/>
      <c r="BBE44" s="198"/>
      <c r="BBF44" s="196"/>
      <c r="BBG44" s="196"/>
      <c r="BBH44" s="196"/>
      <c r="BBI44" s="196"/>
      <c r="BBJ44" s="196"/>
      <c r="BBK44" s="199"/>
      <c r="BBL44" s="196"/>
      <c r="BBM44" s="196"/>
      <c r="BBN44" s="196"/>
      <c r="BBO44" s="196"/>
      <c r="BBP44" s="196"/>
      <c r="BBQ44" s="198"/>
      <c r="BBR44" s="196"/>
      <c r="BBS44" s="196"/>
      <c r="BBT44" s="196"/>
      <c r="BBU44" s="196"/>
      <c r="BBV44" s="196"/>
      <c r="BBW44" s="199"/>
      <c r="BBX44" s="196"/>
      <c r="BBY44" s="196"/>
      <c r="BBZ44" s="196"/>
      <c r="BCA44" s="196"/>
      <c r="BCB44" s="196"/>
      <c r="BCC44" s="198"/>
      <c r="BCD44" s="196"/>
      <c r="BCE44" s="196"/>
      <c r="BCF44" s="196"/>
      <c r="BCG44" s="196"/>
      <c r="BCH44" s="196"/>
      <c r="BCI44" s="199"/>
      <c r="BCJ44" s="196"/>
      <c r="BCK44" s="196"/>
      <c r="BCL44" s="196"/>
      <c r="BCM44" s="196"/>
      <c r="BCN44" s="196"/>
      <c r="BCO44" s="200"/>
      <c r="BCP44" s="195"/>
      <c r="BCQ44" s="196"/>
      <c r="BCR44" s="196"/>
      <c r="BCS44" s="196"/>
      <c r="BCT44" s="196"/>
      <c r="BCU44" s="197"/>
      <c r="BCV44" s="196"/>
      <c r="BCW44" s="196"/>
      <c r="BCX44" s="196"/>
      <c r="BCY44" s="196"/>
      <c r="BCZ44" s="196"/>
      <c r="BDA44" s="198"/>
      <c r="BDB44" s="196"/>
      <c r="BDC44" s="196"/>
      <c r="BDD44" s="196"/>
      <c r="BDE44" s="196"/>
      <c r="BDF44" s="196"/>
      <c r="BDG44" s="199"/>
      <c r="BDH44" s="196"/>
      <c r="BDI44" s="196"/>
      <c r="BDJ44" s="196"/>
      <c r="BDK44" s="196"/>
      <c r="BDL44" s="196"/>
      <c r="BDM44" s="198"/>
      <c r="BDN44" s="196"/>
      <c r="BDO44" s="196"/>
      <c r="BDP44" s="196"/>
      <c r="BDQ44" s="196"/>
      <c r="BDR44" s="196"/>
      <c r="BDS44" s="199"/>
      <c r="BDT44" s="196"/>
      <c r="BDU44" s="196"/>
      <c r="BDV44" s="196"/>
      <c r="BDW44" s="196"/>
      <c r="BDX44" s="196"/>
      <c r="BDY44" s="198"/>
      <c r="BDZ44" s="196"/>
      <c r="BEA44" s="196"/>
      <c r="BEB44" s="196"/>
      <c r="BEC44" s="196"/>
      <c r="BED44" s="196"/>
      <c r="BEE44" s="199"/>
      <c r="BEF44" s="196"/>
      <c r="BEG44" s="196"/>
      <c r="BEH44" s="196"/>
      <c r="BEI44" s="196"/>
      <c r="BEJ44" s="196"/>
      <c r="BEK44" s="198"/>
      <c r="BEL44" s="196"/>
      <c r="BEM44" s="196"/>
      <c r="BEN44" s="196"/>
      <c r="BEO44" s="196"/>
      <c r="BEP44" s="196"/>
      <c r="BEQ44" s="199"/>
      <c r="BER44" s="196"/>
      <c r="BES44" s="196"/>
      <c r="BET44" s="196"/>
      <c r="BEU44" s="196"/>
      <c r="BEV44" s="196"/>
      <c r="BEW44" s="200"/>
      <c r="BEX44" s="195"/>
      <c r="BEY44" s="196"/>
      <c r="BEZ44" s="196"/>
      <c r="BFA44" s="196"/>
      <c r="BFB44" s="196"/>
      <c r="BFC44" s="197"/>
      <c r="BFD44" s="196"/>
      <c r="BFE44" s="196"/>
      <c r="BFF44" s="196"/>
      <c r="BFG44" s="196"/>
      <c r="BFH44" s="196"/>
      <c r="BFI44" s="198"/>
      <c r="BFJ44" s="196"/>
      <c r="BFK44" s="196"/>
      <c r="BFL44" s="196"/>
      <c r="BFM44" s="196"/>
      <c r="BFN44" s="196"/>
      <c r="BFO44" s="199"/>
      <c r="BFP44" s="196"/>
      <c r="BFQ44" s="196"/>
      <c r="BFR44" s="196"/>
      <c r="BFS44" s="196"/>
      <c r="BFT44" s="196"/>
      <c r="BFU44" s="198"/>
      <c r="BFV44" s="196"/>
      <c r="BFW44" s="196"/>
      <c r="BFX44" s="196"/>
      <c r="BFY44" s="196"/>
      <c r="BFZ44" s="196"/>
      <c r="BGA44" s="199"/>
      <c r="BGB44" s="196"/>
      <c r="BGC44" s="196"/>
      <c r="BGD44" s="196"/>
      <c r="BGE44" s="196"/>
      <c r="BGF44" s="196"/>
      <c r="BGG44" s="198"/>
      <c r="BGH44" s="196"/>
      <c r="BGI44" s="196"/>
      <c r="BGJ44" s="196"/>
      <c r="BGK44" s="196"/>
      <c r="BGL44" s="196"/>
      <c r="BGM44" s="199"/>
      <c r="BGN44" s="196"/>
      <c r="BGO44" s="196"/>
      <c r="BGP44" s="196"/>
      <c r="BGQ44" s="196"/>
      <c r="BGR44" s="196"/>
      <c r="BGS44" s="198"/>
      <c r="BGT44" s="196"/>
      <c r="BGU44" s="196"/>
      <c r="BGV44" s="196"/>
      <c r="BGW44" s="196"/>
      <c r="BGX44" s="196"/>
      <c r="BGY44" s="199"/>
      <c r="BGZ44" s="196"/>
      <c r="BHA44" s="196"/>
      <c r="BHB44" s="196"/>
      <c r="BHC44" s="196"/>
      <c r="BHD44" s="196"/>
      <c r="BHE44" s="200"/>
      <c r="BHF44" s="187"/>
      <c r="BHG44" s="188"/>
      <c r="BHH44" s="188"/>
      <c r="BHI44" s="188"/>
      <c r="BHJ44" s="188"/>
      <c r="BHK44" s="188"/>
      <c r="BHL44" s="188"/>
      <c r="BHM44" s="188"/>
      <c r="BHN44" s="188"/>
      <c r="BHO44" s="188"/>
      <c r="BHP44" s="188"/>
      <c r="BHQ44" s="188"/>
      <c r="BHR44" s="188"/>
      <c r="BHS44" s="188"/>
      <c r="BHT44" s="188"/>
      <c r="BHU44" s="188"/>
      <c r="BHV44" s="188"/>
      <c r="BHW44" s="188"/>
      <c r="BHX44" s="188"/>
      <c r="BHY44" s="188"/>
      <c r="BHZ44" s="188"/>
      <c r="BIA44" s="188"/>
      <c r="BIB44" s="188"/>
      <c r="BIC44" s="188"/>
      <c r="BID44" s="188"/>
      <c r="BIE44" s="188"/>
      <c r="BIF44" s="188"/>
      <c r="BIG44" s="188"/>
      <c r="BIH44" s="188"/>
      <c r="BII44" s="188"/>
      <c r="BIJ44" s="188"/>
      <c r="BIK44" s="188"/>
      <c r="BIL44" s="188"/>
      <c r="BIM44" s="188"/>
      <c r="BIN44" s="188"/>
      <c r="BIO44" s="188"/>
      <c r="BIP44" s="188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230" t="s">
        <v>76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72"/>
      <c r="AKW45" s="172"/>
      <c r="AKX45" s="172"/>
      <c r="AKY45" s="172"/>
      <c r="AKZ45" s="172"/>
      <c r="ALA45" s="174"/>
      <c r="ALB45" s="172"/>
      <c r="ALC45" s="172"/>
      <c r="ALD45" s="172"/>
      <c r="ALE45" s="172"/>
      <c r="ALF45" s="172"/>
      <c r="ALG45" s="175"/>
      <c r="ALH45" s="172"/>
      <c r="ALI45" s="172"/>
      <c r="ALJ45" s="172"/>
      <c r="ALK45" s="172"/>
      <c r="ALL45" s="172"/>
      <c r="ALM45" s="174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72"/>
      <c r="AMV45" s="172"/>
      <c r="AMW45" s="174"/>
      <c r="AMX45" s="172"/>
      <c r="AMY45" s="172"/>
      <c r="AMZ45" s="172"/>
      <c r="ANA45" s="172"/>
      <c r="ANB45" s="172"/>
      <c r="ANC45" s="175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72"/>
      <c r="APE45" s="174"/>
      <c r="APF45" s="172"/>
      <c r="APG45" s="172"/>
      <c r="APH45" s="172"/>
      <c r="API45" s="172"/>
      <c r="APJ45" s="172"/>
      <c r="APK45" s="175"/>
      <c r="APL45" s="172"/>
      <c r="APM45" s="172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87"/>
      <c r="BHG45" s="188"/>
      <c r="BHH45" s="188"/>
      <c r="BHI45" s="188"/>
      <c r="BHJ45" s="188"/>
      <c r="BHK45" s="188"/>
      <c r="BHL45" s="188"/>
      <c r="BHM45" s="188"/>
      <c r="BHN45" s="188"/>
      <c r="BHO45" s="188"/>
      <c r="BHP45" s="188"/>
      <c r="BHQ45" s="188"/>
      <c r="BHR45" s="188"/>
      <c r="BHS45" s="188"/>
      <c r="BHT45" s="188"/>
      <c r="BHU45" s="188"/>
      <c r="BHV45" s="188"/>
      <c r="BHW45" s="188"/>
      <c r="BHX45" s="188"/>
      <c r="BHY45" s="188"/>
      <c r="BHZ45" s="188"/>
      <c r="BIA45" s="188"/>
      <c r="BIB45" s="188"/>
      <c r="BIC45" s="188"/>
      <c r="BID45" s="188"/>
      <c r="BIE45" s="188"/>
      <c r="BIF45" s="188"/>
      <c r="BIG45" s="188"/>
      <c r="BIH45" s="188"/>
      <c r="BII45" s="188"/>
      <c r="BIJ45" s="188"/>
      <c r="BIK45" s="188"/>
      <c r="BIL45" s="188"/>
      <c r="BIM45" s="188"/>
      <c r="BIN45" s="188"/>
      <c r="BIO45" s="188"/>
      <c r="BIP45" s="188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236"/>
      <c r="D46" s="120" t="str">
        <f t="shared" si="0"/>
        <v/>
      </c>
      <c r="E46" s="30">
        <v>0</v>
      </c>
      <c r="F46" s="195"/>
      <c r="G46" s="196"/>
      <c r="H46" s="196"/>
      <c r="I46" s="196"/>
      <c r="J46" s="196"/>
      <c r="K46" s="197"/>
      <c r="L46" s="196"/>
      <c r="M46" s="196"/>
      <c r="N46" s="196"/>
      <c r="O46" s="196"/>
      <c r="P46" s="196"/>
      <c r="Q46" s="198"/>
      <c r="R46" s="196"/>
      <c r="S46" s="196"/>
      <c r="T46" s="196"/>
      <c r="U46" s="196"/>
      <c r="V46" s="196"/>
      <c r="W46" s="199"/>
      <c r="X46" s="196"/>
      <c r="Y46" s="196"/>
      <c r="Z46" s="196"/>
      <c r="AA46" s="196"/>
      <c r="AB46" s="196"/>
      <c r="AC46" s="198"/>
      <c r="AD46" s="196"/>
      <c r="AE46" s="196"/>
      <c r="AF46" s="196"/>
      <c r="AG46" s="196"/>
      <c r="AH46" s="196"/>
      <c r="AI46" s="199"/>
      <c r="AJ46" s="196"/>
      <c r="AK46" s="196"/>
      <c r="AL46" s="196"/>
      <c r="AM46" s="196"/>
      <c r="AN46" s="196"/>
      <c r="AO46" s="198"/>
      <c r="AP46" s="196"/>
      <c r="AQ46" s="196"/>
      <c r="AR46" s="196"/>
      <c r="AS46" s="196"/>
      <c r="AT46" s="196"/>
      <c r="AU46" s="199"/>
      <c r="AV46" s="196"/>
      <c r="AW46" s="196"/>
      <c r="AX46" s="196"/>
      <c r="AY46" s="196"/>
      <c r="AZ46" s="196"/>
      <c r="BA46" s="198"/>
      <c r="BB46" s="196"/>
      <c r="BC46" s="196"/>
      <c r="BD46" s="196"/>
      <c r="BE46" s="196"/>
      <c r="BF46" s="196"/>
      <c r="BG46" s="199"/>
      <c r="BH46" s="196"/>
      <c r="BI46" s="196"/>
      <c r="BJ46" s="196"/>
      <c r="BK46" s="196"/>
      <c r="BL46" s="196"/>
      <c r="BM46" s="200"/>
      <c r="BN46" s="195"/>
      <c r="BO46" s="196"/>
      <c r="BP46" s="196"/>
      <c r="BQ46" s="196"/>
      <c r="BR46" s="196"/>
      <c r="BS46" s="197"/>
      <c r="BT46" s="196"/>
      <c r="BU46" s="196"/>
      <c r="BV46" s="196"/>
      <c r="BW46" s="196"/>
      <c r="BX46" s="196"/>
      <c r="BY46" s="198"/>
      <c r="BZ46" s="196"/>
      <c r="CA46" s="196"/>
      <c r="CB46" s="196"/>
      <c r="CC46" s="196"/>
      <c r="CD46" s="196"/>
      <c r="CE46" s="199"/>
      <c r="CF46" s="196"/>
      <c r="CG46" s="196"/>
      <c r="CH46" s="196"/>
      <c r="CI46" s="196"/>
      <c r="CJ46" s="196"/>
      <c r="CK46" s="198"/>
      <c r="CL46" s="196"/>
      <c r="CM46" s="196"/>
      <c r="CN46" s="196"/>
      <c r="CO46" s="196"/>
      <c r="CP46" s="196"/>
      <c r="CQ46" s="199"/>
      <c r="CR46" s="196"/>
      <c r="CS46" s="196"/>
      <c r="CT46" s="196"/>
      <c r="CU46" s="196"/>
      <c r="CV46" s="196"/>
      <c r="CW46" s="198"/>
      <c r="CX46" s="196"/>
      <c r="CY46" s="196"/>
      <c r="CZ46" s="196"/>
      <c r="DA46" s="196"/>
      <c r="DB46" s="196"/>
      <c r="DC46" s="199"/>
      <c r="DD46" s="196"/>
      <c r="DE46" s="196"/>
      <c r="DF46" s="196"/>
      <c r="DG46" s="196"/>
      <c r="DH46" s="196"/>
      <c r="DI46" s="198"/>
      <c r="DJ46" s="196"/>
      <c r="DK46" s="196"/>
      <c r="DL46" s="196"/>
      <c r="DM46" s="196"/>
      <c r="DN46" s="196"/>
      <c r="DO46" s="199"/>
      <c r="DP46" s="196"/>
      <c r="DQ46" s="196"/>
      <c r="DR46" s="196"/>
      <c r="DS46" s="196"/>
      <c r="DT46" s="196"/>
      <c r="DU46" s="200"/>
      <c r="DV46" s="195"/>
      <c r="DW46" s="196"/>
      <c r="DX46" s="196"/>
      <c r="DY46" s="196"/>
      <c r="DZ46" s="196"/>
      <c r="EA46" s="197"/>
      <c r="EB46" s="196"/>
      <c r="EC46" s="196"/>
      <c r="ED46" s="196"/>
      <c r="EE46" s="196"/>
      <c r="EF46" s="196"/>
      <c r="EG46" s="198"/>
      <c r="EH46" s="196"/>
      <c r="EI46" s="196"/>
      <c r="EJ46" s="196"/>
      <c r="EK46" s="196"/>
      <c r="EL46" s="196"/>
      <c r="EM46" s="199"/>
      <c r="EN46" s="196"/>
      <c r="EO46" s="196"/>
      <c r="EP46" s="196"/>
      <c r="EQ46" s="196"/>
      <c r="ER46" s="196"/>
      <c r="ES46" s="198"/>
      <c r="ET46" s="196"/>
      <c r="EU46" s="196"/>
      <c r="EV46" s="196"/>
      <c r="EW46" s="196"/>
      <c r="EX46" s="196"/>
      <c r="EY46" s="199"/>
      <c r="EZ46" s="196"/>
      <c r="FA46" s="196"/>
      <c r="FB46" s="196"/>
      <c r="FC46" s="196"/>
      <c r="FD46" s="196"/>
      <c r="FE46" s="198"/>
      <c r="FF46" s="196"/>
      <c r="FG46" s="196"/>
      <c r="FH46" s="196"/>
      <c r="FI46" s="196"/>
      <c r="FJ46" s="196"/>
      <c r="FK46" s="199"/>
      <c r="FL46" s="196"/>
      <c r="FM46" s="196"/>
      <c r="FN46" s="196"/>
      <c r="FO46" s="196"/>
      <c r="FP46" s="196"/>
      <c r="FQ46" s="198"/>
      <c r="FR46" s="196"/>
      <c r="FS46" s="196"/>
      <c r="FT46" s="196"/>
      <c r="FU46" s="196"/>
      <c r="FV46" s="196"/>
      <c r="FW46" s="199"/>
      <c r="FX46" s="196"/>
      <c r="FY46" s="196"/>
      <c r="FZ46" s="196"/>
      <c r="GA46" s="196"/>
      <c r="GB46" s="196"/>
      <c r="GC46" s="200"/>
      <c r="GD46" s="195"/>
      <c r="GE46" s="196"/>
      <c r="GF46" s="196"/>
      <c r="GG46" s="196"/>
      <c r="GH46" s="196"/>
      <c r="GI46" s="197"/>
      <c r="GJ46" s="196"/>
      <c r="GK46" s="196"/>
      <c r="GL46" s="196"/>
      <c r="GM46" s="196"/>
      <c r="GN46" s="196"/>
      <c r="GO46" s="198"/>
      <c r="GP46" s="196"/>
      <c r="GQ46" s="196"/>
      <c r="GR46" s="196"/>
      <c r="GS46" s="196"/>
      <c r="GT46" s="196"/>
      <c r="GU46" s="199"/>
      <c r="GV46" s="196"/>
      <c r="GW46" s="196"/>
      <c r="GX46" s="196"/>
      <c r="GY46" s="196"/>
      <c r="GZ46" s="196"/>
      <c r="HA46" s="198"/>
      <c r="HB46" s="196"/>
      <c r="HC46" s="196"/>
      <c r="HD46" s="196"/>
      <c r="HE46" s="196"/>
      <c r="HF46" s="196"/>
      <c r="HG46" s="199"/>
      <c r="HH46" s="196"/>
      <c r="HI46" s="196"/>
      <c r="HJ46" s="196"/>
      <c r="HK46" s="196"/>
      <c r="HL46" s="196"/>
      <c r="HM46" s="198"/>
      <c r="HN46" s="196"/>
      <c r="HO46" s="196"/>
      <c r="HP46" s="196"/>
      <c r="HQ46" s="196"/>
      <c r="HR46" s="196"/>
      <c r="HS46" s="199"/>
      <c r="HT46" s="196"/>
      <c r="HU46" s="196"/>
      <c r="HV46" s="196"/>
      <c r="HW46" s="196"/>
      <c r="HX46" s="196"/>
      <c r="HY46" s="198"/>
      <c r="HZ46" s="196"/>
      <c r="IA46" s="196"/>
      <c r="IB46" s="196"/>
      <c r="IC46" s="196"/>
      <c r="ID46" s="196"/>
      <c r="IE46" s="199"/>
      <c r="IF46" s="196"/>
      <c r="IG46" s="196"/>
      <c r="IH46" s="196"/>
      <c r="II46" s="196"/>
      <c r="IJ46" s="196"/>
      <c r="IK46" s="200"/>
      <c r="IL46" s="195"/>
      <c r="IM46" s="196"/>
      <c r="IN46" s="196"/>
      <c r="IO46" s="196"/>
      <c r="IP46" s="196"/>
      <c r="IQ46" s="197"/>
      <c r="IR46" s="196"/>
      <c r="IS46" s="196"/>
      <c r="IT46" s="196"/>
      <c r="IU46" s="196"/>
      <c r="IV46" s="196"/>
      <c r="IW46" s="198"/>
      <c r="IX46" s="196"/>
      <c r="IY46" s="196"/>
      <c r="IZ46" s="196"/>
      <c r="JA46" s="196"/>
      <c r="JB46" s="196"/>
      <c r="JC46" s="199"/>
      <c r="JD46" s="196"/>
      <c r="JE46" s="196"/>
      <c r="JF46" s="196"/>
      <c r="JG46" s="196"/>
      <c r="JH46" s="196"/>
      <c r="JI46" s="198"/>
      <c r="JJ46" s="196"/>
      <c r="JK46" s="196"/>
      <c r="JL46" s="196"/>
      <c r="JM46" s="196"/>
      <c r="JN46" s="196"/>
      <c r="JO46" s="199"/>
      <c r="JP46" s="196"/>
      <c r="JQ46" s="196"/>
      <c r="JR46" s="196"/>
      <c r="JS46" s="196"/>
      <c r="JT46" s="196"/>
      <c r="JU46" s="198"/>
      <c r="JV46" s="196"/>
      <c r="JW46" s="196"/>
      <c r="JX46" s="196"/>
      <c r="JY46" s="196"/>
      <c r="JZ46" s="196"/>
      <c r="KA46" s="199"/>
      <c r="KB46" s="196"/>
      <c r="KC46" s="196"/>
      <c r="KD46" s="196"/>
      <c r="KE46" s="196"/>
      <c r="KF46" s="196"/>
      <c r="KG46" s="198"/>
      <c r="KH46" s="196"/>
      <c r="KI46" s="196"/>
      <c r="KJ46" s="196"/>
      <c r="KK46" s="196"/>
      <c r="KL46" s="196"/>
      <c r="KM46" s="199"/>
      <c r="KN46" s="196"/>
      <c r="KO46" s="196"/>
      <c r="KP46" s="196"/>
      <c r="KQ46" s="196"/>
      <c r="KR46" s="196"/>
      <c r="KS46" s="200"/>
      <c r="KT46" s="195"/>
      <c r="KU46" s="196"/>
      <c r="KV46" s="196"/>
      <c r="KW46" s="196"/>
      <c r="KX46" s="196"/>
      <c r="KY46" s="197"/>
      <c r="KZ46" s="196"/>
      <c r="LA46" s="196"/>
      <c r="LB46" s="196"/>
      <c r="LC46" s="196"/>
      <c r="LD46" s="196"/>
      <c r="LE46" s="198"/>
      <c r="LF46" s="196"/>
      <c r="LG46" s="196"/>
      <c r="LH46" s="196"/>
      <c r="LI46" s="196"/>
      <c r="LJ46" s="196"/>
      <c r="LK46" s="199"/>
      <c r="LL46" s="196"/>
      <c r="LM46" s="196"/>
      <c r="LN46" s="196"/>
      <c r="LO46" s="196"/>
      <c r="LP46" s="196"/>
      <c r="LQ46" s="198"/>
      <c r="LR46" s="196"/>
      <c r="LS46" s="196"/>
      <c r="LT46" s="196"/>
      <c r="LU46" s="196"/>
      <c r="LV46" s="196"/>
      <c r="LW46" s="199"/>
      <c r="LX46" s="196"/>
      <c r="LY46" s="196"/>
      <c r="LZ46" s="196"/>
      <c r="MA46" s="196"/>
      <c r="MB46" s="196"/>
      <c r="MC46" s="198"/>
      <c r="MD46" s="196"/>
      <c r="ME46" s="196"/>
      <c r="MF46" s="196"/>
      <c r="MG46" s="196"/>
      <c r="MH46" s="196"/>
      <c r="MI46" s="199"/>
      <c r="MJ46" s="196"/>
      <c r="MK46" s="196"/>
      <c r="ML46" s="196"/>
      <c r="MM46" s="196"/>
      <c r="MN46" s="196"/>
      <c r="MO46" s="198"/>
      <c r="MP46" s="196"/>
      <c r="MQ46" s="196"/>
      <c r="MR46" s="196"/>
      <c r="MS46" s="196"/>
      <c r="MT46" s="196"/>
      <c r="MU46" s="199"/>
      <c r="MV46" s="196"/>
      <c r="MW46" s="196"/>
      <c r="MX46" s="196"/>
      <c r="MY46" s="196"/>
      <c r="MZ46" s="196"/>
      <c r="NA46" s="200"/>
      <c r="NB46" s="195"/>
      <c r="NC46" s="196"/>
      <c r="ND46" s="196"/>
      <c r="NE46" s="196"/>
      <c r="NF46" s="196"/>
      <c r="NG46" s="197"/>
      <c r="NH46" s="196"/>
      <c r="NI46" s="196"/>
      <c r="NJ46" s="196"/>
      <c r="NK46" s="196"/>
      <c r="NL46" s="196"/>
      <c r="NM46" s="198"/>
      <c r="NN46" s="196"/>
      <c r="NO46" s="196"/>
      <c r="NP46" s="196"/>
      <c r="NQ46" s="196"/>
      <c r="NR46" s="196"/>
      <c r="NS46" s="199"/>
      <c r="NT46" s="196"/>
      <c r="NU46" s="196"/>
      <c r="NV46" s="196"/>
      <c r="NW46" s="196"/>
      <c r="NX46" s="196"/>
      <c r="NY46" s="198"/>
      <c r="NZ46" s="196"/>
      <c r="OA46" s="196"/>
      <c r="OB46" s="196"/>
      <c r="OC46" s="196"/>
      <c r="OD46" s="196"/>
      <c r="OE46" s="199"/>
      <c r="OF46" s="196"/>
      <c r="OG46" s="196"/>
      <c r="OH46" s="196"/>
      <c r="OI46" s="196"/>
      <c r="OJ46" s="196"/>
      <c r="OK46" s="198"/>
      <c r="OL46" s="196"/>
      <c r="OM46" s="196"/>
      <c r="ON46" s="196"/>
      <c r="OO46" s="196"/>
      <c r="OP46" s="196"/>
      <c r="OQ46" s="199"/>
      <c r="OR46" s="196"/>
      <c r="OS46" s="196"/>
      <c r="OT46" s="196"/>
      <c r="OU46" s="196"/>
      <c r="OV46" s="196"/>
      <c r="OW46" s="198"/>
      <c r="OX46" s="196"/>
      <c r="OY46" s="196"/>
      <c r="OZ46" s="196"/>
      <c r="PA46" s="196"/>
      <c r="PB46" s="196"/>
      <c r="PC46" s="199"/>
      <c r="PD46" s="196"/>
      <c r="PE46" s="196"/>
      <c r="PF46" s="196"/>
      <c r="PG46" s="196"/>
      <c r="PH46" s="196"/>
      <c r="PI46" s="200"/>
      <c r="PJ46" s="195"/>
      <c r="PK46" s="196"/>
      <c r="PL46" s="196"/>
      <c r="PM46" s="196"/>
      <c r="PN46" s="196"/>
      <c r="PO46" s="197"/>
      <c r="PP46" s="196"/>
      <c r="PQ46" s="196"/>
      <c r="PR46" s="196"/>
      <c r="PS46" s="196"/>
      <c r="PT46" s="196"/>
      <c r="PU46" s="198"/>
      <c r="PV46" s="196"/>
      <c r="PW46" s="196"/>
      <c r="PX46" s="196"/>
      <c r="PY46" s="196"/>
      <c r="PZ46" s="196"/>
      <c r="QA46" s="199"/>
      <c r="QB46" s="196"/>
      <c r="QC46" s="196"/>
      <c r="QD46" s="196"/>
      <c r="QE46" s="196"/>
      <c r="QF46" s="196"/>
      <c r="QG46" s="198"/>
      <c r="QH46" s="196"/>
      <c r="QI46" s="196"/>
      <c r="QJ46" s="196"/>
      <c r="QK46" s="196"/>
      <c r="QL46" s="196"/>
      <c r="QM46" s="199"/>
      <c r="QN46" s="196"/>
      <c r="QO46" s="196"/>
      <c r="QP46" s="196"/>
      <c r="QQ46" s="196"/>
      <c r="QR46" s="196"/>
      <c r="QS46" s="198"/>
      <c r="QT46" s="196"/>
      <c r="QU46" s="196"/>
      <c r="QV46" s="196"/>
      <c r="QW46" s="196"/>
      <c r="QX46" s="196"/>
      <c r="QY46" s="199"/>
      <c r="QZ46" s="196"/>
      <c r="RA46" s="196"/>
      <c r="RB46" s="196"/>
      <c r="RC46" s="196"/>
      <c r="RD46" s="196"/>
      <c r="RE46" s="198"/>
      <c r="RF46" s="196"/>
      <c r="RG46" s="196"/>
      <c r="RH46" s="196"/>
      <c r="RI46" s="196"/>
      <c r="RJ46" s="196"/>
      <c r="RK46" s="199"/>
      <c r="RL46" s="196"/>
      <c r="RM46" s="196"/>
      <c r="RN46" s="196"/>
      <c r="RO46" s="196"/>
      <c r="RP46" s="196"/>
      <c r="RQ46" s="200"/>
      <c r="RR46" s="195"/>
      <c r="RS46" s="196"/>
      <c r="RT46" s="196"/>
      <c r="RU46" s="196"/>
      <c r="RV46" s="196"/>
      <c r="RW46" s="197"/>
      <c r="RX46" s="196"/>
      <c r="RY46" s="196"/>
      <c r="RZ46" s="196"/>
      <c r="SA46" s="196"/>
      <c r="SB46" s="196"/>
      <c r="SC46" s="198"/>
      <c r="SD46" s="196"/>
      <c r="SE46" s="196"/>
      <c r="SF46" s="196"/>
      <c r="SG46" s="196"/>
      <c r="SH46" s="196"/>
      <c r="SI46" s="199"/>
      <c r="SJ46" s="196"/>
      <c r="SK46" s="196"/>
      <c r="SL46" s="196"/>
      <c r="SM46" s="196"/>
      <c r="SN46" s="196"/>
      <c r="SO46" s="198"/>
      <c r="SP46" s="196"/>
      <c r="SQ46" s="196"/>
      <c r="SR46" s="196"/>
      <c r="SS46" s="196"/>
      <c r="ST46" s="196"/>
      <c r="SU46" s="199"/>
      <c r="SV46" s="196"/>
      <c r="SW46" s="196"/>
      <c r="SX46" s="196"/>
      <c r="SY46" s="196"/>
      <c r="SZ46" s="196"/>
      <c r="TA46" s="198"/>
      <c r="TB46" s="196"/>
      <c r="TC46" s="196"/>
      <c r="TD46" s="196"/>
      <c r="TE46" s="196"/>
      <c r="TF46" s="196"/>
      <c r="TG46" s="199"/>
      <c r="TH46" s="196"/>
      <c r="TI46" s="196"/>
      <c r="TJ46" s="196"/>
      <c r="TK46" s="196"/>
      <c r="TL46" s="196"/>
      <c r="TM46" s="198"/>
      <c r="TN46" s="196"/>
      <c r="TO46" s="196"/>
      <c r="TP46" s="196"/>
      <c r="TQ46" s="196"/>
      <c r="TR46" s="196"/>
      <c r="TS46" s="199"/>
      <c r="TT46" s="196"/>
      <c r="TU46" s="196"/>
      <c r="TV46" s="196"/>
      <c r="TW46" s="196"/>
      <c r="TX46" s="196"/>
      <c r="TY46" s="200"/>
      <c r="TZ46" s="195"/>
      <c r="UA46" s="196"/>
      <c r="UB46" s="196"/>
      <c r="UC46" s="196"/>
      <c r="UD46" s="196"/>
      <c r="UE46" s="197"/>
      <c r="UF46" s="196"/>
      <c r="UG46" s="196"/>
      <c r="UH46" s="196"/>
      <c r="UI46" s="196"/>
      <c r="UJ46" s="196"/>
      <c r="UK46" s="198"/>
      <c r="UL46" s="196"/>
      <c r="UM46" s="196"/>
      <c r="UN46" s="196"/>
      <c r="UO46" s="196"/>
      <c r="UP46" s="196"/>
      <c r="UQ46" s="199"/>
      <c r="UR46" s="196"/>
      <c r="US46" s="196"/>
      <c r="UT46" s="196"/>
      <c r="UU46" s="196"/>
      <c r="UV46" s="196"/>
      <c r="UW46" s="198"/>
      <c r="UX46" s="196"/>
      <c r="UY46" s="196"/>
      <c r="UZ46" s="196"/>
      <c r="VA46" s="196"/>
      <c r="VB46" s="196"/>
      <c r="VC46" s="199"/>
      <c r="VD46" s="196"/>
      <c r="VE46" s="196"/>
      <c r="VF46" s="196"/>
      <c r="VG46" s="196"/>
      <c r="VH46" s="196"/>
      <c r="VI46" s="198"/>
      <c r="VJ46" s="196"/>
      <c r="VK46" s="196"/>
      <c r="VL46" s="196"/>
      <c r="VM46" s="196"/>
      <c r="VN46" s="196"/>
      <c r="VO46" s="199"/>
      <c r="VP46" s="196"/>
      <c r="VQ46" s="196"/>
      <c r="VR46" s="196"/>
      <c r="VS46" s="196"/>
      <c r="VT46" s="196"/>
      <c r="VU46" s="198"/>
      <c r="VV46" s="196"/>
      <c r="VW46" s="196"/>
      <c r="VX46" s="196"/>
      <c r="VY46" s="196"/>
      <c r="VZ46" s="196"/>
      <c r="WA46" s="199"/>
      <c r="WB46" s="196"/>
      <c r="WC46" s="196"/>
      <c r="WD46" s="196"/>
      <c r="WE46" s="196"/>
      <c r="WF46" s="196"/>
      <c r="WG46" s="200"/>
      <c r="WH46" s="195"/>
      <c r="WI46" s="196"/>
      <c r="WJ46" s="196"/>
      <c r="WK46" s="196"/>
      <c r="WL46" s="196"/>
      <c r="WM46" s="197"/>
      <c r="WN46" s="196"/>
      <c r="WO46" s="196"/>
      <c r="WP46" s="196"/>
      <c r="WQ46" s="196"/>
      <c r="WR46" s="196"/>
      <c r="WS46" s="198"/>
      <c r="WT46" s="196"/>
      <c r="WU46" s="196"/>
      <c r="WV46" s="196"/>
      <c r="WW46" s="196"/>
      <c r="WX46" s="196"/>
      <c r="WY46" s="199"/>
      <c r="WZ46" s="196"/>
      <c r="XA46" s="196"/>
      <c r="XB46" s="196"/>
      <c r="XC46" s="196"/>
      <c r="XD46" s="196"/>
      <c r="XE46" s="198"/>
      <c r="XF46" s="196"/>
      <c r="XG46" s="196"/>
      <c r="XH46" s="196"/>
      <c r="XI46" s="196"/>
      <c r="XJ46" s="196"/>
      <c r="XK46" s="199"/>
      <c r="XL46" s="196"/>
      <c r="XM46" s="196"/>
      <c r="XN46" s="196"/>
      <c r="XO46" s="196"/>
      <c r="XP46" s="196"/>
      <c r="XQ46" s="198"/>
      <c r="XR46" s="196"/>
      <c r="XS46" s="196"/>
      <c r="XT46" s="196"/>
      <c r="XU46" s="196"/>
      <c r="XV46" s="196"/>
      <c r="XW46" s="199"/>
      <c r="XX46" s="196"/>
      <c r="XY46" s="196"/>
      <c r="XZ46" s="196"/>
      <c r="YA46" s="196"/>
      <c r="YB46" s="196"/>
      <c r="YC46" s="198"/>
      <c r="YD46" s="196"/>
      <c r="YE46" s="196"/>
      <c r="YF46" s="196"/>
      <c r="YG46" s="196"/>
      <c r="YH46" s="196"/>
      <c r="YI46" s="199"/>
      <c r="YJ46" s="196"/>
      <c r="YK46" s="196"/>
      <c r="YL46" s="196"/>
      <c r="YM46" s="196"/>
      <c r="YN46" s="196"/>
      <c r="YO46" s="200"/>
      <c r="YP46" s="195"/>
      <c r="YQ46" s="196"/>
      <c r="YR46" s="196"/>
      <c r="YS46" s="196"/>
      <c r="YT46" s="196"/>
      <c r="YU46" s="197"/>
      <c r="YV46" s="196"/>
      <c r="YW46" s="196"/>
      <c r="YX46" s="196"/>
      <c r="YY46" s="196"/>
      <c r="YZ46" s="196"/>
      <c r="ZA46" s="198"/>
      <c r="ZB46" s="196"/>
      <c r="ZC46" s="196"/>
      <c r="ZD46" s="196"/>
      <c r="ZE46" s="196"/>
      <c r="ZF46" s="196"/>
      <c r="ZG46" s="199"/>
      <c r="ZH46" s="196"/>
      <c r="ZI46" s="196"/>
      <c r="ZJ46" s="196"/>
      <c r="ZK46" s="196"/>
      <c r="ZL46" s="196"/>
      <c r="ZM46" s="198"/>
      <c r="ZN46" s="196"/>
      <c r="ZO46" s="196"/>
      <c r="ZP46" s="196"/>
      <c r="ZQ46" s="196"/>
      <c r="ZR46" s="196"/>
      <c r="ZS46" s="199"/>
      <c r="ZT46" s="196"/>
      <c r="ZU46" s="196"/>
      <c r="ZV46" s="196"/>
      <c r="ZW46" s="196"/>
      <c r="ZX46" s="196"/>
      <c r="ZY46" s="198"/>
      <c r="ZZ46" s="196"/>
      <c r="AAA46" s="196"/>
      <c r="AAB46" s="196"/>
      <c r="AAC46" s="196"/>
      <c r="AAD46" s="196"/>
      <c r="AAE46" s="199"/>
      <c r="AAF46" s="196"/>
      <c r="AAG46" s="196"/>
      <c r="AAH46" s="196"/>
      <c r="AAI46" s="196"/>
      <c r="AAJ46" s="196"/>
      <c r="AAK46" s="198"/>
      <c r="AAL46" s="196"/>
      <c r="AAM46" s="196"/>
      <c r="AAN46" s="196"/>
      <c r="AAO46" s="196"/>
      <c r="AAP46" s="196"/>
      <c r="AAQ46" s="199"/>
      <c r="AAR46" s="196"/>
      <c r="AAS46" s="196"/>
      <c r="AAT46" s="196"/>
      <c r="AAU46" s="196"/>
      <c r="AAV46" s="196"/>
      <c r="AAW46" s="200"/>
      <c r="AAX46" s="195"/>
      <c r="AAY46" s="196"/>
      <c r="AAZ46" s="196"/>
      <c r="ABA46" s="196"/>
      <c r="ABB46" s="196"/>
      <c r="ABC46" s="197"/>
      <c r="ABD46" s="196"/>
      <c r="ABE46" s="196"/>
      <c r="ABF46" s="196"/>
      <c r="ABG46" s="196"/>
      <c r="ABH46" s="196"/>
      <c r="ABI46" s="198"/>
      <c r="ABJ46" s="196"/>
      <c r="ABK46" s="196"/>
      <c r="ABL46" s="196"/>
      <c r="ABM46" s="196"/>
      <c r="ABN46" s="196"/>
      <c r="ABO46" s="199"/>
      <c r="ABP46" s="196"/>
      <c r="ABQ46" s="196"/>
      <c r="ABR46" s="196"/>
      <c r="ABS46" s="196"/>
      <c r="ABT46" s="196"/>
      <c r="ABU46" s="198"/>
      <c r="ABV46" s="196"/>
      <c r="ABW46" s="196"/>
      <c r="ABX46" s="196"/>
      <c r="ABY46" s="196"/>
      <c r="ABZ46" s="196"/>
      <c r="ACA46" s="199"/>
      <c r="ACB46" s="196"/>
      <c r="ACC46" s="196"/>
      <c r="ACD46" s="196"/>
      <c r="ACE46" s="196"/>
      <c r="ACF46" s="196"/>
      <c r="ACG46" s="198"/>
      <c r="ACH46" s="196"/>
      <c r="ACI46" s="196"/>
      <c r="ACJ46" s="196"/>
      <c r="ACK46" s="196"/>
      <c r="ACL46" s="196"/>
      <c r="ACM46" s="199"/>
      <c r="ACN46" s="196"/>
      <c r="ACO46" s="196"/>
      <c r="ACP46" s="196"/>
      <c r="ACQ46" s="196"/>
      <c r="ACR46" s="196"/>
      <c r="ACS46" s="198"/>
      <c r="ACT46" s="196"/>
      <c r="ACU46" s="196"/>
      <c r="ACV46" s="196"/>
      <c r="ACW46" s="196"/>
      <c r="ACX46" s="196"/>
      <c r="ACY46" s="199"/>
      <c r="ACZ46" s="196"/>
      <c r="ADA46" s="196"/>
      <c r="ADB46" s="196"/>
      <c r="ADC46" s="196"/>
      <c r="ADD46" s="196"/>
      <c r="ADE46" s="200"/>
      <c r="ADF46" s="195"/>
      <c r="ADG46" s="196"/>
      <c r="ADH46" s="196"/>
      <c r="ADI46" s="196"/>
      <c r="ADJ46" s="196"/>
      <c r="ADK46" s="197"/>
      <c r="ADL46" s="196"/>
      <c r="ADM46" s="196"/>
      <c r="ADN46" s="196"/>
      <c r="ADO46" s="196"/>
      <c r="ADP46" s="196"/>
      <c r="ADQ46" s="198"/>
      <c r="ADR46" s="196"/>
      <c r="ADS46" s="196"/>
      <c r="ADT46" s="196"/>
      <c r="ADU46" s="196"/>
      <c r="ADV46" s="196"/>
      <c r="ADW46" s="199"/>
      <c r="ADX46" s="196"/>
      <c r="ADY46" s="196"/>
      <c r="ADZ46" s="196"/>
      <c r="AEA46" s="196"/>
      <c r="AEB46" s="196"/>
      <c r="AEC46" s="198"/>
      <c r="AED46" s="196"/>
      <c r="AEE46" s="196"/>
      <c r="AEF46" s="196"/>
      <c r="AEG46" s="196"/>
      <c r="AEH46" s="196"/>
      <c r="AEI46" s="199"/>
      <c r="AEJ46" s="196"/>
      <c r="AEK46" s="196"/>
      <c r="AEL46" s="196"/>
      <c r="AEM46" s="196"/>
      <c r="AEN46" s="196"/>
      <c r="AEO46" s="198"/>
      <c r="AEP46" s="196"/>
      <c r="AEQ46" s="196"/>
      <c r="AER46" s="196"/>
      <c r="AES46" s="196"/>
      <c r="AET46" s="196"/>
      <c r="AEU46" s="199"/>
      <c r="AEV46" s="196"/>
      <c r="AEW46" s="196"/>
      <c r="AEX46" s="196"/>
      <c r="AEY46" s="196"/>
      <c r="AEZ46" s="196"/>
      <c r="AFA46" s="198"/>
      <c r="AFB46" s="196"/>
      <c r="AFC46" s="196"/>
      <c r="AFD46" s="196"/>
      <c r="AFE46" s="196"/>
      <c r="AFF46" s="196"/>
      <c r="AFG46" s="199"/>
      <c r="AFH46" s="196"/>
      <c r="AFI46" s="196"/>
      <c r="AFJ46" s="196"/>
      <c r="AFK46" s="196"/>
      <c r="AFL46" s="196"/>
      <c r="AFM46" s="200"/>
      <c r="AFN46" s="195"/>
      <c r="AFO46" s="196"/>
      <c r="AFP46" s="196"/>
      <c r="AFQ46" s="196"/>
      <c r="AFR46" s="196"/>
      <c r="AFS46" s="197"/>
      <c r="AFT46" s="196"/>
      <c r="AFU46" s="196"/>
      <c r="AFV46" s="196"/>
      <c r="AFW46" s="196"/>
      <c r="AFX46" s="196"/>
      <c r="AFY46" s="198"/>
      <c r="AFZ46" s="196"/>
      <c r="AGA46" s="196"/>
      <c r="AGB46" s="196"/>
      <c r="AGC46" s="196"/>
      <c r="AGD46" s="196"/>
      <c r="AGE46" s="199"/>
      <c r="AGF46" s="196"/>
      <c r="AGG46" s="196"/>
      <c r="AGH46" s="196"/>
      <c r="AGI46" s="196"/>
      <c r="AGJ46" s="196"/>
      <c r="AGK46" s="198"/>
      <c r="AGL46" s="196"/>
      <c r="AGM46" s="196"/>
      <c r="AGN46" s="196"/>
      <c r="AGO46" s="196"/>
      <c r="AGP46" s="196"/>
      <c r="AGQ46" s="199"/>
      <c r="AGR46" s="196"/>
      <c r="AGS46" s="196"/>
      <c r="AGT46" s="196"/>
      <c r="AGU46" s="196"/>
      <c r="AGV46" s="196"/>
      <c r="AGW46" s="198"/>
      <c r="AGX46" s="196"/>
      <c r="AGY46" s="196"/>
      <c r="AGZ46" s="196"/>
      <c r="AHA46" s="196"/>
      <c r="AHB46" s="196"/>
      <c r="AHC46" s="199"/>
      <c r="AHD46" s="196"/>
      <c r="AHE46" s="196"/>
      <c r="AHF46" s="196"/>
      <c r="AHG46" s="196"/>
      <c r="AHH46" s="196"/>
      <c r="AHI46" s="198"/>
      <c r="AHJ46" s="196"/>
      <c r="AHK46" s="196"/>
      <c r="AHL46" s="196"/>
      <c r="AHM46" s="196"/>
      <c r="AHN46" s="196"/>
      <c r="AHO46" s="199"/>
      <c r="AHP46" s="196"/>
      <c r="AHQ46" s="196"/>
      <c r="AHR46" s="196"/>
      <c r="AHS46" s="196"/>
      <c r="AHT46" s="196"/>
      <c r="AHU46" s="200"/>
      <c r="AHV46" s="195"/>
      <c r="AHW46" s="196"/>
      <c r="AHX46" s="196"/>
      <c r="AHY46" s="196"/>
      <c r="AHZ46" s="196"/>
      <c r="AIA46" s="197"/>
      <c r="AIB46" s="196"/>
      <c r="AIC46" s="196"/>
      <c r="AID46" s="196"/>
      <c r="AIE46" s="196"/>
      <c r="AIF46" s="196"/>
      <c r="AIG46" s="198"/>
      <c r="AIH46" s="196"/>
      <c r="AII46" s="196"/>
      <c r="AIJ46" s="196"/>
      <c r="AIK46" s="196"/>
      <c r="AIL46" s="196"/>
      <c r="AIM46" s="199"/>
      <c r="AIN46" s="196"/>
      <c r="AIO46" s="196"/>
      <c r="AIP46" s="196"/>
      <c r="AIQ46" s="196"/>
      <c r="AIR46" s="196"/>
      <c r="AIS46" s="198"/>
      <c r="AIT46" s="196"/>
      <c r="AIU46" s="196"/>
      <c r="AIV46" s="196"/>
      <c r="AIW46" s="196"/>
      <c r="AIX46" s="196"/>
      <c r="AIY46" s="199"/>
      <c r="AIZ46" s="196"/>
      <c r="AJA46" s="196"/>
      <c r="AJB46" s="196"/>
      <c r="AJC46" s="196"/>
      <c r="AJD46" s="196"/>
      <c r="AJE46" s="198"/>
      <c r="AJF46" s="196"/>
      <c r="AJG46" s="196"/>
      <c r="AJH46" s="196"/>
      <c r="AJI46" s="196"/>
      <c r="AJJ46" s="196"/>
      <c r="AJK46" s="199"/>
      <c r="AJL46" s="196"/>
      <c r="AJM46" s="196"/>
      <c r="AJN46" s="196"/>
      <c r="AJO46" s="196"/>
      <c r="AJP46" s="196"/>
      <c r="AJQ46" s="198"/>
      <c r="AJR46" s="196"/>
      <c r="AJS46" s="196"/>
      <c r="AJT46" s="196"/>
      <c r="AJU46" s="196"/>
      <c r="AJV46" s="196"/>
      <c r="AJW46" s="199"/>
      <c r="AJX46" s="196"/>
      <c r="AJY46" s="196"/>
      <c r="AJZ46" s="196"/>
      <c r="AKA46" s="196"/>
      <c r="AKB46" s="196"/>
      <c r="AKC46" s="200"/>
      <c r="AKD46" s="195"/>
      <c r="AKE46" s="196"/>
      <c r="AKF46" s="196"/>
      <c r="AKG46" s="196"/>
      <c r="AKH46" s="196"/>
      <c r="AKI46" s="197"/>
      <c r="AKJ46" s="196"/>
      <c r="AKK46" s="196"/>
      <c r="AKL46" s="196"/>
      <c r="AKM46" s="196"/>
      <c r="AKN46" s="196"/>
      <c r="AKO46" s="198"/>
      <c r="AKP46" s="196"/>
      <c r="AKQ46" s="196"/>
      <c r="AKR46" s="196"/>
      <c r="AKS46" s="196"/>
      <c r="AKT46" s="196"/>
      <c r="AKU46" s="199"/>
      <c r="AKV46" s="196"/>
      <c r="AKW46" s="196"/>
      <c r="AKX46" s="196"/>
      <c r="AKY46" s="196"/>
      <c r="AKZ46" s="196"/>
      <c r="ALA46" s="198"/>
      <c r="ALB46" s="196"/>
      <c r="ALC46" s="196"/>
      <c r="ALD46" s="196"/>
      <c r="ALE46" s="196"/>
      <c r="ALF46" s="196"/>
      <c r="ALG46" s="199"/>
      <c r="ALH46" s="196"/>
      <c r="ALI46" s="196"/>
      <c r="ALJ46" s="196"/>
      <c r="ALK46" s="196"/>
      <c r="ALL46" s="196"/>
      <c r="ALM46" s="198"/>
      <c r="ALN46" s="196"/>
      <c r="ALO46" s="196"/>
      <c r="ALP46" s="196"/>
      <c r="ALQ46" s="196"/>
      <c r="ALR46" s="196"/>
      <c r="ALS46" s="199"/>
      <c r="ALT46" s="196"/>
      <c r="ALU46" s="196"/>
      <c r="ALV46" s="196"/>
      <c r="ALW46" s="196"/>
      <c r="ALX46" s="196"/>
      <c r="ALY46" s="198"/>
      <c r="ALZ46" s="196"/>
      <c r="AMA46" s="196"/>
      <c r="AMB46" s="196"/>
      <c r="AMC46" s="196"/>
      <c r="AMD46" s="196"/>
      <c r="AME46" s="199"/>
      <c r="AMF46" s="196"/>
      <c r="AMG46" s="196"/>
      <c r="AMH46" s="196"/>
      <c r="AMI46" s="196"/>
      <c r="AMJ46" s="196"/>
      <c r="AMK46" s="200"/>
      <c r="AML46" s="195"/>
      <c r="AMM46" s="196"/>
      <c r="AMN46" s="196"/>
      <c r="AMO46" s="196"/>
      <c r="AMP46" s="196"/>
      <c r="AMQ46" s="197"/>
      <c r="AMR46" s="196"/>
      <c r="AMS46" s="196"/>
      <c r="AMT46" s="196"/>
      <c r="AMU46" s="196"/>
      <c r="AMV46" s="196"/>
      <c r="AMW46" s="198"/>
      <c r="AMX46" s="196"/>
      <c r="AMY46" s="196"/>
      <c r="AMZ46" s="196"/>
      <c r="ANA46" s="196"/>
      <c r="ANB46" s="196"/>
      <c r="ANC46" s="199"/>
      <c r="AND46" s="196"/>
      <c r="ANE46" s="196"/>
      <c r="ANF46" s="196"/>
      <c r="ANG46" s="196"/>
      <c r="ANH46" s="196"/>
      <c r="ANI46" s="198"/>
      <c r="ANJ46" s="196"/>
      <c r="ANK46" s="196"/>
      <c r="ANL46" s="196"/>
      <c r="ANM46" s="196"/>
      <c r="ANN46" s="196"/>
      <c r="ANO46" s="199"/>
      <c r="ANP46" s="196"/>
      <c r="ANQ46" s="196"/>
      <c r="ANR46" s="196"/>
      <c r="ANS46" s="196"/>
      <c r="ANT46" s="196"/>
      <c r="ANU46" s="198"/>
      <c r="ANV46" s="196"/>
      <c r="ANW46" s="196"/>
      <c r="ANX46" s="196"/>
      <c r="ANY46" s="196"/>
      <c r="ANZ46" s="196"/>
      <c r="AOA46" s="199"/>
      <c r="AOB46" s="196"/>
      <c r="AOC46" s="196"/>
      <c r="AOD46" s="196"/>
      <c r="AOE46" s="196"/>
      <c r="AOF46" s="196"/>
      <c r="AOG46" s="198"/>
      <c r="AOH46" s="196"/>
      <c r="AOI46" s="196"/>
      <c r="AOJ46" s="196"/>
      <c r="AOK46" s="196"/>
      <c r="AOL46" s="196"/>
      <c r="AOM46" s="199"/>
      <c r="AON46" s="196"/>
      <c r="AOO46" s="196"/>
      <c r="AOP46" s="196"/>
      <c r="AOQ46" s="196"/>
      <c r="AOR46" s="196"/>
      <c r="AOS46" s="200"/>
      <c r="AOT46" s="195"/>
      <c r="AOU46" s="196"/>
      <c r="AOV46" s="196"/>
      <c r="AOW46" s="196"/>
      <c r="AOX46" s="196"/>
      <c r="AOY46" s="197"/>
      <c r="AOZ46" s="196"/>
      <c r="APA46" s="196"/>
      <c r="APB46" s="196"/>
      <c r="APC46" s="196"/>
      <c r="APD46" s="196"/>
      <c r="APE46" s="198"/>
      <c r="APF46" s="196"/>
      <c r="APG46" s="196"/>
      <c r="APH46" s="196"/>
      <c r="API46" s="196"/>
      <c r="APJ46" s="196"/>
      <c r="APK46" s="199"/>
      <c r="APL46" s="196"/>
      <c r="APM46" s="196"/>
      <c r="APN46" s="196"/>
      <c r="APO46" s="196"/>
      <c r="APP46" s="196"/>
      <c r="APQ46" s="198"/>
      <c r="APR46" s="196"/>
      <c r="APS46" s="196"/>
      <c r="APT46" s="196"/>
      <c r="APU46" s="196"/>
      <c r="APV46" s="196"/>
      <c r="APW46" s="199"/>
      <c r="APX46" s="196"/>
      <c r="APY46" s="196"/>
      <c r="APZ46" s="196"/>
      <c r="AQA46" s="196"/>
      <c r="AQB46" s="196"/>
      <c r="AQC46" s="198"/>
      <c r="AQD46" s="196"/>
      <c r="AQE46" s="196"/>
      <c r="AQF46" s="196"/>
      <c r="AQG46" s="196"/>
      <c r="AQH46" s="196"/>
      <c r="AQI46" s="199"/>
      <c r="AQJ46" s="196"/>
      <c r="AQK46" s="196"/>
      <c r="AQL46" s="196"/>
      <c r="AQM46" s="196"/>
      <c r="AQN46" s="196"/>
      <c r="AQO46" s="198"/>
      <c r="AQP46" s="196"/>
      <c r="AQQ46" s="196"/>
      <c r="AQR46" s="196"/>
      <c r="AQS46" s="196"/>
      <c r="AQT46" s="196"/>
      <c r="AQU46" s="199"/>
      <c r="AQV46" s="196"/>
      <c r="AQW46" s="196"/>
      <c r="AQX46" s="196"/>
      <c r="AQY46" s="196"/>
      <c r="AQZ46" s="196"/>
      <c r="ARA46" s="200"/>
      <c r="ARB46" s="195"/>
      <c r="ARC46" s="196"/>
      <c r="ARD46" s="196"/>
      <c r="ARE46" s="196"/>
      <c r="ARF46" s="196"/>
      <c r="ARG46" s="197"/>
      <c r="ARH46" s="196"/>
      <c r="ARI46" s="196"/>
      <c r="ARJ46" s="196"/>
      <c r="ARK46" s="196"/>
      <c r="ARL46" s="196"/>
      <c r="ARM46" s="198"/>
      <c r="ARN46" s="196"/>
      <c r="ARO46" s="196"/>
      <c r="ARP46" s="196"/>
      <c r="ARQ46" s="196"/>
      <c r="ARR46" s="196"/>
      <c r="ARS46" s="199"/>
      <c r="ART46" s="196"/>
      <c r="ARU46" s="196"/>
      <c r="ARV46" s="196"/>
      <c r="ARW46" s="196"/>
      <c r="ARX46" s="196"/>
      <c r="ARY46" s="198"/>
      <c r="ARZ46" s="196"/>
      <c r="ASA46" s="196"/>
      <c r="ASB46" s="196"/>
      <c r="ASC46" s="196"/>
      <c r="ASD46" s="196"/>
      <c r="ASE46" s="199"/>
      <c r="ASF46" s="196"/>
      <c r="ASG46" s="196"/>
      <c r="ASH46" s="196"/>
      <c r="ASI46" s="196"/>
      <c r="ASJ46" s="196"/>
      <c r="ASK46" s="198"/>
      <c r="ASL46" s="196"/>
      <c r="ASM46" s="196"/>
      <c r="ASN46" s="196"/>
      <c r="ASO46" s="196"/>
      <c r="ASP46" s="196"/>
      <c r="ASQ46" s="199"/>
      <c r="ASR46" s="196"/>
      <c r="ASS46" s="196"/>
      <c r="AST46" s="196"/>
      <c r="ASU46" s="196"/>
      <c r="ASV46" s="196"/>
      <c r="ASW46" s="198"/>
      <c r="ASX46" s="196"/>
      <c r="ASY46" s="196"/>
      <c r="ASZ46" s="196"/>
      <c r="ATA46" s="196"/>
      <c r="ATB46" s="196"/>
      <c r="ATC46" s="199"/>
      <c r="ATD46" s="196"/>
      <c r="ATE46" s="196"/>
      <c r="ATF46" s="196"/>
      <c r="ATG46" s="196"/>
      <c r="ATH46" s="196"/>
      <c r="ATI46" s="200"/>
      <c r="ATJ46" s="195"/>
      <c r="ATK46" s="196"/>
      <c r="ATL46" s="196"/>
      <c r="ATM46" s="196"/>
      <c r="ATN46" s="196"/>
      <c r="ATO46" s="197"/>
      <c r="ATP46" s="196"/>
      <c r="ATQ46" s="196"/>
      <c r="ATR46" s="196"/>
      <c r="ATS46" s="196"/>
      <c r="ATT46" s="196"/>
      <c r="ATU46" s="198"/>
      <c r="ATV46" s="196"/>
      <c r="ATW46" s="196"/>
      <c r="ATX46" s="196"/>
      <c r="ATY46" s="196"/>
      <c r="ATZ46" s="196"/>
      <c r="AUA46" s="199"/>
      <c r="AUB46" s="196"/>
      <c r="AUC46" s="196"/>
      <c r="AUD46" s="196"/>
      <c r="AUE46" s="196"/>
      <c r="AUF46" s="196"/>
      <c r="AUG46" s="198"/>
      <c r="AUH46" s="196"/>
      <c r="AUI46" s="196"/>
      <c r="AUJ46" s="196"/>
      <c r="AUK46" s="196"/>
      <c r="AUL46" s="196"/>
      <c r="AUM46" s="199"/>
      <c r="AUN46" s="196"/>
      <c r="AUO46" s="196"/>
      <c r="AUP46" s="196"/>
      <c r="AUQ46" s="196"/>
      <c r="AUR46" s="196"/>
      <c r="AUS46" s="198"/>
      <c r="AUT46" s="196"/>
      <c r="AUU46" s="196"/>
      <c r="AUV46" s="196"/>
      <c r="AUW46" s="196"/>
      <c r="AUX46" s="196"/>
      <c r="AUY46" s="199"/>
      <c r="AUZ46" s="196"/>
      <c r="AVA46" s="196"/>
      <c r="AVB46" s="196"/>
      <c r="AVC46" s="196"/>
      <c r="AVD46" s="196"/>
      <c r="AVE46" s="198"/>
      <c r="AVF46" s="196"/>
      <c r="AVG46" s="196"/>
      <c r="AVH46" s="196"/>
      <c r="AVI46" s="196"/>
      <c r="AVJ46" s="196"/>
      <c r="AVK46" s="199"/>
      <c r="AVL46" s="196"/>
      <c r="AVM46" s="196"/>
      <c r="AVN46" s="196"/>
      <c r="AVO46" s="196"/>
      <c r="AVP46" s="196"/>
      <c r="AVQ46" s="200"/>
      <c r="AVR46" s="195"/>
      <c r="AVS46" s="196"/>
      <c r="AVT46" s="196"/>
      <c r="AVU46" s="196"/>
      <c r="AVV46" s="196"/>
      <c r="AVW46" s="197"/>
      <c r="AVX46" s="196"/>
      <c r="AVY46" s="196"/>
      <c r="AVZ46" s="196"/>
      <c r="AWA46" s="196"/>
      <c r="AWB46" s="196"/>
      <c r="AWC46" s="198"/>
      <c r="AWD46" s="196"/>
      <c r="AWE46" s="196"/>
      <c r="AWF46" s="196"/>
      <c r="AWG46" s="196"/>
      <c r="AWH46" s="196"/>
      <c r="AWI46" s="199"/>
      <c r="AWJ46" s="196"/>
      <c r="AWK46" s="196"/>
      <c r="AWL46" s="196"/>
      <c r="AWM46" s="196"/>
      <c r="AWN46" s="196"/>
      <c r="AWO46" s="198"/>
      <c r="AWP46" s="196"/>
      <c r="AWQ46" s="196"/>
      <c r="AWR46" s="196"/>
      <c r="AWS46" s="196"/>
      <c r="AWT46" s="196"/>
      <c r="AWU46" s="199"/>
      <c r="AWV46" s="196"/>
      <c r="AWW46" s="196"/>
      <c r="AWX46" s="196"/>
      <c r="AWY46" s="196"/>
      <c r="AWZ46" s="196"/>
      <c r="AXA46" s="198"/>
      <c r="AXB46" s="196"/>
      <c r="AXC46" s="196"/>
      <c r="AXD46" s="196"/>
      <c r="AXE46" s="196"/>
      <c r="AXF46" s="196"/>
      <c r="AXG46" s="199"/>
      <c r="AXH46" s="196"/>
      <c r="AXI46" s="196"/>
      <c r="AXJ46" s="196"/>
      <c r="AXK46" s="196"/>
      <c r="AXL46" s="196"/>
      <c r="AXM46" s="198"/>
      <c r="AXN46" s="196"/>
      <c r="AXO46" s="196"/>
      <c r="AXP46" s="196"/>
      <c r="AXQ46" s="196"/>
      <c r="AXR46" s="196"/>
      <c r="AXS46" s="199"/>
      <c r="AXT46" s="196"/>
      <c r="AXU46" s="196"/>
      <c r="AXV46" s="196"/>
      <c r="AXW46" s="196"/>
      <c r="AXX46" s="196"/>
      <c r="AXY46" s="200"/>
      <c r="AXZ46" s="195"/>
      <c r="AYA46" s="196"/>
      <c r="AYB46" s="196"/>
      <c r="AYC46" s="196"/>
      <c r="AYD46" s="196"/>
      <c r="AYE46" s="197"/>
      <c r="AYF46" s="196"/>
      <c r="AYG46" s="196"/>
      <c r="AYH46" s="196"/>
      <c r="AYI46" s="196"/>
      <c r="AYJ46" s="196"/>
      <c r="AYK46" s="198"/>
      <c r="AYL46" s="196"/>
      <c r="AYM46" s="196"/>
      <c r="AYN46" s="196"/>
      <c r="AYO46" s="196"/>
      <c r="AYP46" s="196"/>
      <c r="AYQ46" s="199"/>
      <c r="AYR46" s="196"/>
      <c r="AYS46" s="196"/>
      <c r="AYT46" s="196"/>
      <c r="AYU46" s="196"/>
      <c r="AYV46" s="196"/>
      <c r="AYW46" s="198"/>
      <c r="AYX46" s="196"/>
      <c r="AYY46" s="196"/>
      <c r="AYZ46" s="196"/>
      <c r="AZA46" s="196"/>
      <c r="AZB46" s="196"/>
      <c r="AZC46" s="199"/>
      <c r="AZD46" s="196"/>
      <c r="AZE46" s="196"/>
      <c r="AZF46" s="196"/>
      <c r="AZG46" s="196"/>
      <c r="AZH46" s="196"/>
      <c r="AZI46" s="198"/>
      <c r="AZJ46" s="196"/>
      <c r="AZK46" s="196"/>
      <c r="AZL46" s="196"/>
      <c r="AZM46" s="196"/>
      <c r="AZN46" s="196"/>
      <c r="AZO46" s="199"/>
      <c r="AZP46" s="196"/>
      <c r="AZQ46" s="196"/>
      <c r="AZR46" s="196"/>
      <c r="AZS46" s="196"/>
      <c r="AZT46" s="196"/>
      <c r="AZU46" s="198"/>
      <c r="AZV46" s="196"/>
      <c r="AZW46" s="196"/>
      <c r="AZX46" s="196"/>
      <c r="AZY46" s="196"/>
      <c r="AZZ46" s="196"/>
      <c r="BAA46" s="199"/>
      <c r="BAB46" s="196"/>
      <c r="BAC46" s="196"/>
      <c r="BAD46" s="196"/>
      <c r="BAE46" s="196"/>
      <c r="BAF46" s="196"/>
      <c r="BAG46" s="200"/>
      <c r="BAH46" s="195"/>
      <c r="BAI46" s="196"/>
      <c r="BAJ46" s="196"/>
      <c r="BAK46" s="196"/>
      <c r="BAL46" s="196"/>
      <c r="BAM46" s="197"/>
      <c r="BAN46" s="196"/>
      <c r="BAO46" s="196"/>
      <c r="BAP46" s="196"/>
      <c r="BAQ46" s="196"/>
      <c r="BAR46" s="196"/>
      <c r="BAS46" s="198"/>
      <c r="BAT46" s="196"/>
      <c r="BAU46" s="196"/>
      <c r="BAV46" s="196"/>
      <c r="BAW46" s="196"/>
      <c r="BAX46" s="196"/>
      <c r="BAY46" s="199"/>
      <c r="BAZ46" s="196"/>
      <c r="BBA46" s="196"/>
      <c r="BBB46" s="196"/>
      <c r="BBC46" s="196"/>
      <c r="BBD46" s="196"/>
      <c r="BBE46" s="198"/>
      <c r="BBF46" s="196"/>
      <c r="BBG46" s="196"/>
      <c r="BBH46" s="196"/>
      <c r="BBI46" s="196"/>
      <c r="BBJ46" s="196"/>
      <c r="BBK46" s="199"/>
      <c r="BBL46" s="196"/>
      <c r="BBM46" s="196"/>
      <c r="BBN46" s="196"/>
      <c r="BBO46" s="196"/>
      <c r="BBP46" s="196"/>
      <c r="BBQ46" s="198"/>
      <c r="BBR46" s="196"/>
      <c r="BBS46" s="196"/>
      <c r="BBT46" s="196"/>
      <c r="BBU46" s="196"/>
      <c r="BBV46" s="196"/>
      <c r="BBW46" s="199"/>
      <c r="BBX46" s="196"/>
      <c r="BBY46" s="196"/>
      <c r="BBZ46" s="196"/>
      <c r="BCA46" s="196"/>
      <c r="BCB46" s="196"/>
      <c r="BCC46" s="198"/>
      <c r="BCD46" s="196"/>
      <c r="BCE46" s="196"/>
      <c r="BCF46" s="196"/>
      <c r="BCG46" s="196"/>
      <c r="BCH46" s="196"/>
      <c r="BCI46" s="199"/>
      <c r="BCJ46" s="196"/>
      <c r="BCK46" s="196"/>
      <c r="BCL46" s="196"/>
      <c r="BCM46" s="196"/>
      <c r="BCN46" s="196"/>
      <c r="BCO46" s="200"/>
      <c r="BCP46" s="195"/>
      <c r="BCQ46" s="196"/>
      <c r="BCR46" s="196"/>
      <c r="BCS46" s="196"/>
      <c r="BCT46" s="196"/>
      <c r="BCU46" s="197"/>
      <c r="BCV46" s="196"/>
      <c r="BCW46" s="196"/>
      <c r="BCX46" s="196"/>
      <c r="BCY46" s="196"/>
      <c r="BCZ46" s="196"/>
      <c r="BDA46" s="198"/>
      <c r="BDB46" s="196"/>
      <c r="BDC46" s="196"/>
      <c r="BDD46" s="196"/>
      <c r="BDE46" s="196"/>
      <c r="BDF46" s="196"/>
      <c r="BDG46" s="199"/>
      <c r="BDH46" s="196"/>
      <c r="BDI46" s="196"/>
      <c r="BDJ46" s="196"/>
      <c r="BDK46" s="196"/>
      <c r="BDL46" s="196"/>
      <c r="BDM46" s="198"/>
      <c r="BDN46" s="196"/>
      <c r="BDO46" s="196"/>
      <c r="BDP46" s="196"/>
      <c r="BDQ46" s="196"/>
      <c r="BDR46" s="196"/>
      <c r="BDS46" s="199"/>
      <c r="BDT46" s="196"/>
      <c r="BDU46" s="196"/>
      <c r="BDV46" s="196"/>
      <c r="BDW46" s="196"/>
      <c r="BDX46" s="196"/>
      <c r="BDY46" s="198"/>
      <c r="BDZ46" s="196"/>
      <c r="BEA46" s="196"/>
      <c r="BEB46" s="196"/>
      <c r="BEC46" s="196"/>
      <c r="BED46" s="196"/>
      <c r="BEE46" s="199"/>
      <c r="BEF46" s="196"/>
      <c r="BEG46" s="196"/>
      <c r="BEH46" s="196"/>
      <c r="BEI46" s="196"/>
      <c r="BEJ46" s="196"/>
      <c r="BEK46" s="198"/>
      <c r="BEL46" s="196"/>
      <c r="BEM46" s="196"/>
      <c r="BEN46" s="196"/>
      <c r="BEO46" s="196"/>
      <c r="BEP46" s="196"/>
      <c r="BEQ46" s="199"/>
      <c r="BER46" s="196"/>
      <c r="BES46" s="196"/>
      <c r="BET46" s="196"/>
      <c r="BEU46" s="196"/>
      <c r="BEV46" s="196"/>
      <c r="BEW46" s="200"/>
      <c r="BEX46" s="195"/>
      <c r="BEY46" s="196"/>
      <c r="BEZ46" s="196"/>
      <c r="BFA46" s="196"/>
      <c r="BFB46" s="196"/>
      <c r="BFC46" s="197"/>
      <c r="BFD46" s="196"/>
      <c r="BFE46" s="196"/>
      <c r="BFF46" s="196"/>
      <c r="BFG46" s="196"/>
      <c r="BFH46" s="196"/>
      <c r="BFI46" s="198"/>
      <c r="BFJ46" s="196"/>
      <c r="BFK46" s="196"/>
      <c r="BFL46" s="196"/>
      <c r="BFM46" s="196"/>
      <c r="BFN46" s="196"/>
      <c r="BFO46" s="199"/>
      <c r="BFP46" s="196"/>
      <c r="BFQ46" s="196"/>
      <c r="BFR46" s="196"/>
      <c r="BFS46" s="196"/>
      <c r="BFT46" s="196"/>
      <c r="BFU46" s="198"/>
      <c r="BFV46" s="196"/>
      <c r="BFW46" s="196"/>
      <c r="BFX46" s="196"/>
      <c r="BFY46" s="196"/>
      <c r="BFZ46" s="196"/>
      <c r="BGA46" s="199"/>
      <c r="BGB46" s="196"/>
      <c r="BGC46" s="196"/>
      <c r="BGD46" s="196"/>
      <c r="BGE46" s="196"/>
      <c r="BGF46" s="196"/>
      <c r="BGG46" s="198"/>
      <c r="BGH46" s="196"/>
      <c r="BGI46" s="196"/>
      <c r="BGJ46" s="196"/>
      <c r="BGK46" s="196"/>
      <c r="BGL46" s="196"/>
      <c r="BGM46" s="199"/>
      <c r="BGN46" s="196"/>
      <c r="BGO46" s="196"/>
      <c r="BGP46" s="196"/>
      <c r="BGQ46" s="196"/>
      <c r="BGR46" s="196"/>
      <c r="BGS46" s="198"/>
      <c r="BGT46" s="196"/>
      <c r="BGU46" s="196"/>
      <c r="BGV46" s="196"/>
      <c r="BGW46" s="196"/>
      <c r="BGX46" s="196"/>
      <c r="BGY46" s="199"/>
      <c r="BGZ46" s="196"/>
      <c r="BHA46" s="196"/>
      <c r="BHB46" s="196"/>
      <c r="BHC46" s="196"/>
      <c r="BHD46" s="196"/>
      <c r="BHE46" s="200"/>
      <c r="BHF46" s="187"/>
      <c r="BHG46" s="188"/>
      <c r="BHH46" s="188"/>
      <c r="BHI46" s="188"/>
      <c r="BHJ46" s="188"/>
      <c r="BHK46" s="188"/>
      <c r="BHL46" s="188"/>
      <c r="BHM46" s="188"/>
      <c r="BHN46" s="188"/>
      <c r="BHO46" s="188"/>
      <c r="BHP46" s="188"/>
      <c r="BHQ46" s="188"/>
      <c r="BHR46" s="188"/>
      <c r="BHS46" s="188"/>
      <c r="BHT46" s="188"/>
      <c r="BHU46" s="188"/>
      <c r="BHV46" s="188"/>
      <c r="BHW46" s="188"/>
      <c r="BHX46" s="188"/>
      <c r="BHY46" s="188"/>
      <c r="BHZ46" s="188"/>
      <c r="BIA46" s="188"/>
      <c r="BIB46" s="188"/>
      <c r="BIC46" s="188"/>
      <c r="BID46" s="188"/>
      <c r="BIE46" s="188"/>
      <c r="BIF46" s="188"/>
      <c r="BIG46" s="188"/>
      <c r="BIH46" s="188"/>
      <c r="BII46" s="188"/>
      <c r="BIJ46" s="188"/>
      <c r="BIK46" s="188"/>
      <c r="BIL46" s="188"/>
      <c r="BIM46" s="188"/>
      <c r="BIN46" s="188"/>
      <c r="BIO46" s="188"/>
      <c r="BIP46" s="188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230" t="s">
        <v>77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71"/>
      <c r="ARC47" s="172"/>
      <c r="ARD47" s="172"/>
      <c r="ARE47" s="172"/>
      <c r="ARF47" s="172"/>
      <c r="ARG47" s="173"/>
      <c r="ARH47" s="172"/>
      <c r="ARI47" s="172"/>
      <c r="ARJ47" s="172"/>
      <c r="ARK47" s="172"/>
      <c r="ARL47" s="172"/>
      <c r="ARM47" s="174"/>
      <c r="ARN47" s="172"/>
      <c r="ARO47" s="172"/>
      <c r="ARP47" s="172"/>
      <c r="ARQ47" s="172"/>
      <c r="ARR47" s="172"/>
      <c r="ARS47" s="175"/>
      <c r="ART47" s="172"/>
      <c r="ARU47" s="172"/>
      <c r="ARV47" s="172"/>
      <c r="ARW47" s="172"/>
      <c r="ARX47" s="172"/>
      <c r="ARY47" s="174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72"/>
      <c r="ATM47" s="172"/>
      <c r="ATN47" s="172"/>
      <c r="ATO47" s="173"/>
      <c r="ATP47" s="172"/>
      <c r="ATQ47" s="172"/>
      <c r="ATR47" s="172"/>
      <c r="ATS47" s="172"/>
      <c r="ATT47" s="172"/>
      <c r="ATU47" s="174"/>
      <c r="ATV47" s="172"/>
      <c r="ATW47" s="172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87"/>
      <c r="BHG47" s="188"/>
      <c r="BHH47" s="188"/>
      <c r="BHI47" s="188"/>
      <c r="BHJ47" s="188"/>
      <c r="BHK47" s="188"/>
      <c r="BHL47" s="188"/>
      <c r="BHM47" s="188"/>
      <c r="BHN47" s="188"/>
      <c r="BHO47" s="188"/>
      <c r="BHP47" s="188"/>
      <c r="BHQ47" s="188"/>
      <c r="BHR47" s="188"/>
      <c r="BHS47" s="188"/>
      <c r="BHT47" s="188"/>
      <c r="BHU47" s="188"/>
      <c r="BHV47" s="188"/>
      <c r="BHW47" s="188"/>
      <c r="BHX47" s="188"/>
      <c r="BHY47" s="188"/>
      <c r="BHZ47" s="188"/>
      <c r="BIA47" s="188"/>
      <c r="BIB47" s="188"/>
      <c r="BIC47" s="188"/>
      <c r="BID47" s="188"/>
      <c r="BIE47" s="188"/>
      <c r="BIF47" s="188"/>
      <c r="BIG47" s="188"/>
      <c r="BIH47" s="188"/>
      <c r="BII47" s="188"/>
      <c r="BIJ47" s="188"/>
      <c r="BIK47" s="188"/>
      <c r="BIL47" s="188"/>
      <c r="BIM47" s="188"/>
      <c r="BIN47" s="188"/>
      <c r="BIO47" s="188"/>
      <c r="BIP47" s="188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236"/>
      <c r="D48" s="121" t="str">
        <f t="shared" si="0"/>
        <v/>
      </c>
      <c r="E48" s="22">
        <v>0</v>
      </c>
      <c r="F48" s="189"/>
      <c r="G48" s="190"/>
      <c r="H48" s="190"/>
      <c r="I48" s="190"/>
      <c r="J48" s="190"/>
      <c r="K48" s="191"/>
      <c r="L48" s="190"/>
      <c r="M48" s="190"/>
      <c r="N48" s="190"/>
      <c r="O48" s="190"/>
      <c r="P48" s="190"/>
      <c r="Q48" s="192"/>
      <c r="R48" s="190"/>
      <c r="S48" s="190"/>
      <c r="T48" s="190"/>
      <c r="U48" s="190"/>
      <c r="V48" s="190"/>
      <c r="W48" s="193"/>
      <c r="X48" s="190"/>
      <c r="Y48" s="190"/>
      <c r="Z48" s="190"/>
      <c r="AA48" s="190"/>
      <c r="AB48" s="190"/>
      <c r="AC48" s="192"/>
      <c r="AD48" s="190"/>
      <c r="AE48" s="190"/>
      <c r="AF48" s="190"/>
      <c r="AG48" s="190"/>
      <c r="AH48" s="190"/>
      <c r="AI48" s="193"/>
      <c r="AJ48" s="190"/>
      <c r="AK48" s="190"/>
      <c r="AL48" s="190"/>
      <c r="AM48" s="190"/>
      <c r="AN48" s="190"/>
      <c r="AO48" s="192"/>
      <c r="AP48" s="190"/>
      <c r="AQ48" s="190"/>
      <c r="AR48" s="190"/>
      <c r="AS48" s="190"/>
      <c r="AT48" s="190"/>
      <c r="AU48" s="193"/>
      <c r="AV48" s="190"/>
      <c r="AW48" s="190"/>
      <c r="AX48" s="190"/>
      <c r="AY48" s="190"/>
      <c r="AZ48" s="190"/>
      <c r="BA48" s="192"/>
      <c r="BB48" s="190"/>
      <c r="BC48" s="190"/>
      <c r="BD48" s="190"/>
      <c r="BE48" s="190"/>
      <c r="BF48" s="190"/>
      <c r="BG48" s="193"/>
      <c r="BH48" s="190"/>
      <c r="BI48" s="190"/>
      <c r="BJ48" s="190"/>
      <c r="BK48" s="190"/>
      <c r="BL48" s="190"/>
      <c r="BM48" s="194"/>
      <c r="BN48" s="189"/>
      <c r="BO48" s="190"/>
      <c r="BP48" s="190"/>
      <c r="BQ48" s="190"/>
      <c r="BR48" s="190"/>
      <c r="BS48" s="191"/>
      <c r="BT48" s="190"/>
      <c r="BU48" s="190"/>
      <c r="BV48" s="190"/>
      <c r="BW48" s="190"/>
      <c r="BX48" s="190"/>
      <c r="BY48" s="192"/>
      <c r="BZ48" s="190"/>
      <c r="CA48" s="190"/>
      <c r="CB48" s="190"/>
      <c r="CC48" s="190"/>
      <c r="CD48" s="190"/>
      <c r="CE48" s="193"/>
      <c r="CF48" s="190"/>
      <c r="CG48" s="190"/>
      <c r="CH48" s="190"/>
      <c r="CI48" s="190"/>
      <c r="CJ48" s="190"/>
      <c r="CK48" s="192"/>
      <c r="CL48" s="190"/>
      <c r="CM48" s="190"/>
      <c r="CN48" s="190"/>
      <c r="CO48" s="190"/>
      <c r="CP48" s="190"/>
      <c r="CQ48" s="193"/>
      <c r="CR48" s="190"/>
      <c r="CS48" s="190"/>
      <c r="CT48" s="190"/>
      <c r="CU48" s="190"/>
      <c r="CV48" s="190"/>
      <c r="CW48" s="192"/>
      <c r="CX48" s="190"/>
      <c r="CY48" s="190"/>
      <c r="CZ48" s="190"/>
      <c r="DA48" s="190"/>
      <c r="DB48" s="190"/>
      <c r="DC48" s="193"/>
      <c r="DD48" s="190"/>
      <c r="DE48" s="190"/>
      <c r="DF48" s="190"/>
      <c r="DG48" s="190"/>
      <c r="DH48" s="190"/>
      <c r="DI48" s="192"/>
      <c r="DJ48" s="190"/>
      <c r="DK48" s="190"/>
      <c r="DL48" s="190"/>
      <c r="DM48" s="190"/>
      <c r="DN48" s="190"/>
      <c r="DO48" s="193"/>
      <c r="DP48" s="190"/>
      <c r="DQ48" s="190"/>
      <c r="DR48" s="190"/>
      <c r="DS48" s="190"/>
      <c r="DT48" s="190"/>
      <c r="DU48" s="194"/>
      <c r="DV48" s="189"/>
      <c r="DW48" s="190"/>
      <c r="DX48" s="190"/>
      <c r="DY48" s="190"/>
      <c r="DZ48" s="190"/>
      <c r="EA48" s="191"/>
      <c r="EB48" s="190"/>
      <c r="EC48" s="190"/>
      <c r="ED48" s="190"/>
      <c r="EE48" s="190"/>
      <c r="EF48" s="190"/>
      <c r="EG48" s="192"/>
      <c r="EH48" s="190"/>
      <c r="EI48" s="190"/>
      <c r="EJ48" s="190"/>
      <c r="EK48" s="190"/>
      <c r="EL48" s="190"/>
      <c r="EM48" s="193"/>
      <c r="EN48" s="190"/>
      <c r="EO48" s="190"/>
      <c r="EP48" s="190"/>
      <c r="EQ48" s="190"/>
      <c r="ER48" s="190"/>
      <c r="ES48" s="192"/>
      <c r="ET48" s="190"/>
      <c r="EU48" s="190"/>
      <c r="EV48" s="190"/>
      <c r="EW48" s="190"/>
      <c r="EX48" s="190"/>
      <c r="EY48" s="193"/>
      <c r="EZ48" s="190"/>
      <c r="FA48" s="190"/>
      <c r="FB48" s="190"/>
      <c r="FC48" s="190"/>
      <c r="FD48" s="190"/>
      <c r="FE48" s="192"/>
      <c r="FF48" s="190"/>
      <c r="FG48" s="190"/>
      <c r="FH48" s="190"/>
      <c r="FI48" s="190"/>
      <c r="FJ48" s="190"/>
      <c r="FK48" s="193"/>
      <c r="FL48" s="190"/>
      <c r="FM48" s="190"/>
      <c r="FN48" s="190"/>
      <c r="FO48" s="190"/>
      <c r="FP48" s="190"/>
      <c r="FQ48" s="192"/>
      <c r="FR48" s="190"/>
      <c r="FS48" s="190"/>
      <c r="FT48" s="190"/>
      <c r="FU48" s="190"/>
      <c r="FV48" s="190"/>
      <c r="FW48" s="193"/>
      <c r="FX48" s="190"/>
      <c r="FY48" s="190"/>
      <c r="FZ48" s="190"/>
      <c r="GA48" s="190"/>
      <c r="GB48" s="190"/>
      <c r="GC48" s="194"/>
      <c r="GD48" s="189"/>
      <c r="GE48" s="190"/>
      <c r="GF48" s="190"/>
      <c r="GG48" s="190"/>
      <c r="GH48" s="190"/>
      <c r="GI48" s="191"/>
      <c r="GJ48" s="190"/>
      <c r="GK48" s="190"/>
      <c r="GL48" s="190"/>
      <c r="GM48" s="190"/>
      <c r="GN48" s="190"/>
      <c r="GO48" s="192"/>
      <c r="GP48" s="190"/>
      <c r="GQ48" s="190"/>
      <c r="GR48" s="190"/>
      <c r="GS48" s="190"/>
      <c r="GT48" s="190"/>
      <c r="GU48" s="193"/>
      <c r="GV48" s="190"/>
      <c r="GW48" s="190"/>
      <c r="GX48" s="190"/>
      <c r="GY48" s="190"/>
      <c r="GZ48" s="190"/>
      <c r="HA48" s="192"/>
      <c r="HB48" s="190"/>
      <c r="HC48" s="190"/>
      <c r="HD48" s="190"/>
      <c r="HE48" s="190"/>
      <c r="HF48" s="190"/>
      <c r="HG48" s="193"/>
      <c r="HH48" s="190"/>
      <c r="HI48" s="190"/>
      <c r="HJ48" s="190"/>
      <c r="HK48" s="190"/>
      <c r="HL48" s="190"/>
      <c r="HM48" s="192"/>
      <c r="HN48" s="190"/>
      <c r="HO48" s="190"/>
      <c r="HP48" s="190"/>
      <c r="HQ48" s="190"/>
      <c r="HR48" s="190"/>
      <c r="HS48" s="193"/>
      <c r="HT48" s="190"/>
      <c r="HU48" s="190"/>
      <c r="HV48" s="190"/>
      <c r="HW48" s="190"/>
      <c r="HX48" s="190"/>
      <c r="HY48" s="192"/>
      <c r="HZ48" s="190"/>
      <c r="IA48" s="190"/>
      <c r="IB48" s="190"/>
      <c r="IC48" s="190"/>
      <c r="ID48" s="190"/>
      <c r="IE48" s="193"/>
      <c r="IF48" s="190"/>
      <c r="IG48" s="190"/>
      <c r="IH48" s="190"/>
      <c r="II48" s="190"/>
      <c r="IJ48" s="190"/>
      <c r="IK48" s="194"/>
      <c r="IL48" s="189"/>
      <c r="IM48" s="190"/>
      <c r="IN48" s="190"/>
      <c r="IO48" s="190"/>
      <c r="IP48" s="190"/>
      <c r="IQ48" s="191"/>
      <c r="IR48" s="190"/>
      <c r="IS48" s="190"/>
      <c r="IT48" s="190"/>
      <c r="IU48" s="190"/>
      <c r="IV48" s="190"/>
      <c r="IW48" s="192"/>
      <c r="IX48" s="190"/>
      <c r="IY48" s="190"/>
      <c r="IZ48" s="190"/>
      <c r="JA48" s="190"/>
      <c r="JB48" s="190"/>
      <c r="JC48" s="193"/>
      <c r="JD48" s="190"/>
      <c r="JE48" s="190"/>
      <c r="JF48" s="190"/>
      <c r="JG48" s="190"/>
      <c r="JH48" s="190"/>
      <c r="JI48" s="192"/>
      <c r="JJ48" s="190"/>
      <c r="JK48" s="190"/>
      <c r="JL48" s="190"/>
      <c r="JM48" s="190"/>
      <c r="JN48" s="190"/>
      <c r="JO48" s="193"/>
      <c r="JP48" s="190"/>
      <c r="JQ48" s="190"/>
      <c r="JR48" s="190"/>
      <c r="JS48" s="190"/>
      <c r="JT48" s="190"/>
      <c r="JU48" s="192"/>
      <c r="JV48" s="190"/>
      <c r="JW48" s="190"/>
      <c r="JX48" s="190"/>
      <c r="JY48" s="190"/>
      <c r="JZ48" s="190"/>
      <c r="KA48" s="193"/>
      <c r="KB48" s="190"/>
      <c r="KC48" s="190"/>
      <c r="KD48" s="190"/>
      <c r="KE48" s="190"/>
      <c r="KF48" s="190"/>
      <c r="KG48" s="192"/>
      <c r="KH48" s="190"/>
      <c r="KI48" s="190"/>
      <c r="KJ48" s="190"/>
      <c r="KK48" s="190"/>
      <c r="KL48" s="190"/>
      <c r="KM48" s="193"/>
      <c r="KN48" s="190"/>
      <c r="KO48" s="190"/>
      <c r="KP48" s="190"/>
      <c r="KQ48" s="190"/>
      <c r="KR48" s="190"/>
      <c r="KS48" s="194"/>
      <c r="KT48" s="189"/>
      <c r="KU48" s="190"/>
      <c r="KV48" s="190"/>
      <c r="KW48" s="190"/>
      <c r="KX48" s="190"/>
      <c r="KY48" s="191"/>
      <c r="KZ48" s="190"/>
      <c r="LA48" s="190"/>
      <c r="LB48" s="190"/>
      <c r="LC48" s="190"/>
      <c r="LD48" s="190"/>
      <c r="LE48" s="192"/>
      <c r="LF48" s="190"/>
      <c r="LG48" s="190"/>
      <c r="LH48" s="190"/>
      <c r="LI48" s="190"/>
      <c r="LJ48" s="190"/>
      <c r="LK48" s="193"/>
      <c r="LL48" s="190"/>
      <c r="LM48" s="190"/>
      <c r="LN48" s="190"/>
      <c r="LO48" s="190"/>
      <c r="LP48" s="190"/>
      <c r="LQ48" s="192"/>
      <c r="LR48" s="190"/>
      <c r="LS48" s="190"/>
      <c r="LT48" s="190"/>
      <c r="LU48" s="190"/>
      <c r="LV48" s="190"/>
      <c r="LW48" s="193"/>
      <c r="LX48" s="190"/>
      <c r="LY48" s="190"/>
      <c r="LZ48" s="190"/>
      <c r="MA48" s="190"/>
      <c r="MB48" s="190"/>
      <c r="MC48" s="192"/>
      <c r="MD48" s="190"/>
      <c r="ME48" s="190"/>
      <c r="MF48" s="190"/>
      <c r="MG48" s="190"/>
      <c r="MH48" s="190"/>
      <c r="MI48" s="193"/>
      <c r="MJ48" s="190"/>
      <c r="MK48" s="190"/>
      <c r="ML48" s="190"/>
      <c r="MM48" s="190"/>
      <c r="MN48" s="190"/>
      <c r="MO48" s="192"/>
      <c r="MP48" s="190"/>
      <c r="MQ48" s="190"/>
      <c r="MR48" s="190"/>
      <c r="MS48" s="190"/>
      <c r="MT48" s="190"/>
      <c r="MU48" s="193"/>
      <c r="MV48" s="190"/>
      <c r="MW48" s="190"/>
      <c r="MX48" s="190"/>
      <c r="MY48" s="190"/>
      <c r="MZ48" s="190"/>
      <c r="NA48" s="194"/>
      <c r="NB48" s="189"/>
      <c r="NC48" s="190"/>
      <c r="ND48" s="190"/>
      <c r="NE48" s="190"/>
      <c r="NF48" s="190"/>
      <c r="NG48" s="191"/>
      <c r="NH48" s="190"/>
      <c r="NI48" s="190"/>
      <c r="NJ48" s="190"/>
      <c r="NK48" s="190"/>
      <c r="NL48" s="190"/>
      <c r="NM48" s="192"/>
      <c r="NN48" s="190"/>
      <c r="NO48" s="190"/>
      <c r="NP48" s="190"/>
      <c r="NQ48" s="190"/>
      <c r="NR48" s="190"/>
      <c r="NS48" s="193"/>
      <c r="NT48" s="190"/>
      <c r="NU48" s="190"/>
      <c r="NV48" s="190"/>
      <c r="NW48" s="190"/>
      <c r="NX48" s="190"/>
      <c r="NY48" s="192"/>
      <c r="NZ48" s="190"/>
      <c r="OA48" s="190"/>
      <c r="OB48" s="190"/>
      <c r="OC48" s="190"/>
      <c r="OD48" s="190"/>
      <c r="OE48" s="193"/>
      <c r="OF48" s="190"/>
      <c r="OG48" s="190"/>
      <c r="OH48" s="190"/>
      <c r="OI48" s="190"/>
      <c r="OJ48" s="190"/>
      <c r="OK48" s="192"/>
      <c r="OL48" s="190"/>
      <c r="OM48" s="190"/>
      <c r="ON48" s="190"/>
      <c r="OO48" s="190"/>
      <c r="OP48" s="190"/>
      <c r="OQ48" s="193"/>
      <c r="OR48" s="190"/>
      <c r="OS48" s="190"/>
      <c r="OT48" s="190"/>
      <c r="OU48" s="190"/>
      <c r="OV48" s="190"/>
      <c r="OW48" s="192"/>
      <c r="OX48" s="190"/>
      <c r="OY48" s="190"/>
      <c r="OZ48" s="190"/>
      <c r="PA48" s="190"/>
      <c r="PB48" s="190"/>
      <c r="PC48" s="193"/>
      <c r="PD48" s="190"/>
      <c r="PE48" s="190"/>
      <c r="PF48" s="190"/>
      <c r="PG48" s="190"/>
      <c r="PH48" s="190"/>
      <c r="PI48" s="194"/>
      <c r="PJ48" s="189"/>
      <c r="PK48" s="190"/>
      <c r="PL48" s="190"/>
      <c r="PM48" s="190"/>
      <c r="PN48" s="190"/>
      <c r="PO48" s="191"/>
      <c r="PP48" s="190"/>
      <c r="PQ48" s="190"/>
      <c r="PR48" s="190"/>
      <c r="PS48" s="190"/>
      <c r="PT48" s="190"/>
      <c r="PU48" s="192"/>
      <c r="PV48" s="190"/>
      <c r="PW48" s="190"/>
      <c r="PX48" s="190"/>
      <c r="PY48" s="190"/>
      <c r="PZ48" s="190"/>
      <c r="QA48" s="193"/>
      <c r="QB48" s="190"/>
      <c r="QC48" s="190"/>
      <c r="QD48" s="190"/>
      <c r="QE48" s="190"/>
      <c r="QF48" s="190"/>
      <c r="QG48" s="192"/>
      <c r="QH48" s="190"/>
      <c r="QI48" s="190"/>
      <c r="QJ48" s="190"/>
      <c r="QK48" s="190"/>
      <c r="QL48" s="190"/>
      <c r="QM48" s="193"/>
      <c r="QN48" s="190"/>
      <c r="QO48" s="190"/>
      <c r="QP48" s="190"/>
      <c r="QQ48" s="190"/>
      <c r="QR48" s="190"/>
      <c r="QS48" s="192"/>
      <c r="QT48" s="190"/>
      <c r="QU48" s="190"/>
      <c r="QV48" s="190"/>
      <c r="QW48" s="190"/>
      <c r="QX48" s="190"/>
      <c r="QY48" s="193"/>
      <c r="QZ48" s="190"/>
      <c r="RA48" s="190"/>
      <c r="RB48" s="190"/>
      <c r="RC48" s="190"/>
      <c r="RD48" s="190"/>
      <c r="RE48" s="192"/>
      <c r="RF48" s="190"/>
      <c r="RG48" s="190"/>
      <c r="RH48" s="190"/>
      <c r="RI48" s="190"/>
      <c r="RJ48" s="190"/>
      <c r="RK48" s="193"/>
      <c r="RL48" s="190"/>
      <c r="RM48" s="190"/>
      <c r="RN48" s="190"/>
      <c r="RO48" s="190"/>
      <c r="RP48" s="190"/>
      <c r="RQ48" s="194"/>
      <c r="RR48" s="189"/>
      <c r="RS48" s="190"/>
      <c r="RT48" s="190"/>
      <c r="RU48" s="190"/>
      <c r="RV48" s="190"/>
      <c r="RW48" s="191"/>
      <c r="RX48" s="190"/>
      <c r="RY48" s="190"/>
      <c r="RZ48" s="190"/>
      <c r="SA48" s="190"/>
      <c r="SB48" s="190"/>
      <c r="SC48" s="192"/>
      <c r="SD48" s="190"/>
      <c r="SE48" s="190"/>
      <c r="SF48" s="190"/>
      <c r="SG48" s="190"/>
      <c r="SH48" s="190"/>
      <c r="SI48" s="193"/>
      <c r="SJ48" s="190"/>
      <c r="SK48" s="190"/>
      <c r="SL48" s="190"/>
      <c r="SM48" s="190"/>
      <c r="SN48" s="190"/>
      <c r="SO48" s="192"/>
      <c r="SP48" s="190"/>
      <c r="SQ48" s="190"/>
      <c r="SR48" s="190"/>
      <c r="SS48" s="190"/>
      <c r="ST48" s="190"/>
      <c r="SU48" s="193"/>
      <c r="SV48" s="190"/>
      <c r="SW48" s="190"/>
      <c r="SX48" s="190"/>
      <c r="SY48" s="190"/>
      <c r="SZ48" s="190"/>
      <c r="TA48" s="192"/>
      <c r="TB48" s="190"/>
      <c r="TC48" s="190"/>
      <c r="TD48" s="190"/>
      <c r="TE48" s="190"/>
      <c r="TF48" s="190"/>
      <c r="TG48" s="193"/>
      <c r="TH48" s="190"/>
      <c r="TI48" s="190"/>
      <c r="TJ48" s="190"/>
      <c r="TK48" s="190"/>
      <c r="TL48" s="190"/>
      <c r="TM48" s="192"/>
      <c r="TN48" s="190"/>
      <c r="TO48" s="190"/>
      <c r="TP48" s="190"/>
      <c r="TQ48" s="190"/>
      <c r="TR48" s="190"/>
      <c r="TS48" s="193"/>
      <c r="TT48" s="190"/>
      <c r="TU48" s="190"/>
      <c r="TV48" s="190"/>
      <c r="TW48" s="190"/>
      <c r="TX48" s="190"/>
      <c r="TY48" s="194"/>
      <c r="TZ48" s="189"/>
      <c r="UA48" s="190"/>
      <c r="UB48" s="190"/>
      <c r="UC48" s="190"/>
      <c r="UD48" s="190"/>
      <c r="UE48" s="191"/>
      <c r="UF48" s="190"/>
      <c r="UG48" s="190"/>
      <c r="UH48" s="190"/>
      <c r="UI48" s="190"/>
      <c r="UJ48" s="190"/>
      <c r="UK48" s="192"/>
      <c r="UL48" s="190"/>
      <c r="UM48" s="190"/>
      <c r="UN48" s="190"/>
      <c r="UO48" s="190"/>
      <c r="UP48" s="190"/>
      <c r="UQ48" s="193"/>
      <c r="UR48" s="190"/>
      <c r="US48" s="190"/>
      <c r="UT48" s="190"/>
      <c r="UU48" s="190"/>
      <c r="UV48" s="190"/>
      <c r="UW48" s="192"/>
      <c r="UX48" s="190"/>
      <c r="UY48" s="190"/>
      <c r="UZ48" s="190"/>
      <c r="VA48" s="190"/>
      <c r="VB48" s="190"/>
      <c r="VC48" s="193"/>
      <c r="VD48" s="190"/>
      <c r="VE48" s="190"/>
      <c r="VF48" s="190"/>
      <c r="VG48" s="190"/>
      <c r="VH48" s="190"/>
      <c r="VI48" s="192"/>
      <c r="VJ48" s="190"/>
      <c r="VK48" s="190"/>
      <c r="VL48" s="190"/>
      <c r="VM48" s="190"/>
      <c r="VN48" s="190"/>
      <c r="VO48" s="193"/>
      <c r="VP48" s="190"/>
      <c r="VQ48" s="190"/>
      <c r="VR48" s="190"/>
      <c r="VS48" s="190"/>
      <c r="VT48" s="190"/>
      <c r="VU48" s="192"/>
      <c r="VV48" s="190"/>
      <c r="VW48" s="190"/>
      <c r="VX48" s="190"/>
      <c r="VY48" s="190"/>
      <c r="VZ48" s="190"/>
      <c r="WA48" s="193"/>
      <c r="WB48" s="190"/>
      <c r="WC48" s="190"/>
      <c r="WD48" s="190"/>
      <c r="WE48" s="190"/>
      <c r="WF48" s="190"/>
      <c r="WG48" s="194"/>
      <c r="WH48" s="189"/>
      <c r="WI48" s="190"/>
      <c r="WJ48" s="190"/>
      <c r="WK48" s="190"/>
      <c r="WL48" s="190"/>
      <c r="WM48" s="191"/>
      <c r="WN48" s="190"/>
      <c r="WO48" s="190"/>
      <c r="WP48" s="190"/>
      <c r="WQ48" s="190"/>
      <c r="WR48" s="190"/>
      <c r="WS48" s="192"/>
      <c r="WT48" s="190"/>
      <c r="WU48" s="190"/>
      <c r="WV48" s="190"/>
      <c r="WW48" s="190"/>
      <c r="WX48" s="190"/>
      <c r="WY48" s="193"/>
      <c r="WZ48" s="190"/>
      <c r="XA48" s="190"/>
      <c r="XB48" s="190"/>
      <c r="XC48" s="190"/>
      <c r="XD48" s="190"/>
      <c r="XE48" s="192"/>
      <c r="XF48" s="190"/>
      <c r="XG48" s="190"/>
      <c r="XH48" s="190"/>
      <c r="XI48" s="190"/>
      <c r="XJ48" s="190"/>
      <c r="XK48" s="193"/>
      <c r="XL48" s="190"/>
      <c r="XM48" s="190"/>
      <c r="XN48" s="190"/>
      <c r="XO48" s="190"/>
      <c r="XP48" s="190"/>
      <c r="XQ48" s="192"/>
      <c r="XR48" s="190"/>
      <c r="XS48" s="190"/>
      <c r="XT48" s="190"/>
      <c r="XU48" s="190"/>
      <c r="XV48" s="190"/>
      <c r="XW48" s="193"/>
      <c r="XX48" s="190"/>
      <c r="XY48" s="190"/>
      <c r="XZ48" s="190"/>
      <c r="YA48" s="190"/>
      <c r="YB48" s="190"/>
      <c r="YC48" s="192"/>
      <c r="YD48" s="190"/>
      <c r="YE48" s="190"/>
      <c r="YF48" s="190"/>
      <c r="YG48" s="190"/>
      <c r="YH48" s="190"/>
      <c r="YI48" s="193"/>
      <c r="YJ48" s="190"/>
      <c r="YK48" s="190"/>
      <c r="YL48" s="190"/>
      <c r="YM48" s="190"/>
      <c r="YN48" s="190"/>
      <c r="YO48" s="194"/>
      <c r="YP48" s="189"/>
      <c r="YQ48" s="190"/>
      <c r="YR48" s="190"/>
      <c r="YS48" s="190"/>
      <c r="YT48" s="190"/>
      <c r="YU48" s="191"/>
      <c r="YV48" s="190"/>
      <c r="YW48" s="190"/>
      <c r="YX48" s="190"/>
      <c r="YY48" s="190"/>
      <c r="YZ48" s="190"/>
      <c r="ZA48" s="192"/>
      <c r="ZB48" s="190"/>
      <c r="ZC48" s="190"/>
      <c r="ZD48" s="190"/>
      <c r="ZE48" s="190"/>
      <c r="ZF48" s="190"/>
      <c r="ZG48" s="193"/>
      <c r="ZH48" s="190"/>
      <c r="ZI48" s="190"/>
      <c r="ZJ48" s="190"/>
      <c r="ZK48" s="190"/>
      <c r="ZL48" s="190"/>
      <c r="ZM48" s="192"/>
      <c r="ZN48" s="190"/>
      <c r="ZO48" s="190"/>
      <c r="ZP48" s="190"/>
      <c r="ZQ48" s="190"/>
      <c r="ZR48" s="190"/>
      <c r="ZS48" s="193"/>
      <c r="ZT48" s="190"/>
      <c r="ZU48" s="190"/>
      <c r="ZV48" s="190"/>
      <c r="ZW48" s="190"/>
      <c r="ZX48" s="190"/>
      <c r="ZY48" s="192"/>
      <c r="ZZ48" s="190"/>
      <c r="AAA48" s="190"/>
      <c r="AAB48" s="190"/>
      <c r="AAC48" s="190"/>
      <c r="AAD48" s="190"/>
      <c r="AAE48" s="193"/>
      <c r="AAF48" s="190"/>
      <c r="AAG48" s="190"/>
      <c r="AAH48" s="190"/>
      <c r="AAI48" s="190"/>
      <c r="AAJ48" s="190"/>
      <c r="AAK48" s="192"/>
      <c r="AAL48" s="190"/>
      <c r="AAM48" s="190"/>
      <c r="AAN48" s="190"/>
      <c r="AAO48" s="190"/>
      <c r="AAP48" s="190"/>
      <c r="AAQ48" s="193"/>
      <c r="AAR48" s="190"/>
      <c r="AAS48" s="190"/>
      <c r="AAT48" s="190"/>
      <c r="AAU48" s="190"/>
      <c r="AAV48" s="190"/>
      <c r="AAW48" s="194"/>
      <c r="AAX48" s="189"/>
      <c r="AAY48" s="190"/>
      <c r="AAZ48" s="190"/>
      <c r="ABA48" s="190"/>
      <c r="ABB48" s="190"/>
      <c r="ABC48" s="191"/>
      <c r="ABD48" s="190"/>
      <c r="ABE48" s="190"/>
      <c r="ABF48" s="190"/>
      <c r="ABG48" s="190"/>
      <c r="ABH48" s="190"/>
      <c r="ABI48" s="192"/>
      <c r="ABJ48" s="190"/>
      <c r="ABK48" s="190"/>
      <c r="ABL48" s="190"/>
      <c r="ABM48" s="190"/>
      <c r="ABN48" s="190"/>
      <c r="ABO48" s="193"/>
      <c r="ABP48" s="190"/>
      <c r="ABQ48" s="190"/>
      <c r="ABR48" s="190"/>
      <c r="ABS48" s="190"/>
      <c r="ABT48" s="190"/>
      <c r="ABU48" s="192"/>
      <c r="ABV48" s="190"/>
      <c r="ABW48" s="190"/>
      <c r="ABX48" s="190"/>
      <c r="ABY48" s="190"/>
      <c r="ABZ48" s="190"/>
      <c r="ACA48" s="193"/>
      <c r="ACB48" s="190"/>
      <c r="ACC48" s="190"/>
      <c r="ACD48" s="190"/>
      <c r="ACE48" s="190"/>
      <c r="ACF48" s="190"/>
      <c r="ACG48" s="192"/>
      <c r="ACH48" s="190"/>
      <c r="ACI48" s="190"/>
      <c r="ACJ48" s="190"/>
      <c r="ACK48" s="190"/>
      <c r="ACL48" s="190"/>
      <c r="ACM48" s="193"/>
      <c r="ACN48" s="190"/>
      <c r="ACO48" s="190"/>
      <c r="ACP48" s="190"/>
      <c r="ACQ48" s="190"/>
      <c r="ACR48" s="190"/>
      <c r="ACS48" s="192"/>
      <c r="ACT48" s="190"/>
      <c r="ACU48" s="190"/>
      <c r="ACV48" s="190"/>
      <c r="ACW48" s="190"/>
      <c r="ACX48" s="190"/>
      <c r="ACY48" s="193"/>
      <c r="ACZ48" s="190"/>
      <c r="ADA48" s="190"/>
      <c r="ADB48" s="190"/>
      <c r="ADC48" s="190"/>
      <c r="ADD48" s="190"/>
      <c r="ADE48" s="194"/>
      <c r="ADF48" s="189"/>
      <c r="ADG48" s="190"/>
      <c r="ADH48" s="190"/>
      <c r="ADI48" s="190"/>
      <c r="ADJ48" s="190"/>
      <c r="ADK48" s="191"/>
      <c r="ADL48" s="190"/>
      <c r="ADM48" s="190"/>
      <c r="ADN48" s="190"/>
      <c r="ADO48" s="190"/>
      <c r="ADP48" s="190"/>
      <c r="ADQ48" s="192"/>
      <c r="ADR48" s="190"/>
      <c r="ADS48" s="190"/>
      <c r="ADT48" s="190"/>
      <c r="ADU48" s="190"/>
      <c r="ADV48" s="190"/>
      <c r="ADW48" s="193"/>
      <c r="ADX48" s="190"/>
      <c r="ADY48" s="190"/>
      <c r="ADZ48" s="190"/>
      <c r="AEA48" s="190"/>
      <c r="AEB48" s="190"/>
      <c r="AEC48" s="192"/>
      <c r="AED48" s="190"/>
      <c r="AEE48" s="190"/>
      <c r="AEF48" s="190"/>
      <c r="AEG48" s="190"/>
      <c r="AEH48" s="190"/>
      <c r="AEI48" s="193"/>
      <c r="AEJ48" s="190"/>
      <c r="AEK48" s="190"/>
      <c r="AEL48" s="190"/>
      <c r="AEM48" s="190"/>
      <c r="AEN48" s="190"/>
      <c r="AEO48" s="192"/>
      <c r="AEP48" s="190"/>
      <c r="AEQ48" s="190"/>
      <c r="AER48" s="190"/>
      <c r="AES48" s="190"/>
      <c r="AET48" s="190"/>
      <c r="AEU48" s="193"/>
      <c r="AEV48" s="190"/>
      <c r="AEW48" s="190"/>
      <c r="AEX48" s="190"/>
      <c r="AEY48" s="190"/>
      <c r="AEZ48" s="190"/>
      <c r="AFA48" s="192"/>
      <c r="AFB48" s="190"/>
      <c r="AFC48" s="190"/>
      <c r="AFD48" s="190"/>
      <c r="AFE48" s="190"/>
      <c r="AFF48" s="190"/>
      <c r="AFG48" s="193"/>
      <c r="AFH48" s="190"/>
      <c r="AFI48" s="190"/>
      <c r="AFJ48" s="190"/>
      <c r="AFK48" s="190"/>
      <c r="AFL48" s="190"/>
      <c r="AFM48" s="194"/>
      <c r="AFN48" s="189"/>
      <c r="AFO48" s="190"/>
      <c r="AFP48" s="190"/>
      <c r="AFQ48" s="190"/>
      <c r="AFR48" s="190"/>
      <c r="AFS48" s="191"/>
      <c r="AFT48" s="190"/>
      <c r="AFU48" s="190"/>
      <c r="AFV48" s="190"/>
      <c r="AFW48" s="190"/>
      <c r="AFX48" s="190"/>
      <c r="AFY48" s="192"/>
      <c r="AFZ48" s="190"/>
      <c r="AGA48" s="190"/>
      <c r="AGB48" s="190"/>
      <c r="AGC48" s="190"/>
      <c r="AGD48" s="190"/>
      <c r="AGE48" s="193"/>
      <c r="AGF48" s="190"/>
      <c r="AGG48" s="190"/>
      <c r="AGH48" s="190"/>
      <c r="AGI48" s="190"/>
      <c r="AGJ48" s="190"/>
      <c r="AGK48" s="192"/>
      <c r="AGL48" s="190"/>
      <c r="AGM48" s="190"/>
      <c r="AGN48" s="190"/>
      <c r="AGO48" s="190"/>
      <c r="AGP48" s="190"/>
      <c r="AGQ48" s="193"/>
      <c r="AGR48" s="190"/>
      <c r="AGS48" s="190"/>
      <c r="AGT48" s="190"/>
      <c r="AGU48" s="190"/>
      <c r="AGV48" s="190"/>
      <c r="AGW48" s="192"/>
      <c r="AGX48" s="190"/>
      <c r="AGY48" s="190"/>
      <c r="AGZ48" s="190"/>
      <c r="AHA48" s="190"/>
      <c r="AHB48" s="190"/>
      <c r="AHC48" s="193"/>
      <c r="AHD48" s="190"/>
      <c r="AHE48" s="190"/>
      <c r="AHF48" s="190"/>
      <c r="AHG48" s="190"/>
      <c r="AHH48" s="190"/>
      <c r="AHI48" s="192"/>
      <c r="AHJ48" s="190"/>
      <c r="AHK48" s="190"/>
      <c r="AHL48" s="190"/>
      <c r="AHM48" s="190"/>
      <c r="AHN48" s="190"/>
      <c r="AHO48" s="193"/>
      <c r="AHP48" s="190"/>
      <c r="AHQ48" s="190"/>
      <c r="AHR48" s="190"/>
      <c r="AHS48" s="190"/>
      <c r="AHT48" s="190"/>
      <c r="AHU48" s="194"/>
      <c r="AHV48" s="189"/>
      <c r="AHW48" s="190"/>
      <c r="AHX48" s="190"/>
      <c r="AHY48" s="190"/>
      <c r="AHZ48" s="190"/>
      <c r="AIA48" s="191"/>
      <c r="AIB48" s="190"/>
      <c r="AIC48" s="190"/>
      <c r="AID48" s="190"/>
      <c r="AIE48" s="190"/>
      <c r="AIF48" s="190"/>
      <c r="AIG48" s="192"/>
      <c r="AIH48" s="190"/>
      <c r="AII48" s="190"/>
      <c r="AIJ48" s="190"/>
      <c r="AIK48" s="190"/>
      <c r="AIL48" s="190"/>
      <c r="AIM48" s="193"/>
      <c r="AIN48" s="190"/>
      <c r="AIO48" s="190"/>
      <c r="AIP48" s="190"/>
      <c r="AIQ48" s="190"/>
      <c r="AIR48" s="190"/>
      <c r="AIS48" s="192"/>
      <c r="AIT48" s="190"/>
      <c r="AIU48" s="190"/>
      <c r="AIV48" s="190"/>
      <c r="AIW48" s="190"/>
      <c r="AIX48" s="190"/>
      <c r="AIY48" s="193"/>
      <c r="AIZ48" s="190"/>
      <c r="AJA48" s="190"/>
      <c r="AJB48" s="190"/>
      <c r="AJC48" s="190"/>
      <c r="AJD48" s="190"/>
      <c r="AJE48" s="192"/>
      <c r="AJF48" s="190"/>
      <c r="AJG48" s="190"/>
      <c r="AJH48" s="190"/>
      <c r="AJI48" s="190"/>
      <c r="AJJ48" s="190"/>
      <c r="AJK48" s="193"/>
      <c r="AJL48" s="190"/>
      <c r="AJM48" s="190"/>
      <c r="AJN48" s="190"/>
      <c r="AJO48" s="190"/>
      <c r="AJP48" s="190"/>
      <c r="AJQ48" s="192"/>
      <c r="AJR48" s="190"/>
      <c r="AJS48" s="190"/>
      <c r="AJT48" s="190"/>
      <c r="AJU48" s="190"/>
      <c r="AJV48" s="190"/>
      <c r="AJW48" s="193"/>
      <c r="AJX48" s="190"/>
      <c r="AJY48" s="190"/>
      <c r="AJZ48" s="190"/>
      <c r="AKA48" s="190"/>
      <c r="AKB48" s="190"/>
      <c r="AKC48" s="194"/>
      <c r="AKD48" s="189"/>
      <c r="AKE48" s="190"/>
      <c r="AKF48" s="190"/>
      <c r="AKG48" s="190"/>
      <c r="AKH48" s="190"/>
      <c r="AKI48" s="191"/>
      <c r="AKJ48" s="190"/>
      <c r="AKK48" s="190"/>
      <c r="AKL48" s="190"/>
      <c r="AKM48" s="190"/>
      <c r="AKN48" s="190"/>
      <c r="AKO48" s="192"/>
      <c r="AKP48" s="190"/>
      <c r="AKQ48" s="190"/>
      <c r="AKR48" s="190"/>
      <c r="AKS48" s="190"/>
      <c r="AKT48" s="190"/>
      <c r="AKU48" s="193"/>
      <c r="AKV48" s="190"/>
      <c r="AKW48" s="190"/>
      <c r="AKX48" s="190"/>
      <c r="AKY48" s="190"/>
      <c r="AKZ48" s="190"/>
      <c r="ALA48" s="192"/>
      <c r="ALB48" s="190"/>
      <c r="ALC48" s="190"/>
      <c r="ALD48" s="190"/>
      <c r="ALE48" s="190"/>
      <c r="ALF48" s="190"/>
      <c r="ALG48" s="193"/>
      <c r="ALH48" s="190"/>
      <c r="ALI48" s="190"/>
      <c r="ALJ48" s="190"/>
      <c r="ALK48" s="190"/>
      <c r="ALL48" s="190"/>
      <c r="ALM48" s="192"/>
      <c r="ALN48" s="190"/>
      <c r="ALO48" s="190"/>
      <c r="ALP48" s="190"/>
      <c r="ALQ48" s="190"/>
      <c r="ALR48" s="190"/>
      <c r="ALS48" s="193"/>
      <c r="ALT48" s="190"/>
      <c r="ALU48" s="190"/>
      <c r="ALV48" s="190"/>
      <c r="ALW48" s="190"/>
      <c r="ALX48" s="190"/>
      <c r="ALY48" s="192"/>
      <c r="ALZ48" s="190"/>
      <c r="AMA48" s="190"/>
      <c r="AMB48" s="190"/>
      <c r="AMC48" s="190"/>
      <c r="AMD48" s="190"/>
      <c r="AME48" s="193"/>
      <c r="AMF48" s="190"/>
      <c r="AMG48" s="190"/>
      <c r="AMH48" s="190"/>
      <c r="AMI48" s="190"/>
      <c r="AMJ48" s="190"/>
      <c r="AMK48" s="194"/>
      <c r="AML48" s="189"/>
      <c r="AMM48" s="190"/>
      <c r="AMN48" s="190"/>
      <c r="AMO48" s="190"/>
      <c r="AMP48" s="190"/>
      <c r="AMQ48" s="191"/>
      <c r="AMR48" s="190"/>
      <c r="AMS48" s="190"/>
      <c r="AMT48" s="190"/>
      <c r="AMU48" s="190"/>
      <c r="AMV48" s="190"/>
      <c r="AMW48" s="192"/>
      <c r="AMX48" s="190"/>
      <c r="AMY48" s="190"/>
      <c r="AMZ48" s="190"/>
      <c r="ANA48" s="190"/>
      <c r="ANB48" s="190"/>
      <c r="ANC48" s="193"/>
      <c r="AND48" s="190"/>
      <c r="ANE48" s="190"/>
      <c r="ANF48" s="190"/>
      <c r="ANG48" s="190"/>
      <c r="ANH48" s="190"/>
      <c r="ANI48" s="192"/>
      <c r="ANJ48" s="190"/>
      <c r="ANK48" s="190"/>
      <c r="ANL48" s="190"/>
      <c r="ANM48" s="190"/>
      <c r="ANN48" s="190"/>
      <c r="ANO48" s="193"/>
      <c r="ANP48" s="190"/>
      <c r="ANQ48" s="190"/>
      <c r="ANR48" s="190"/>
      <c r="ANS48" s="190"/>
      <c r="ANT48" s="190"/>
      <c r="ANU48" s="192"/>
      <c r="ANV48" s="190"/>
      <c r="ANW48" s="190"/>
      <c r="ANX48" s="190"/>
      <c r="ANY48" s="190"/>
      <c r="ANZ48" s="190"/>
      <c r="AOA48" s="193"/>
      <c r="AOB48" s="190"/>
      <c r="AOC48" s="190"/>
      <c r="AOD48" s="190"/>
      <c r="AOE48" s="190"/>
      <c r="AOF48" s="190"/>
      <c r="AOG48" s="192"/>
      <c r="AOH48" s="190"/>
      <c r="AOI48" s="190"/>
      <c r="AOJ48" s="190"/>
      <c r="AOK48" s="190"/>
      <c r="AOL48" s="190"/>
      <c r="AOM48" s="193"/>
      <c r="AON48" s="190"/>
      <c r="AOO48" s="190"/>
      <c r="AOP48" s="190"/>
      <c r="AOQ48" s="190"/>
      <c r="AOR48" s="190"/>
      <c r="AOS48" s="194"/>
      <c r="AOT48" s="189"/>
      <c r="AOU48" s="190"/>
      <c r="AOV48" s="190"/>
      <c r="AOW48" s="190"/>
      <c r="AOX48" s="190"/>
      <c r="AOY48" s="191"/>
      <c r="AOZ48" s="190"/>
      <c r="APA48" s="190"/>
      <c r="APB48" s="190"/>
      <c r="APC48" s="190"/>
      <c r="APD48" s="190"/>
      <c r="APE48" s="192"/>
      <c r="APF48" s="190"/>
      <c r="APG48" s="190"/>
      <c r="APH48" s="190"/>
      <c r="API48" s="190"/>
      <c r="APJ48" s="190"/>
      <c r="APK48" s="193"/>
      <c r="APL48" s="190"/>
      <c r="APM48" s="190"/>
      <c r="APN48" s="190"/>
      <c r="APO48" s="190"/>
      <c r="APP48" s="190"/>
      <c r="APQ48" s="192"/>
      <c r="APR48" s="190"/>
      <c r="APS48" s="190"/>
      <c r="APT48" s="190"/>
      <c r="APU48" s="190"/>
      <c r="APV48" s="190"/>
      <c r="APW48" s="193"/>
      <c r="APX48" s="190"/>
      <c r="APY48" s="190"/>
      <c r="APZ48" s="190"/>
      <c r="AQA48" s="190"/>
      <c r="AQB48" s="190"/>
      <c r="AQC48" s="192"/>
      <c r="AQD48" s="190"/>
      <c r="AQE48" s="190"/>
      <c r="AQF48" s="190"/>
      <c r="AQG48" s="190"/>
      <c r="AQH48" s="190"/>
      <c r="AQI48" s="193"/>
      <c r="AQJ48" s="190"/>
      <c r="AQK48" s="190"/>
      <c r="AQL48" s="190"/>
      <c r="AQM48" s="190"/>
      <c r="AQN48" s="190"/>
      <c r="AQO48" s="192"/>
      <c r="AQP48" s="190"/>
      <c r="AQQ48" s="190"/>
      <c r="AQR48" s="190"/>
      <c r="AQS48" s="190"/>
      <c r="AQT48" s="190"/>
      <c r="AQU48" s="193"/>
      <c r="AQV48" s="190"/>
      <c r="AQW48" s="190"/>
      <c r="AQX48" s="190"/>
      <c r="AQY48" s="190"/>
      <c r="AQZ48" s="190"/>
      <c r="ARA48" s="194"/>
      <c r="ARB48" s="189"/>
      <c r="ARC48" s="190"/>
      <c r="ARD48" s="190"/>
      <c r="ARE48" s="190"/>
      <c r="ARF48" s="190"/>
      <c r="ARG48" s="191"/>
      <c r="ARH48" s="190"/>
      <c r="ARI48" s="190"/>
      <c r="ARJ48" s="190"/>
      <c r="ARK48" s="190"/>
      <c r="ARL48" s="190"/>
      <c r="ARM48" s="192"/>
      <c r="ARN48" s="190"/>
      <c r="ARO48" s="190"/>
      <c r="ARP48" s="190"/>
      <c r="ARQ48" s="190"/>
      <c r="ARR48" s="190"/>
      <c r="ARS48" s="193"/>
      <c r="ART48" s="190"/>
      <c r="ARU48" s="190"/>
      <c r="ARV48" s="190"/>
      <c r="ARW48" s="190"/>
      <c r="ARX48" s="190"/>
      <c r="ARY48" s="192"/>
      <c r="ARZ48" s="190"/>
      <c r="ASA48" s="190"/>
      <c r="ASB48" s="190"/>
      <c r="ASC48" s="190"/>
      <c r="ASD48" s="190"/>
      <c r="ASE48" s="193"/>
      <c r="ASF48" s="190"/>
      <c r="ASG48" s="190"/>
      <c r="ASH48" s="190"/>
      <c r="ASI48" s="190"/>
      <c r="ASJ48" s="190"/>
      <c r="ASK48" s="192"/>
      <c r="ASL48" s="190"/>
      <c r="ASM48" s="190"/>
      <c r="ASN48" s="190"/>
      <c r="ASO48" s="190"/>
      <c r="ASP48" s="190"/>
      <c r="ASQ48" s="193"/>
      <c r="ASR48" s="190"/>
      <c r="ASS48" s="190"/>
      <c r="AST48" s="190"/>
      <c r="ASU48" s="190"/>
      <c r="ASV48" s="190"/>
      <c r="ASW48" s="192"/>
      <c r="ASX48" s="190"/>
      <c r="ASY48" s="190"/>
      <c r="ASZ48" s="190"/>
      <c r="ATA48" s="190"/>
      <c r="ATB48" s="190"/>
      <c r="ATC48" s="193"/>
      <c r="ATD48" s="190"/>
      <c r="ATE48" s="190"/>
      <c r="ATF48" s="190"/>
      <c r="ATG48" s="190"/>
      <c r="ATH48" s="190"/>
      <c r="ATI48" s="194"/>
      <c r="ATJ48" s="189"/>
      <c r="ATK48" s="190"/>
      <c r="ATL48" s="190"/>
      <c r="ATM48" s="190"/>
      <c r="ATN48" s="190"/>
      <c r="ATO48" s="191"/>
      <c r="ATP48" s="190"/>
      <c r="ATQ48" s="190"/>
      <c r="ATR48" s="190"/>
      <c r="ATS48" s="190"/>
      <c r="ATT48" s="190"/>
      <c r="ATU48" s="192"/>
      <c r="ATV48" s="190"/>
      <c r="ATW48" s="190"/>
      <c r="ATX48" s="190"/>
      <c r="ATY48" s="190"/>
      <c r="ATZ48" s="190"/>
      <c r="AUA48" s="193"/>
      <c r="AUB48" s="190"/>
      <c r="AUC48" s="190"/>
      <c r="AUD48" s="190"/>
      <c r="AUE48" s="190"/>
      <c r="AUF48" s="190"/>
      <c r="AUG48" s="192"/>
      <c r="AUH48" s="190"/>
      <c r="AUI48" s="190"/>
      <c r="AUJ48" s="190"/>
      <c r="AUK48" s="190"/>
      <c r="AUL48" s="190"/>
      <c r="AUM48" s="193"/>
      <c r="AUN48" s="190"/>
      <c r="AUO48" s="190"/>
      <c r="AUP48" s="190"/>
      <c r="AUQ48" s="190"/>
      <c r="AUR48" s="190"/>
      <c r="AUS48" s="192"/>
      <c r="AUT48" s="190"/>
      <c r="AUU48" s="190"/>
      <c r="AUV48" s="190"/>
      <c r="AUW48" s="190"/>
      <c r="AUX48" s="190"/>
      <c r="AUY48" s="193"/>
      <c r="AUZ48" s="190"/>
      <c r="AVA48" s="190"/>
      <c r="AVB48" s="190"/>
      <c r="AVC48" s="190"/>
      <c r="AVD48" s="190"/>
      <c r="AVE48" s="192"/>
      <c r="AVF48" s="190"/>
      <c r="AVG48" s="190"/>
      <c r="AVH48" s="190"/>
      <c r="AVI48" s="190"/>
      <c r="AVJ48" s="190"/>
      <c r="AVK48" s="193"/>
      <c r="AVL48" s="190"/>
      <c r="AVM48" s="190"/>
      <c r="AVN48" s="190"/>
      <c r="AVO48" s="190"/>
      <c r="AVP48" s="190"/>
      <c r="AVQ48" s="194"/>
      <c r="AVR48" s="189"/>
      <c r="AVS48" s="190"/>
      <c r="AVT48" s="190"/>
      <c r="AVU48" s="190"/>
      <c r="AVV48" s="190"/>
      <c r="AVW48" s="191"/>
      <c r="AVX48" s="190"/>
      <c r="AVY48" s="190"/>
      <c r="AVZ48" s="190"/>
      <c r="AWA48" s="190"/>
      <c r="AWB48" s="190"/>
      <c r="AWC48" s="192"/>
      <c r="AWD48" s="190"/>
      <c r="AWE48" s="190"/>
      <c r="AWF48" s="190"/>
      <c r="AWG48" s="190"/>
      <c r="AWH48" s="190"/>
      <c r="AWI48" s="193"/>
      <c r="AWJ48" s="190"/>
      <c r="AWK48" s="190"/>
      <c r="AWL48" s="190"/>
      <c r="AWM48" s="190"/>
      <c r="AWN48" s="190"/>
      <c r="AWO48" s="192"/>
      <c r="AWP48" s="190"/>
      <c r="AWQ48" s="190"/>
      <c r="AWR48" s="190"/>
      <c r="AWS48" s="190"/>
      <c r="AWT48" s="190"/>
      <c r="AWU48" s="193"/>
      <c r="AWV48" s="190"/>
      <c r="AWW48" s="190"/>
      <c r="AWX48" s="190"/>
      <c r="AWY48" s="190"/>
      <c r="AWZ48" s="190"/>
      <c r="AXA48" s="192"/>
      <c r="AXB48" s="190"/>
      <c r="AXC48" s="190"/>
      <c r="AXD48" s="190"/>
      <c r="AXE48" s="190"/>
      <c r="AXF48" s="190"/>
      <c r="AXG48" s="193"/>
      <c r="AXH48" s="190"/>
      <c r="AXI48" s="190"/>
      <c r="AXJ48" s="190"/>
      <c r="AXK48" s="190"/>
      <c r="AXL48" s="190"/>
      <c r="AXM48" s="192"/>
      <c r="AXN48" s="190"/>
      <c r="AXO48" s="190"/>
      <c r="AXP48" s="190"/>
      <c r="AXQ48" s="190"/>
      <c r="AXR48" s="190"/>
      <c r="AXS48" s="193"/>
      <c r="AXT48" s="190"/>
      <c r="AXU48" s="190"/>
      <c r="AXV48" s="190"/>
      <c r="AXW48" s="190"/>
      <c r="AXX48" s="190"/>
      <c r="AXY48" s="194"/>
      <c r="AXZ48" s="189"/>
      <c r="AYA48" s="190"/>
      <c r="AYB48" s="190"/>
      <c r="AYC48" s="190"/>
      <c r="AYD48" s="190"/>
      <c r="AYE48" s="191"/>
      <c r="AYF48" s="190"/>
      <c r="AYG48" s="190"/>
      <c r="AYH48" s="190"/>
      <c r="AYI48" s="190"/>
      <c r="AYJ48" s="190"/>
      <c r="AYK48" s="192"/>
      <c r="AYL48" s="190"/>
      <c r="AYM48" s="190"/>
      <c r="AYN48" s="190"/>
      <c r="AYO48" s="190"/>
      <c r="AYP48" s="190"/>
      <c r="AYQ48" s="193"/>
      <c r="AYR48" s="190"/>
      <c r="AYS48" s="190"/>
      <c r="AYT48" s="190"/>
      <c r="AYU48" s="190"/>
      <c r="AYV48" s="190"/>
      <c r="AYW48" s="192"/>
      <c r="AYX48" s="190"/>
      <c r="AYY48" s="190"/>
      <c r="AYZ48" s="190"/>
      <c r="AZA48" s="190"/>
      <c r="AZB48" s="190"/>
      <c r="AZC48" s="193"/>
      <c r="AZD48" s="190"/>
      <c r="AZE48" s="190"/>
      <c r="AZF48" s="190"/>
      <c r="AZG48" s="190"/>
      <c r="AZH48" s="190"/>
      <c r="AZI48" s="192"/>
      <c r="AZJ48" s="190"/>
      <c r="AZK48" s="190"/>
      <c r="AZL48" s="190"/>
      <c r="AZM48" s="190"/>
      <c r="AZN48" s="190"/>
      <c r="AZO48" s="193"/>
      <c r="AZP48" s="190"/>
      <c r="AZQ48" s="190"/>
      <c r="AZR48" s="190"/>
      <c r="AZS48" s="190"/>
      <c r="AZT48" s="190"/>
      <c r="AZU48" s="192"/>
      <c r="AZV48" s="190"/>
      <c r="AZW48" s="190"/>
      <c r="AZX48" s="190"/>
      <c r="AZY48" s="190"/>
      <c r="AZZ48" s="190"/>
      <c r="BAA48" s="193"/>
      <c r="BAB48" s="190"/>
      <c r="BAC48" s="190"/>
      <c r="BAD48" s="190"/>
      <c r="BAE48" s="190"/>
      <c r="BAF48" s="190"/>
      <c r="BAG48" s="194"/>
      <c r="BAH48" s="189"/>
      <c r="BAI48" s="190"/>
      <c r="BAJ48" s="190"/>
      <c r="BAK48" s="190"/>
      <c r="BAL48" s="190"/>
      <c r="BAM48" s="191"/>
      <c r="BAN48" s="190"/>
      <c r="BAO48" s="190"/>
      <c r="BAP48" s="190"/>
      <c r="BAQ48" s="190"/>
      <c r="BAR48" s="190"/>
      <c r="BAS48" s="192"/>
      <c r="BAT48" s="190"/>
      <c r="BAU48" s="190"/>
      <c r="BAV48" s="190"/>
      <c r="BAW48" s="190"/>
      <c r="BAX48" s="190"/>
      <c r="BAY48" s="193"/>
      <c r="BAZ48" s="190"/>
      <c r="BBA48" s="190"/>
      <c r="BBB48" s="190"/>
      <c r="BBC48" s="190"/>
      <c r="BBD48" s="190"/>
      <c r="BBE48" s="192"/>
      <c r="BBF48" s="190"/>
      <c r="BBG48" s="190"/>
      <c r="BBH48" s="190"/>
      <c r="BBI48" s="190"/>
      <c r="BBJ48" s="190"/>
      <c r="BBK48" s="193"/>
      <c r="BBL48" s="190"/>
      <c r="BBM48" s="190"/>
      <c r="BBN48" s="190"/>
      <c r="BBO48" s="190"/>
      <c r="BBP48" s="190"/>
      <c r="BBQ48" s="192"/>
      <c r="BBR48" s="190"/>
      <c r="BBS48" s="190"/>
      <c r="BBT48" s="190"/>
      <c r="BBU48" s="190"/>
      <c r="BBV48" s="190"/>
      <c r="BBW48" s="193"/>
      <c r="BBX48" s="190"/>
      <c r="BBY48" s="190"/>
      <c r="BBZ48" s="190"/>
      <c r="BCA48" s="190"/>
      <c r="BCB48" s="190"/>
      <c r="BCC48" s="192"/>
      <c r="BCD48" s="190"/>
      <c r="BCE48" s="190"/>
      <c r="BCF48" s="190"/>
      <c r="BCG48" s="190"/>
      <c r="BCH48" s="190"/>
      <c r="BCI48" s="193"/>
      <c r="BCJ48" s="190"/>
      <c r="BCK48" s="190"/>
      <c r="BCL48" s="190"/>
      <c r="BCM48" s="190"/>
      <c r="BCN48" s="190"/>
      <c r="BCO48" s="194"/>
      <c r="BCP48" s="189"/>
      <c r="BCQ48" s="190"/>
      <c r="BCR48" s="190"/>
      <c r="BCS48" s="190"/>
      <c r="BCT48" s="190"/>
      <c r="BCU48" s="191"/>
      <c r="BCV48" s="190"/>
      <c r="BCW48" s="190"/>
      <c r="BCX48" s="190"/>
      <c r="BCY48" s="190"/>
      <c r="BCZ48" s="190"/>
      <c r="BDA48" s="192"/>
      <c r="BDB48" s="190"/>
      <c r="BDC48" s="190"/>
      <c r="BDD48" s="190"/>
      <c r="BDE48" s="190"/>
      <c r="BDF48" s="190"/>
      <c r="BDG48" s="193"/>
      <c r="BDH48" s="190"/>
      <c r="BDI48" s="190"/>
      <c r="BDJ48" s="190"/>
      <c r="BDK48" s="190"/>
      <c r="BDL48" s="190"/>
      <c r="BDM48" s="192"/>
      <c r="BDN48" s="190"/>
      <c r="BDO48" s="190"/>
      <c r="BDP48" s="190"/>
      <c r="BDQ48" s="190"/>
      <c r="BDR48" s="190"/>
      <c r="BDS48" s="193"/>
      <c r="BDT48" s="190"/>
      <c r="BDU48" s="190"/>
      <c r="BDV48" s="190"/>
      <c r="BDW48" s="190"/>
      <c r="BDX48" s="190"/>
      <c r="BDY48" s="192"/>
      <c r="BDZ48" s="190"/>
      <c r="BEA48" s="190"/>
      <c r="BEB48" s="190"/>
      <c r="BEC48" s="190"/>
      <c r="BED48" s="190"/>
      <c r="BEE48" s="193"/>
      <c r="BEF48" s="190"/>
      <c r="BEG48" s="190"/>
      <c r="BEH48" s="190"/>
      <c r="BEI48" s="190"/>
      <c r="BEJ48" s="190"/>
      <c r="BEK48" s="192"/>
      <c r="BEL48" s="190"/>
      <c r="BEM48" s="190"/>
      <c r="BEN48" s="190"/>
      <c r="BEO48" s="190"/>
      <c r="BEP48" s="190"/>
      <c r="BEQ48" s="193"/>
      <c r="BER48" s="190"/>
      <c r="BES48" s="190"/>
      <c r="BET48" s="190"/>
      <c r="BEU48" s="190"/>
      <c r="BEV48" s="190"/>
      <c r="BEW48" s="194"/>
      <c r="BEX48" s="189"/>
      <c r="BEY48" s="190"/>
      <c r="BEZ48" s="190"/>
      <c r="BFA48" s="190"/>
      <c r="BFB48" s="190"/>
      <c r="BFC48" s="191"/>
      <c r="BFD48" s="190"/>
      <c r="BFE48" s="190"/>
      <c r="BFF48" s="190"/>
      <c r="BFG48" s="190"/>
      <c r="BFH48" s="190"/>
      <c r="BFI48" s="192"/>
      <c r="BFJ48" s="190"/>
      <c r="BFK48" s="190"/>
      <c r="BFL48" s="190"/>
      <c r="BFM48" s="190"/>
      <c r="BFN48" s="190"/>
      <c r="BFO48" s="193"/>
      <c r="BFP48" s="190"/>
      <c r="BFQ48" s="190"/>
      <c r="BFR48" s="190"/>
      <c r="BFS48" s="190"/>
      <c r="BFT48" s="190"/>
      <c r="BFU48" s="192"/>
      <c r="BFV48" s="190"/>
      <c r="BFW48" s="190"/>
      <c r="BFX48" s="190"/>
      <c r="BFY48" s="190"/>
      <c r="BFZ48" s="190"/>
      <c r="BGA48" s="193"/>
      <c r="BGB48" s="190"/>
      <c r="BGC48" s="190"/>
      <c r="BGD48" s="190"/>
      <c r="BGE48" s="190"/>
      <c r="BGF48" s="190"/>
      <c r="BGG48" s="192"/>
      <c r="BGH48" s="190"/>
      <c r="BGI48" s="190"/>
      <c r="BGJ48" s="190"/>
      <c r="BGK48" s="190"/>
      <c r="BGL48" s="190"/>
      <c r="BGM48" s="193"/>
      <c r="BGN48" s="190"/>
      <c r="BGO48" s="190"/>
      <c r="BGP48" s="190"/>
      <c r="BGQ48" s="190"/>
      <c r="BGR48" s="190"/>
      <c r="BGS48" s="192"/>
      <c r="BGT48" s="190"/>
      <c r="BGU48" s="190"/>
      <c r="BGV48" s="190"/>
      <c r="BGW48" s="190"/>
      <c r="BGX48" s="190"/>
      <c r="BGY48" s="193"/>
      <c r="BGZ48" s="190"/>
      <c r="BHA48" s="190"/>
      <c r="BHB48" s="190"/>
      <c r="BHC48" s="190"/>
      <c r="BHD48" s="190"/>
      <c r="BHE48" s="194"/>
      <c r="BHF48" s="187"/>
      <c r="BHG48" s="188"/>
      <c r="BHH48" s="188"/>
      <c r="BHI48" s="188"/>
      <c r="BHJ48" s="188"/>
      <c r="BHK48" s="188"/>
      <c r="BHL48" s="188"/>
      <c r="BHM48" s="188"/>
      <c r="BHN48" s="188"/>
      <c r="BHO48" s="188"/>
      <c r="BHP48" s="188"/>
      <c r="BHQ48" s="188"/>
      <c r="BHR48" s="188"/>
      <c r="BHS48" s="188"/>
      <c r="BHT48" s="188"/>
      <c r="BHU48" s="188"/>
      <c r="BHV48" s="188"/>
      <c r="BHW48" s="188"/>
      <c r="BHX48" s="188"/>
      <c r="BHY48" s="188"/>
      <c r="BHZ48" s="188"/>
      <c r="BIA48" s="188"/>
      <c r="BIB48" s="188"/>
      <c r="BIC48" s="188"/>
      <c r="BID48" s="188"/>
      <c r="BIE48" s="188"/>
      <c r="BIF48" s="188"/>
      <c r="BIG48" s="188"/>
      <c r="BIH48" s="188"/>
      <c r="BII48" s="188"/>
      <c r="BIJ48" s="188"/>
      <c r="BIK48" s="188"/>
      <c r="BIL48" s="188"/>
      <c r="BIM48" s="188"/>
      <c r="BIN48" s="188"/>
      <c r="BIO48" s="188"/>
      <c r="BIP48" s="188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230" t="s">
        <v>78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76"/>
      <c r="ADG49" s="177"/>
      <c r="ADH49" s="177"/>
      <c r="ADI49" s="177"/>
      <c r="ADJ49" s="177"/>
      <c r="ADK49" s="178"/>
      <c r="ADL49" s="177"/>
      <c r="ADM49" s="177"/>
      <c r="ADN49" s="177"/>
      <c r="ADO49" s="177"/>
      <c r="ADP49" s="177"/>
      <c r="ADQ49" s="179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77"/>
      <c r="AGM49" s="177"/>
      <c r="AGN49" s="177"/>
      <c r="AGO49" s="177"/>
      <c r="AGP49" s="177"/>
      <c r="AGQ49" s="180"/>
      <c r="AGR49" s="177"/>
      <c r="AGS49" s="177"/>
      <c r="AGT49" s="177"/>
      <c r="AGU49" s="177"/>
      <c r="AGV49" s="177"/>
      <c r="AGW49" s="179"/>
      <c r="AGX49" s="177"/>
      <c r="AGY49" s="177"/>
      <c r="AGZ49" s="177"/>
      <c r="AHA49" s="177"/>
      <c r="AHB49" s="177"/>
      <c r="AHC49" s="180"/>
      <c r="AHD49" s="177"/>
      <c r="AHE49" s="177"/>
      <c r="AHF49" s="177"/>
      <c r="AHG49" s="177"/>
      <c r="AHH49" s="177"/>
      <c r="AHI49" s="17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87"/>
      <c r="BHG49" s="188"/>
      <c r="BHH49" s="188"/>
      <c r="BHI49" s="188"/>
      <c r="BHJ49" s="188"/>
      <c r="BHK49" s="188"/>
      <c r="BHL49" s="188"/>
      <c r="BHM49" s="188"/>
      <c r="BHN49" s="188"/>
      <c r="BHO49" s="188"/>
      <c r="BHP49" s="188"/>
      <c r="BHQ49" s="188"/>
      <c r="BHR49" s="188"/>
      <c r="BHS49" s="188"/>
      <c r="BHT49" s="188"/>
      <c r="BHU49" s="188"/>
      <c r="BHV49" s="188"/>
      <c r="BHW49" s="188"/>
      <c r="BHX49" s="188"/>
      <c r="BHY49" s="188"/>
      <c r="BHZ49" s="188"/>
      <c r="BIA49" s="188"/>
      <c r="BIB49" s="188"/>
      <c r="BIC49" s="188"/>
      <c r="BID49" s="188"/>
      <c r="BIE49" s="188"/>
      <c r="BIF49" s="188"/>
      <c r="BIG49" s="188"/>
      <c r="BIH49" s="188"/>
      <c r="BII49" s="188"/>
      <c r="BIJ49" s="188"/>
      <c r="BIK49" s="188"/>
      <c r="BIL49" s="188"/>
      <c r="BIM49" s="188"/>
      <c r="BIN49" s="188"/>
      <c r="BIO49" s="188"/>
      <c r="BIP49" s="188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236"/>
      <c r="D50" s="121" t="str">
        <f t="shared" si="0"/>
        <v/>
      </c>
      <c r="E50" s="30">
        <v>0</v>
      </c>
      <c r="F50" s="195"/>
      <c r="G50" s="196"/>
      <c r="H50" s="196"/>
      <c r="I50" s="196"/>
      <c r="J50" s="196"/>
      <c r="K50" s="197"/>
      <c r="L50" s="196"/>
      <c r="M50" s="196"/>
      <c r="N50" s="196"/>
      <c r="O50" s="196"/>
      <c r="P50" s="196"/>
      <c r="Q50" s="198"/>
      <c r="R50" s="196"/>
      <c r="S50" s="196"/>
      <c r="T50" s="196"/>
      <c r="U50" s="196"/>
      <c r="V50" s="196"/>
      <c r="W50" s="199"/>
      <c r="X50" s="196"/>
      <c r="Y50" s="196"/>
      <c r="Z50" s="196"/>
      <c r="AA50" s="196"/>
      <c r="AB50" s="196"/>
      <c r="AC50" s="198"/>
      <c r="AD50" s="196"/>
      <c r="AE50" s="196"/>
      <c r="AF50" s="196"/>
      <c r="AG50" s="196"/>
      <c r="AH50" s="196"/>
      <c r="AI50" s="199"/>
      <c r="AJ50" s="196"/>
      <c r="AK50" s="196"/>
      <c r="AL50" s="196"/>
      <c r="AM50" s="196"/>
      <c r="AN50" s="196"/>
      <c r="AO50" s="198"/>
      <c r="AP50" s="196"/>
      <c r="AQ50" s="196"/>
      <c r="AR50" s="196"/>
      <c r="AS50" s="196"/>
      <c r="AT50" s="196"/>
      <c r="AU50" s="199"/>
      <c r="AV50" s="196"/>
      <c r="AW50" s="196"/>
      <c r="AX50" s="196"/>
      <c r="AY50" s="196"/>
      <c r="AZ50" s="196"/>
      <c r="BA50" s="198"/>
      <c r="BB50" s="196"/>
      <c r="BC50" s="196"/>
      <c r="BD50" s="196"/>
      <c r="BE50" s="196"/>
      <c r="BF50" s="196"/>
      <c r="BG50" s="199"/>
      <c r="BH50" s="196"/>
      <c r="BI50" s="196"/>
      <c r="BJ50" s="196"/>
      <c r="BK50" s="196"/>
      <c r="BL50" s="196"/>
      <c r="BM50" s="200"/>
      <c r="BN50" s="195"/>
      <c r="BO50" s="196"/>
      <c r="BP50" s="196"/>
      <c r="BQ50" s="196"/>
      <c r="BR50" s="196"/>
      <c r="BS50" s="197"/>
      <c r="BT50" s="196"/>
      <c r="BU50" s="196"/>
      <c r="BV50" s="196"/>
      <c r="BW50" s="196"/>
      <c r="BX50" s="196"/>
      <c r="BY50" s="198"/>
      <c r="BZ50" s="196"/>
      <c r="CA50" s="196"/>
      <c r="CB50" s="196"/>
      <c r="CC50" s="196"/>
      <c r="CD50" s="196"/>
      <c r="CE50" s="199"/>
      <c r="CF50" s="196"/>
      <c r="CG50" s="196"/>
      <c r="CH50" s="196"/>
      <c r="CI50" s="196"/>
      <c r="CJ50" s="196"/>
      <c r="CK50" s="198"/>
      <c r="CL50" s="196"/>
      <c r="CM50" s="196"/>
      <c r="CN50" s="196"/>
      <c r="CO50" s="196"/>
      <c r="CP50" s="196"/>
      <c r="CQ50" s="199"/>
      <c r="CR50" s="196"/>
      <c r="CS50" s="196"/>
      <c r="CT50" s="196"/>
      <c r="CU50" s="196"/>
      <c r="CV50" s="196"/>
      <c r="CW50" s="198"/>
      <c r="CX50" s="196"/>
      <c r="CY50" s="196"/>
      <c r="CZ50" s="196"/>
      <c r="DA50" s="196"/>
      <c r="DB50" s="196"/>
      <c r="DC50" s="199"/>
      <c r="DD50" s="196"/>
      <c r="DE50" s="196"/>
      <c r="DF50" s="196"/>
      <c r="DG50" s="196"/>
      <c r="DH50" s="196"/>
      <c r="DI50" s="198"/>
      <c r="DJ50" s="196"/>
      <c r="DK50" s="196"/>
      <c r="DL50" s="196"/>
      <c r="DM50" s="196"/>
      <c r="DN50" s="196"/>
      <c r="DO50" s="199"/>
      <c r="DP50" s="196"/>
      <c r="DQ50" s="196"/>
      <c r="DR50" s="196"/>
      <c r="DS50" s="196"/>
      <c r="DT50" s="196"/>
      <c r="DU50" s="200"/>
      <c r="DV50" s="195"/>
      <c r="DW50" s="196"/>
      <c r="DX50" s="196"/>
      <c r="DY50" s="196"/>
      <c r="DZ50" s="196"/>
      <c r="EA50" s="197"/>
      <c r="EB50" s="196"/>
      <c r="EC50" s="196"/>
      <c r="ED50" s="196"/>
      <c r="EE50" s="196"/>
      <c r="EF50" s="196"/>
      <c r="EG50" s="198"/>
      <c r="EH50" s="196"/>
      <c r="EI50" s="196"/>
      <c r="EJ50" s="196"/>
      <c r="EK50" s="196"/>
      <c r="EL50" s="196"/>
      <c r="EM50" s="199"/>
      <c r="EN50" s="196"/>
      <c r="EO50" s="196"/>
      <c r="EP50" s="196"/>
      <c r="EQ50" s="196"/>
      <c r="ER50" s="196"/>
      <c r="ES50" s="198"/>
      <c r="ET50" s="196"/>
      <c r="EU50" s="196"/>
      <c r="EV50" s="196"/>
      <c r="EW50" s="196"/>
      <c r="EX50" s="196"/>
      <c r="EY50" s="199"/>
      <c r="EZ50" s="196"/>
      <c r="FA50" s="196"/>
      <c r="FB50" s="196"/>
      <c r="FC50" s="196"/>
      <c r="FD50" s="196"/>
      <c r="FE50" s="198"/>
      <c r="FF50" s="196"/>
      <c r="FG50" s="196"/>
      <c r="FH50" s="196"/>
      <c r="FI50" s="196"/>
      <c r="FJ50" s="196"/>
      <c r="FK50" s="199"/>
      <c r="FL50" s="196"/>
      <c r="FM50" s="196"/>
      <c r="FN50" s="196"/>
      <c r="FO50" s="196"/>
      <c r="FP50" s="196"/>
      <c r="FQ50" s="198"/>
      <c r="FR50" s="196"/>
      <c r="FS50" s="196"/>
      <c r="FT50" s="196"/>
      <c r="FU50" s="196"/>
      <c r="FV50" s="196"/>
      <c r="FW50" s="199"/>
      <c r="FX50" s="196"/>
      <c r="FY50" s="196"/>
      <c r="FZ50" s="196"/>
      <c r="GA50" s="196"/>
      <c r="GB50" s="196"/>
      <c r="GC50" s="200"/>
      <c r="GD50" s="195"/>
      <c r="GE50" s="196"/>
      <c r="GF50" s="196"/>
      <c r="GG50" s="196"/>
      <c r="GH50" s="196"/>
      <c r="GI50" s="197"/>
      <c r="GJ50" s="196"/>
      <c r="GK50" s="196"/>
      <c r="GL50" s="196"/>
      <c r="GM50" s="196"/>
      <c r="GN50" s="196"/>
      <c r="GO50" s="198"/>
      <c r="GP50" s="196"/>
      <c r="GQ50" s="196"/>
      <c r="GR50" s="196"/>
      <c r="GS50" s="196"/>
      <c r="GT50" s="196"/>
      <c r="GU50" s="199"/>
      <c r="GV50" s="196"/>
      <c r="GW50" s="196"/>
      <c r="GX50" s="196"/>
      <c r="GY50" s="196"/>
      <c r="GZ50" s="196"/>
      <c r="HA50" s="198"/>
      <c r="HB50" s="196"/>
      <c r="HC50" s="196"/>
      <c r="HD50" s="196"/>
      <c r="HE50" s="196"/>
      <c r="HF50" s="196"/>
      <c r="HG50" s="199"/>
      <c r="HH50" s="196"/>
      <c r="HI50" s="196"/>
      <c r="HJ50" s="196"/>
      <c r="HK50" s="196"/>
      <c r="HL50" s="196"/>
      <c r="HM50" s="198"/>
      <c r="HN50" s="196"/>
      <c r="HO50" s="196"/>
      <c r="HP50" s="196"/>
      <c r="HQ50" s="196"/>
      <c r="HR50" s="196"/>
      <c r="HS50" s="199"/>
      <c r="HT50" s="196"/>
      <c r="HU50" s="196"/>
      <c r="HV50" s="196"/>
      <c r="HW50" s="196"/>
      <c r="HX50" s="196"/>
      <c r="HY50" s="198"/>
      <c r="HZ50" s="196"/>
      <c r="IA50" s="196"/>
      <c r="IB50" s="196"/>
      <c r="IC50" s="196"/>
      <c r="ID50" s="196"/>
      <c r="IE50" s="199"/>
      <c r="IF50" s="196"/>
      <c r="IG50" s="196"/>
      <c r="IH50" s="196"/>
      <c r="II50" s="196"/>
      <c r="IJ50" s="196"/>
      <c r="IK50" s="200"/>
      <c r="IL50" s="195"/>
      <c r="IM50" s="196"/>
      <c r="IN50" s="196"/>
      <c r="IO50" s="196"/>
      <c r="IP50" s="196"/>
      <c r="IQ50" s="197"/>
      <c r="IR50" s="196"/>
      <c r="IS50" s="196"/>
      <c r="IT50" s="196"/>
      <c r="IU50" s="196"/>
      <c r="IV50" s="196"/>
      <c r="IW50" s="198"/>
      <c r="IX50" s="196"/>
      <c r="IY50" s="196"/>
      <c r="IZ50" s="196"/>
      <c r="JA50" s="196"/>
      <c r="JB50" s="196"/>
      <c r="JC50" s="199"/>
      <c r="JD50" s="196"/>
      <c r="JE50" s="196"/>
      <c r="JF50" s="196"/>
      <c r="JG50" s="196"/>
      <c r="JH50" s="196"/>
      <c r="JI50" s="198"/>
      <c r="JJ50" s="196"/>
      <c r="JK50" s="196"/>
      <c r="JL50" s="196"/>
      <c r="JM50" s="196"/>
      <c r="JN50" s="196"/>
      <c r="JO50" s="199"/>
      <c r="JP50" s="196"/>
      <c r="JQ50" s="196"/>
      <c r="JR50" s="196"/>
      <c r="JS50" s="196"/>
      <c r="JT50" s="196"/>
      <c r="JU50" s="198"/>
      <c r="JV50" s="196"/>
      <c r="JW50" s="196"/>
      <c r="JX50" s="196"/>
      <c r="JY50" s="196"/>
      <c r="JZ50" s="196"/>
      <c r="KA50" s="199"/>
      <c r="KB50" s="196"/>
      <c r="KC50" s="196"/>
      <c r="KD50" s="196"/>
      <c r="KE50" s="196"/>
      <c r="KF50" s="196"/>
      <c r="KG50" s="198"/>
      <c r="KH50" s="196"/>
      <c r="KI50" s="196"/>
      <c r="KJ50" s="196"/>
      <c r="KK50" s="196"/>
      <c r="KL50" s="196"/>
      <c r="KM50" s="199"/>
      <c r="KN50" s="196"/>
      <c r="KO50" s="196"/>
      <c r="KP50" s="196"/>
      <c r="KQ50" s="196"/>
      <c r="KR50" s="196"/>
      <c r="KS50" s="200"/>
      <c r="KT50" s="195"/>
      <c r="KU50" s="196"/>
      <c r="KV50" s="196"/>
      <c r="KW50" s="196"/>
      <c r="KX50" s="196"/>
      <c r="KY50" s="197"/>
      <c r="KZ50" s="196"/>
      <c r="LA50" s="196"/>
      <c r="LB50" s="196"/>
      <c r="LC50" s="196"/>
      <c r="LD50" s="196"/>
      <c r="LE50" s="198"/>
      <c r="LF50" s="196"/>
      <c r="LG50" s="196"/>
      <c r="LH50" s="196"/>
      <c r="LI50" s="196"/>
      <c r="LJ50" s="196"/>
      <c r="LK50" s="199"/>
      <c r="LL50" s="196"/>
      <c r="LM50" s="196"/>
      <c r="LN50" s="196"/>
      <c r="LO50" s="196"/>
      <c r="LP50" s="196"/>
      <c r="LQ50" s="198"/>
      <c r="LR50" s="196"/>
      <c r="LS50" s="196"/>
      <c r="LT50" s="196"/>
      <c r="LU50" s="196"/>
      <c r="LV50" s="196"/>
      <c r="LW50" s="199"/>
      <c r="LX50" s="196"/>
      <c r="LY50" s="196"/>
      <c r="LZ50" s="196"/>
      <c r="MA50" s="196"/>
      <c r="MB50" s="196"/>
      <c r="MC50" s="198"/>
      <c r="MD50" s="196"/>
      <c r="ME50" s="196"/>
      <c r="MF50" s="196"/>
      <c r="MG50" s="196"/>
      <c r="MH50" s="196"/>
      <c r="MI50" s="199"/>
      <c r="MJ50" s="196"/>
      <c r="MK50" s="196"/>
      <c r="ML50" s="196"/>
      <c r="MM50" s="196"/>
      <c r="MN50" s="196"/>
      <c r="MO50" s="198"/>
      <c r="MP50" s="196"/>
      <c r="MQ50" s="196"/>
      <c r="MR50" s="196"/>
      <c r="MS50" s="196"/>
      <c r="MT50" s="196"/>
      <c r="MU50" s="199"/>
      <c r="MV50" s="196"/>
      <c r="MW50" s="196"/>
      <c r="MX50" s="196"/>
      <c r="MY50" s="196"/>
      <c r="MZ50" s="196"/>
      <c r="NA50" s="200"/>
      <c r="NB50" s="195"/>
      <c r="NC50" s="196"/>
      <c r="ND50" s="196"/>
      <c r="NE50" s="196"/>
      <c r="NF50" s="196"/>
      <c r="NG50" s="197"/>
      <c r="NH50" s="196"/>
      <c r="NI50" s="196"/>
      <c r="NJ50" s="196"/>
      <c r="NK50" s="196"/>
      <c r="NL50" s="196"/>
      <c r="NM50" s="198"/>
      <c r="NN50" s="196"/>
      <c r="NO50" s="196"/>
      <c r="NP50" s="196"/>
      <c r="NQ50" s="196"/>
      <c r="NR50" s="196"/>
      <c r="NS50" s="199"/>
      <c r="NT50" s="196"/>
      <c r="NU50" s="196"/>
      <c r="NV50" s="196"/>
      <c r="NW50" s="196"/>
      <c r="NX50" s="196"/>
      <c r="NY50" s="198"/>
      <c r="NZ50" s="196"/>
      <c r="OA50" s="196"/>
      <c r="OB50" s="196"/>
      <c r="OC50" s="196"/>
      <c r="OD50" s="196"/>
      <c r="OE50" s="199"/>
      <c r="OF50" s="196"/>
      <c r="OG50" s="196"/>
      <c r="OH50" s="196"/>
      <c r="OI50" s="196"/>
      <c r="OJ50" s="196"/>
      <c r="OK50" s="198"/>
      <c r="OL50" s="196"/>
      <c r="OM50" s="196"/>
      <c r="ON50" s="196"/>
      <c r="OO50" s="196"/>
      <c r="OP50" s="196"/>
      <c r="OQ50" s="199"/>
      <c r="OR50" s="196"/>
      <c r="OS50" s="196"/>
      <c r="OT50" s="196"/>
      <c r="OU50" s="196"/>
      <c r="OV50" s="196"/>
      <c r="OW50" s="198"/>
      <c r="OX50" s="196"/>
      <c r="OY50" s="196"/>
      <c r="OZ50" s="196"/>
      <c r="PA50" s="196"/>
      <c r="PB50" s="196"/>
      <c r="PC50" s="199"/>
      <c r="PD50" s="196"/>
      <c r="PE50" s="196"/>
      <c r="PF50" s="196"/>
      <c r="PG50" s="196"/>
      <c r="PH50" s="196"/>
      <c r="PI50" s="200"/>
      <c r="PJ50" s="195"/>
      <c r="PK50" s="196"/>
      <c r="PL50" s="196"/>
      <c r="PM50" s="196"/>
      <c r="PN50" s="196"/>
      <c r="PO50" s="197"/>
      <c r="PP50" s="196"/>
      <c r="PQ50" s="196"/>
      <c r="PR50" s="196"/>
      <c r="PS50" s="196"/>
      <c r="PT50" s="196"/>
      <c r="PU50" s="198"/>
      <c r="PV50" s="196"/>
      <c r="PW50" s="196"/>
      <c r="PX50" s="196"/>
      <c r="PY50" s="196"/>
      <c r="PZ50" s="196"/>
      <c r="QA50" s="199"/>
      <c r="QB50" s="196"/>
      <c r="QC50" s="196"/>
      <c r="QD50" s="196"/>
      <c r="QE50" s="196"/>
      <c r="QF50" s="196"/>
      <c r="QG50" s="198"/>
      <c r="QH50" s="196"/>
      <c r="QI50" s="196"/>
      <c r="QJ50" s="196"/>
      <c r="QK50" s="196"/>
      <c r="QL50" s="196"/>
      <c r="QM50" s="199"/>
      <c r="QN50" s="196"/>
      <c r="QO50" s="196"/>
      <c r="QP50" s="196"/>
      <c r="QQ50" s="196"/>
      <c r="QR50" s="196"/>
      <c r="QS50" s="198"/>
      <c r="QT50" s="196"/>
      <c r="QU50" s="196"/>
      <c r="QV50" s="196"/>
      <c r="QW50" s="196"/>
      <c r="QX50" s="196"/>
      <c r="QY50" s="199"/>
      <c r="QZ50" s="196"/>
      <c r="RA50" s="196"/>
      <c r="RB50" s="196"/>
      <c r="RC50" s="196"/>
      <c r="RD50" s="196"/>
      <c r="RE50" s="198"/>
      <c r="RF50" s="196"/>
      <c r="RG50" s="196"/>
      <c r="RH50" s="196"/>
      <c r="RI50" s="196"/>
      <c r="RJ50" s="196"/>
      <c r="RK50" s="199"/>
      <c r="RL50" s="196"/>
      <c r="RM50" s="196"/>
      <c r="RN50" s="196"/>
      <c r="RO50" s="196"/>
      <c r="RP50" s="196"/>
      <c r="RQ50" s="200"/>
      <c r="RR50" s="195"/>
      <c r="RS50" s="196"/>
      <c r="RT50" s="196"/>
      <c r="RU50" s="196"/>
      <c r="RV50" s="196"/>
      <c r="RW50" s="197"/>
      <c r="RX50" s="196"/>
      <c r="RY50" s="196"/>
      <c r="RZ50" s="196"/>
      <c r="SA50" s="196"/>
      <c r="SB50" s="196"/>
      <c r="SC50" s="198"/>
      <c r="SD50" s="196"/>
      <c r="SE50" s="196"/>
      <c r="SF50" s="196"/>
      <c r="SG50" s="196"/>
      <c r="SH50" s="196"/>
      <c r="SI50" s="199"/>
      <c r="SJ50" s="196"/>
      <c r="SK50" s="196"/>
      <c r="SL50" s="196"/>
      <c r="SM50" s="196"/>
      <c r="SN50" s="196"/>
      <c r="SO50" s="198"/>
      <c r="SP50" s="196"/>
      <c r="SQ50" s="196"/>
      <c r="SR50" s="196"/>
      <c r="SS50" s="196"/>
      <c r="ST50" s="196"/>
      <c r="SU50" s="199"/>
      <c r="SV50" s="196"/>
      <c r="SW50" s="196"/>
      <c r="SX50" s="196"/>
      <c r="SY50" s="196"/>
      <c r="SZ50" s="196"/>
      <c r="TA50" s="198"/>
      <c r="TB50" s="196"/>
      <c r="TC50" s="196"/>
      <c r="TD50" s="196"/>
      <c r="TE50" s="196"/>
      <c r="TF50" s="196"/>
      <c r="TG50" s="199"/>
      <c r="TH50" s="196"/>
      <c r="TI50" s="196"/>
      <c r="TJ50" s="196"/>
      <c r="TK50" s="196"/>
      <c r="TL50" s="196"/>
      <c r="TM50" s="198"/>
      <c r="TN50" s="196"/>
      <c r="TO50" s="196"/>
      <c r="TP50" s="196"/>
      <c r="TQ50" s="196"/>
      <c r="TR50" s="196"/>
      <c r="TS50" s="199"/>
      <c r="TT50" s="196"/>
      <c r="TU50" s="196"/>
      <c r="TV50" s="196"/>
      <c r="TW50" s="196"/>
      <c r="TX50" s="196"/>
      <c r="TY50" s="200"/>
      <c r="TZ50" s="195"/>
      <c r="UA50" s="196"/>
      <c r="UB50" s="196"/>
      <c r="UC50" s="196"/>
      <c r="UD50" s="196"/>
      <c r="UE50" s="197"/>
      <c r="UF50" s="196"/>
      <c r="UG50" s="196"/>
      <c r="UH50" s="196"/>
      <c r="UI50" s="196"/>
      <c r="UJ50" s="196"/>
      <c r="UK50" s="198"/>
      <c r="UL50" s="196"/>
      <c r="UM50" s="196"/>
      <c r="UN50" s="196"/>
      <c r="UO50" s="196"/>
      <c r="UP50" s="196"/>
      <c r="UQ50" s="199"/>
      <c r="UR50" s="196"/>
      <c r="US50" s="196"/>
      <c r="UT50" s="196"/>
      <c r="UU50" s="196"/>
      <c r="UV50" s="196"/>
      <c r="UW50" s="198"/>
      <c r="UX50" s="196"/>
      <c r="UY50" s="196"/>
      <c r="UZ50" s="196"/>
      <c r="VA50" s="196"/>
      <c r="VB50" s="196"/>
      <c r="VC50" s="199"/>
      <c r="VD50" s="196"/>
      <c r="VE50" s="196"/>
      <c r="VF50" s="196"/>
      <c r="VG50" s="196"/>
      <c r="VH50" s="196"/>
      <c r="VI50" s="198"/>
      <c r="VJ50" s="196"/>
      <c r="VK50" s="196"/>
      <c r="VL50" s="196"/>
      <c r="VM50" s="196"/>
      <c r="VN50" s="196"/>
      <c r="VO50" s="199"/>
      <c r="VP50" s="196"/>
      <c r="VQ50" s="196"/>
      <c r="VR50" s="196"/>
      <c r="VS50" s="196"/>
      <c r="VT50" s="196"/>
      <c r="VU50" s="198"/>
      <c r="VV50" s="196"/>
      <c r="VW50" s="196"/>
      <c r="VX50" s="196"/>
      <c r="VY50" s="196"/>
      <c r="VZ50" s="196"/>
      <c r="WA50" s="199"/>
      <c r="WB50" s="196"/>
      <c r="WC50" s="196"/>
      <c r="WD50" s="196"/>
      <c r="WE50" s="196"/>
      <c r="WF50" s="196"/>
      <c r="WG50" s="200"/>
      <c r="WH50" s="195"/>
      <c r="WI50" s="196"/>
      <c r="WJ50" s="196"/>
      <c r="WK50" s="196"/>
      <c r="WL50" s="196"/>
      <c r="WM50" s="197"/>
      <c r="WN50" s="196"/>
      <c r="WO50" s="196"/>
      <c r="WP50" s="196"/>
      <c r="WQ50" s="196"/>
      <c r="WR50" s="196"/>
      <c r="WS50" s="198"/>
      <c r="WT50" s="196"/>
      <c r="WU50" s="196"/>
      <c r="WV50" s="196"/>
      <c r="WW50" s="196"/>
      <c r="WX50" s="196"/>
      <c r="WY50" s="199"/>
      <c r="WZ50" s="196"/>
      <c r="XA50" s="196"/>
      <c r="XB50" s="196"/>
      <c r="XC50" s="196"/>
      <c r="XD50" s="196"/>
      <c r="XE50" s="198"/>
      <c r="XF50" s="196"/>
      <c r="XG50" s="196"/>
      <c r="XH50" s="196"/>
      <c r="XI50" s="196"/>
      <c r="XJ50" s="196"/>
      <c r="XK50" s="199"/>
      <c r="XL50" s="196"/>
      <c r="XM50" s="196"/>
      <c r="XN50" s="196"/>
      <c r="XO50" s="196"/>
      <c r="XP50" s="196"/>
      <c r="XQ50" s="198"/>
      <c r="XR50" s="196"/>
      <c r="XS50" s="196"/>
      <c r="XT50" s="196"/>
      <c r="XU50" s="196"/>
      <c r="XV50" s="196"/>
      <c r="XW50" s="199"/>
      <c r="XX50" s="196"/>
      <c r="XY50" s="196"/>
      <c r="XZ50" s="196"/>
      <c r="YA50" s="196"/>
      <c r="YB50" s="196"/>
      <c r="YC50" s="198"/>
      <c r="YD50" s="196"/>
      <c r="YE50" s="196"/>
      <c r="YF50" s="196"/>
      <c r="YG50" s="196"/>
      <c r="YH50" s="196"/>
      <c r="YI50" s="199"/>
      <c r="YJ50" s="196"/>
      <c r="YK50" s="196"/>
      <c r="YL50" s="196"/>
      <c r="YM50" s="196"/>
      <c r="YN50" s="196"/>
      <c r="YO50" s="200"/>
      <c r="YP50" s="195"/>
      <c r="YQ50" s="196"/>
      <c r="YR50" s="196"/>
      <c r="YS50" s="196"/>
      <c r="YT50" s="196"/>
      <c r="YU50" s="197"/>
      <c r="YV50" s="196"/>
      <c r="YW50" s="196"/>
      <c r="YX50" s="196"/>
      <c r="YY50" s="196"/>
      <c r="YZ50" s="196"/>
      <c r="ZA50" s="198"/>
      <c r="ZB50" s="196"/>
      <c r="ZC50" s="196"/>
      <c r="ZD50" s="196"/>
      <c r="ZE50" s="196"/>
      <c r="ZF50" s="196"/>
      <c r="ZG50" s="199"/>
      <c r="ZH50" s="196"/>
      <c r="ZI50" s="196"/>
      <c r="ZJ50" s="196"/>
      <c r="ZK50" s="196"/>
      <c r="ZL50" s="196"/>
      <c r="ZM50" s="198"/>
      <c r="ZN50" s="196"/>
      <c r="ZO50" s="196"/>
      <c r="ZP50" s="196"/>
      <c r="ZQ50" s="196"/>
      <c r="ZR50" s="196"/>
      <c r="ZS50" s="199"/>
      <c r="ZT50" s="196"/>
      <c r="ZU50" s="196"/>
      <c r="ZV50" s="196"/>
      <c r="ZW50" s="196"/>
      <c r="ZX50" s="196"/>
      <c r="ZY50" s="198"/>
      <c r="ZZ50" s="196"/>
      <c r="AAA50" s="196"/>
      <c r="AAB50" s="196"/>
      <c r="AAC50" s="196"/>
      <c r="AAD50" s="196"/>
      <c r="AAE50" s="199"/>
      <c r="AAF50" s="196"/>
      <c r="AAG50" s="196"/>
      <c r="AAH50" s="196"/>
      <c r="AAI50" s="196"/>
      <c r="AAJ50" s="196"/>
      <c r="AAK50" s="198"/>
      <c r="AAL50" s="196"/>
      <c r="AAM50" s="196"/>
      <c r="AAN50" s="196"/>
      <c r="AAO50" s="196"/>
      <c r="AAP50" s="196"/>
      <c r="AAQ50" s="199"/>
      <c r="AAR50" s="196"/>
      <c r="AAS50" s="196"/>
      <c r="AAT50" s="196"/>
      <c r="AAU50" s="196"/>
      <c r="AAV50" s="196"/>
      <c r="AAW50" s="200"/>
      <c r="AAX50" s="195"/>
      <c r="AAY50" s="196"/>
      <c r="AAZ50" s="196"/>
      <c r="ABA50" s="196"/>
      <c r="ABB50" s="196"/>
      <c r="ABC50" s="197"/>
      <c r="ABD50" s="196"/>
      <c r="ABE50" s="196"/>
      <c r="ABF50" s="196"/>
      <c r="ABG50" s="196"/>
      <c r="ABH50" s="196"/>
      <c r="ABI50" s="198"/>
      <c r="ABJ50" s="196"/>
      <c r="ABK50" s="196"/>
      <c r="ABL50" s="196"/>
      <c r="ABM50" s="196"/>
      <c r="ABN50" s="196"/>
      <c r="ABO50" s="199"/>
      <c r="ABP50" s="196"/>
      <c r="ABQ50" s="196"/>
      <c r="ABR50" s="196"/>
      <c r="ABS50" s="196"/>
      <c r="ABT50" s="196"/>
      <c r="ABU50" s="198"/>
      <c r="ABV50" s="196"/>
      <c r="ABW50" s="196"/>
      <c r="ABX50" s="196"/>
      <c r="ABY50" s="196"/>
      <c r="ABZ50" s="196"/>
      <c r="ACA50" s="199"/>
      <c r="ACB50" s="196"/>
      <c r="ACC50" s="196"/>
      <c r="ACD50" s="196"/>
      <c r="ACE50" s="196"/>
      <c r="ACF50" s="196"/>
      <c r="ACG50" s="198"/>
      <c r="ACH50" s="196"/>
      <c r="ACI50" s="196"/>
      <c r="ACJ50" s="196"/>
      <c r="ACK50" s="196"/>
      <c r="ACL50" s="196"/>
      <c r="ACM50" s="199"/>
      <c r="ACN50" s="196"/>
      <c r="ACO50" s="196"/>
      <c r="ACP50" s="196"/>
      <c r="ACQ50" s="196"/>
      <c r="ACR50" s="196"/>
      <c r="ACS50" s="198"/>
      <c r="ACT50" s="196"/>
      <c r="ACU50" s="196"/>
      <c r="ACV50" s="196"/>
      <c r="ACW50" s="196"/>
      <c r="ACX50" s="196"/>
      <c r="ACY50" s="199"/>
      <c r="ACZ50" s="196"/>
      <c r="ADA50" s="196"/>
      <c r="ADB50" s="196"/>
      <c r="ADC50" s="196"/>
      <c r="ADD50" s="196"/>
      <c r="ADE50" s="200"/>
      <c r="ADF50" s="195"/>
      <c r="ADG50" s="196"/>
      <c r="ADH50" s="196"/>
      <c r="ADI50" s="196"/>
      <c r="ADJ50" s="196"/>
      <c r="ADK50" s="197"/>
      <c r="ADL50" s="196"/>
      <c r="ADM50" s="196"/>
      <c r="ADN50" s="196"/>
      <c r="ADO50" s="196"/>
      <c r="ADP50" s="196"/>
      <c r="ADQ50" s="198"/>
      <c r="ADR50" s="196"/>
      <c r="ADS50" s="196"/>
      <c r="ADT50" s="196"/>
      <c r="ADU50" s="196"/>
      <c r="ADV50" s="196"/>
      <c r="ADW50" s="199"/>
      <c r="ADX50" s="196"/>
      <c r="ADY50" s="196"/>
      <c r="ADZ50" s="196"/>
      <c r="AEA50" s="196"/>
      <c r="AEB50" s="196"/>
      <c r="AEC50" s="198"/>
      <c r="AED50" s="196"/>
      <c r="AEE50" s="196"/>
      <c r="AEF50" s="196"/>
      <c r="AEG50" s="196"/>
      <c r="AEH50" s="196"/>
      <c r="AEI50" s="199"/>
      <c r="AEJ50" s="196"/>
      <c r="AEK50" s="196"/>
      <c r="AEL50" s="196"/>
      <c r="AEM50" s="196"/>
      <c r="AEN50" s="196"/>
      <c r="AEO50" s="198"/>
      <c r="AEP50" s="196"/>
      <c r="AEQ50" s="196"/>
      <c r="AER50" s="196"/>
      <c r="AES50" s="196"/>
      <c r="AET50" s="196"/>
      <c r="AEU50" s="199"/>
      <c r="AEV50" s="196"/>
      <c r="AEW50" s="196"/>
      <c r="AEX50" s="196"/>
      <c r="AEY50" s="196"/>
      <c r="AEZ50" s="196"/>
      <c r="AFA50" s="198"/>
      <c r="AFB50" s="196"/>
      <c r="AFC50" s="196"/>
      <c r="AFD50" s="196"/>
      <c r="AFE50" s="196"/>
      <c r="AFF50" s="196"/>
      <c r="AFG50" s="199"/>
      <c r="AFH50" s="196"/>
      <c r="AFI50" s="196"/>
      <c r="AFJ50" s="196"/>
      <c r="AFK50" s="196"/>
      <c r="AFL50" s="196"/>
      <c r="AFM50" s="200"/>
      <c r="AFN50" s="195"/>
      <c r="AFO50" s="196"/>
      <c r="AFP50" s="196"/>
      <c r="AFQ50" s="196"/>
      <c r="AFR50" s="196"/>
      <c r="AFS50" s="197"/>
      <c r="AFT50" s="196"/>
      <c r="AFU50" s="196"/>
      <c r="AFV50" s="196"/>
      <c r="AFW50" s="196"/>
      <c r="AFX50" s="196"/>
      <c r="AFY50" s="198"/>
      <c r="AFZ50" s="196"/>
      <c r="AGA50" s="196"/>
      <c r="AGB50" s="196"/>
      <c r="AGC50" s="196"/>
      <c r="AGD50" s="196"/>
      <c r="AGE50" s="199"/>
      <c r="AGF50" s="196"/>
      <c r="AGG50" s="196"/>
      <c r="AGH50" s="196"/>
      <c r="AGI50" s="196"/>
      <c r="AGJ50" s="196"/>
      <c r="AGK50" s="198"/>
      <c r="AGL50" s="196"/>
      <c r="AGM50" s="196"/>
      <c r="AGN50" s="196"/>
      <c r="AGO50" s="196"/>
      <c r="AGP50" s="196"/>
      <c r="AGQ50" s="199"/>
      <c r="AGR50" s="196"/>
      <c r="AGS50" s="196"/>
      <c r="AGT50" s="196"/>
      <c r="AGU50" s="196"/>
      <c r="AGV50" s="196"/>
      <c r="AGW50" s="198"/>
      <c r="AGX50" s="196"/>
      <c r="AGY50" s="196"/>
      <c r="AGZ50" s="196"/>
      <c r="AHA50" s="196"/>
      <c r="AHB50" s="196"/>
      <c r="AHC50" s="199"/>
      <c r="AHD50" s="196"/>
      <c r="AHE50" s="196"/>
      <c r="AHF50" s="196"/>
      <c r="AHG50" s="196"/>
      <c r="AHH50" s="196"/>
      <c r="AHI50" s="198"/>
      <c r="AHJ50" s="196"/>
      <c r="AHK50" s="196"/>
      <c r="AHL50" s="196"/>
      <c r="AHM50" s="196"/>
      <c r="AHN50" s="196"/>
      <c r="AHO50" s="199"/>
      <c r="AHP50" s="196"/>
      <c r="AHQ50" s="196"/>
      <c r="AHR50" s="196"/>
      <c r="AHS50" s="196"/>
      <c r="AHT50" s="196"/>
      <c r="AHU50" s="200"/>
      <c r="AHV50" s="195"/>
      <c r="AHW50" s="196"/>
      <c r="AHX50" s="196"/>
      <c r="AHY50" s="196"/>
      <c r="AHZ50" s="196"/>
      <c r="AIA50" s="197"/>
      <c r="AIB50" s="196"/>
      <c r="AIC50" s="196"/>
      <c r="AID50" s="196"/>
      <c r="AIE50" s="196"/>
      <c r="AIF50" s="196"/>
      <c r="AIG50" s="198"/>
      <c r="AIH50" s="196"/>
      <c r="AII50" s="196"/>
      <c r="AIJ50" s="196"/>
      <c r="AIK50" s="196"/>
      <c r="AIL50" s="196"/>
      <c r="AIM50" s="199"/>
      <c r="AIN50" s="196"/>
      <c r="AIO50" s="196"/>
      <c r="AIP50" s="196"/>
      <c r="AIQ50" s="196"/>
      <c r="AIR50" s="196"/>
      <c r="AIS50" s="198"/>
      <c r="AIT50" s="196"/>
      <c r="AIU50" s="196"/>
      <c r="AIV50" s="196"/>
      <c r="AIW50" s="196"/>
      <c r="AIX50" s="196"/>
      <c r="AIY50" s="199"/>
      <c r="AIZ50" s="196"/>
      <c r="AJA50" s="196"/>
      <c r="AJB50" s="196"/>
      <c r="AJC50" s="196"/>
      <c r="AJD50" s="196"/>
      <c r="AJE50" s="198"/>
      <c r="AJF50" s="196"/>
      <c r="AJG50" s="196"/>
      <c r="AJH50" s="196"/>
      <c r="AJI50" s="196"/>
      <c r="AJJ50" s="196"/>
      <c r="AJK50" s="199"/>
      <c r="AJL50" s="196"/>
      <c r="AJM50" s="196"/>
      <c r="AJN50" s="196"/>
      <c r="AJO50" s="196"/>
      <c r="AJP50" s="196"/>
      <c r="AJQ50" s="198"/>
      <c r="AJR50" s="196"/>
      <c r="AJS50" s="196"/>
      <c r="AJT50" s="196"/>
      <c r="AJU50" s="196"/>
      <c r="AJV50" s="196"/>
      <c r="AJW50" s="199"/>
      <c r="AJX50" s="196"/>
      <c r="AJY50" s="196"/>
      <c r="AJZ50" s="196"/>
      <c r="AKA50" s="196"/>
      <c r="AKB50" s="196"/>
      <c r="AKC50" s="200"/>
      <c r="AKD50" s="195"/>
      <c r="AKE50" s="196"/>
      <c r="AKF50" s="196"/>
      <c r="AKG50" s="196"/>
      <c r="AKH50" s="196"/>
      <c r="AKI50" s="197"/>
      <c r="AKJ50" s="196"/>
      <c r="AKK50" s="196"/>
      <c r="AKL50" s="196"/>
      <c r="AKM50" s="196"/>
      <c r="AKN50" s="196"/>
      <c r="AKO50" s="198"/>
      <c r="AKP50" s="196"/>
      <c r="AKQ50" s="196"/>
      <c r="AKR50" s="196"/>
      <c r="AKS50" s="196"/>
      <c r="AKT50" s="196"/>
      <c r="AKU50" s="199"/>
      <c r="AKV50" s="196"/>
      <c r="AKW50" s="196"/>
      <c r="AKX50" s="196"/>
      <c r="AKY50" s="196"/>
      <c r="AKZ50" s="196"/>
      <c r="ALA50" s="198"/>
      <c r="ALB50" s="196"/>
      <c r="ALC50" s="196"/>
      <c r="ALD50" s="196"/>
      <c r="ALE50" s="196"/>
      <c r="ALF50" s="196"/>
      <c r="ALG50" s="199"/>
      <c r="ALH50" s="196"/>
      <c r="ALI50" s="196"/>
      <c r="ALJ50" s="196"/>
      <c r="ALK50" s="196"/>
      <c r="ALL50" s="196"/>
      <c r="ALM50" s="198"/>
      <c r="ALN50" s="196"/>
      <c r="ALO50" s="196"/>
      <c r="ALP50" s="196"/>
      <c r="ALQ50" s="196"/>
      <c r="ALR50" s="196"/>
      <c r="ALS50" s="199"/>
      <c r="ALT50" s="196"/>
      <c r="ALU50" s="196"/>
      <c r="ALV50" s="196"/>
      <c r="ALW50" s="196"/>
      <c r="ALX50" s="196"/>
      <c r="ALY50" s="198"/>
      <c r="ALZ50" s="196"/>
      <c r="AMA50" s="196"/>
      <c r="AMB50" s="196"/>
      <c r="AMC50" s="196"/>
      <c r="AMD50" s="196"/>
      <c r="AME50" s="199"/>
      <c r="AMF50" s="196"/>
      <c r="AMG50" s="196"/>
      <c r="AMH50" s="196"/>
      <c r="AMI50" s="196"/>
      <c r="AMJ50" s="196"/>
      <c r="AMK50" s="200"/>
      <c r="AML50" s="195"/>
      <c r="AMM50" s="196"/>
      <c r="AMN50" s="196"/>
      <c r="AMO50" s="196"/>
      <c r="AMP50" s="196"/>
      <c r="AMQ50" s="197"/>
      <c r="AMR50" s="196"/>
      <c r="AMS50" s="196"/>
      <c r="AMT50" s="196"/>
      <c r="AMU50" s="196"/>
      <c r="AMV50" s="196"/>
      <c r="AMW50" s="198"/>
      <c r="AMX50" s="196"/>
      <c r="AMY50" s="196"/>
      <c r="AMZ50" s="196"/>
      <c r="ANA50" s="196"/>
      <c r="ANB50" s="196"/>
      <c r="ANC50" s="199"/>
      <c r="AND50" s="196"/>
      <c r="ANE50" s="196"/>
      <c r="ANF50" s="196"/>
      <c r="ANG50" s="196"/>
      <c r="ANH50" s="196"/>
      <c r="ANI50" s="198"/>
      <c r="ANJ50" s="196"/>
      <c r="ANK50" s="196"/>
      <c r="ANL50" s="196"/>
      <c r="ANM50" s="196"/>
      <c r="ANN50" s="196"/>
      <c r="ANO50" s="199"/>
      <c r="ANP50" s="196"/>
      <c r="ANQ50" s="196"/>
      <c r="ANR50" s="196"/>
      <c r="ANS50" s="196"/>
      <c r="ANT50" s="196"/>
      <c r="ANU50" s="198"/>
      <c r="ANV50" s="196"/>
      <c r="ANW50" s="196"/>
      <c r="ANX50" s="196"/>
      <c r="ANY50" s="196"/>
      <c r="ANZ50" s="196"/>
      <c r="AOA50" s="199"/>
      <c r="AOB50" s="196"/>
      <c r="AOC50" s="196"/>
      <c r="AOD50" s="196"/>
      <c r="AOE50" s="196"/>
      <c r="AOF50" s="196"/>
      <c r="AOG50" s="198"/>
      <c r="AOH50" s="196"/>
      <c r="AOI50" s="196"/>
      <c r="AOJ50" s="196"/>
      <c r="AOK50" s="196"/>
      <c r="AOL50" s="196"/>
      <c r="AOM50" s="199"/>
      <c r="AON50" s="196"/>
      <c r="AOO50" s="196"/>
      <c r="AOP50" s="196"/>
      <c r="AOQ50" s="196"/>
      <c r="AOR50" s="196"/>
      <c r="AOS50" s="200"/>
      <c r="AOT50" s="195"/>
      <c r="AOU50" s="196"/>
      <c r="AOV50" s="196"/>
      <c r="AOW50" s="196"/>
      <c r="AOX50" s="196"/>
      <c r="AOY50" s="197"/>
      <c r="AOZ50" s="196"/>
      <c r="APA50" s="196"/>
      <c r="APB50" s="196"/>
      <c r="APC50" s="196"/>
      <c r="APD50" s="196"/>
      <c r="APE50" s="198"/>
      <c r="APF50" s="196"/>
      <c r="APG50" s="196"/>
      <c r="APH50" s="196"/>
      <c r="API50" s="196"/>
      <c r="APJ50" s="196"/>
      <c r="APK50" s="199"/>
      <c r="APL50" s="196"/>
      <c r="APM50" s="196"/>
      <c r="APN50" s="196"/>
      <c r="APO50" s="196"/>
      <c r="APP50" s="196"/>
      <c r="APQ50" s="198"/>
      <c r="APR50" s="196"/>
      <c r="APS50" s="196"/>
      <c r="APT50" s="196"/>
      <c r="APU50" s="196"/>
      <c r="APV50" s="196"/>
      <c r="APW50" s="199"/>
      <c r="APX50" s="196"/>
      <c r="APY50" s="196"/>
      <c r="APZ50" s="196"/>
      <c r="AQA50" s="196"/>
      <c r="AQB50" s="196"/>
      <c r="AQC50" s="198"/>
      <c r="AQD50" s="196"/>
      <c r="AQE50" s="196"/>
      <c r="AQF50" s="196"/>
      <c r="AQG50" s="196"/>
      <c r="AQH50" s="196"/>
      <c r="AQI50" s="199"/>
      <c r="AQJ50" s="196"/>
      <c r="AQK50" s="196"/>
      <c r="AQL50" s="196"/>
      <c r="AQM50" s="196"/>
      <c r="AQN50" s="196"/>
      <c r="AQO50" s="198"/>
      <c r="AQP50" s="196"/>
      <c r="AQQ50" s="196"/>
      <c r="AQR50" s="196"/>
      <c r="AQS50" s="196"/>
      <c r="AQT50" s="196"/>
      <c r="AQU50" s="199"/>
      <c r="AQV50" s="196"/>
      <c r="AQW50" s="196"/>
      <c r="AQX50" s="196"/>
      <c r="AQY50" s="196"/>
      <c r="AQZ50" s="196"/>
      <c r="ARA50" s="200"/>
      <c r="ARB50" s="195"/>
      <c r="ARC50" s="196"/>
      <c r="ARD50" s="196"/>
      <c r="ARE50" s="196"/>
      <c r="ARF50" s="196"/>
      <c r="ARG50" s="197"/>
      <c r="ARH50" s="196"/>
      <c r="ARI50" s="196"/>
      <c r="ARJ50" s="196"/>
      <c r="ARK50" s="196"/>
      <c r="ARL50" s="196"/>
      <c r="ARM50" s="198"/>
      <c r="ARN50" s="196"/>
      <c r="ARO50" s="196"/>
      <c r="ARP50" s="196"/>
      <c r="ARQ50" s="196"/>
      <c r="ARR50" s="196"/>
      <c r="ARS50" s="199"/>
      <c r="ART50" s="196"/>
      <c r="ARU50" s="196"/>
      <c r="ARV50" s="196"/>
      <c r="ARW50" s="196"/>
      <c r="ARX50" s="196"/>
      <c r="ARY50" s="198"/>
      <c r="ARZ50" s="196"/>
      <c r="ASA50" s="196"/>
      <c r="ASB50" s="196"/>
      <c r="ASC50" s="196"/>
      <c r="ASD50" s="196"/>
      <c r="ASE50" s="199"/>
      <c r="ASF50" s="196"/>
      <c r="ASG50" s="196"/>
      <c r="ASH50" s="196"/>
      <c r="ASI50" s="196"/>
      <c r="ASJ50" s="196"/>
      <c r="ASK50" s="198"/>
      <c r="ASL50" s="196"/>
      <c r="ASM50" s="196"/>
      <c r="ASN50" s="196"/>
      <c r="ASO50" s="196"/>
      <c r="ASP50" s="196"/>
      <c r="ASQ50" s="199"/>
      <c r="ASR50" s="196"/>
      <c r="ASS50" s="196"/>
      <c r="AST50" s="196"/>
      <c r="ASU50" s="196"/>
      <c r="ASV50" s="196"/>
      <c r="ASW50" s="198"/>
      <c r="ASX50" s="196"/>
      <c r="ASY50" s="196"/>
      <c r="ASZ50" s="196"/>
      <c r="ATA50" s="196"/>
      <c r="ATB50" s="196"/>
      <c r="ATC50" s="199"/>
      <c r="ATD50" s="196"/>
      <c r="ATE50" s="196"/>
      <c r="ATF50" s="196"/>
      <c r="ATG50" s="196"/>
      <c r="ATH50" s="196"/>
      <c r="ATI50" s="200"/>
      <c r="ATJ50" s="195"/>
      <c r="ATK50" s="196"/>
      <c r="ATL50" s="196"/>
      <c r="ATM50" s="196"/>
      <c r="ATN50" s="196"/>
      <c r="ATO50" s="197"/>
      <c r="ATP50" s="196"/>
      <c r="ATQ50" s="196"/>
      <c r="ATR50" s="196"/>
      <c r="ATS50" s="196"/>
      <c r="ATT50" s="196"/>
      <c r="ATU50" s="198"/>
      <c r="ATV50" s="196"/>
      <c r="ATW50" s="196"/>
      <c r="ATX50" s="196"/>
      <c r="ATY50" s="196"/>
      <c r="ATZ50" s="196"/>
      <c r="AUA50" s="199"/>
      <c r="AUB50" s="196"/>
      <c r="AUC50" s="196"/>
      <c r="AUD50" s="196"/>
      <c r="AUE50" s="196"/>
      <c r="AUF50" s="196"/>
      <c r="AUG50" s="198"/>
      <c r="AUH50" s="196"/>
      <c r="AUI50" s="196"/>
      <c r="AUJ50" s="196"/>
      <c r="AUK50" s="196"/>
      <c r="AUL50" s="196"/>
      <c r="AUM50" s="199"/>
      <c r="AUN50" s="196"/>
      <c r="AUO50" s="196"/>
      <c r="AUP50" s="196"/>
      <c r="AUQ50" s="196"/>
      <c r="AUR50" s="196"/>
      <c r="AUS50" s="198"/>
      <c r="AUT50" s="196"/>
      <c r="AUU50" s="196"/>
      <c r="AUV50" s="196"/>
      <c r="AUW50" s="196"/>
      <c r="AUX50" s="196"/>
      <c r="AUY50" s="199"/>
      <c r="AUZ50" s="196"/>
      <c r="AVA50" s="196"/>
      <c r="AVB50" s="196"/>
      <c r="AVC50" s="196"/>
      <c r="AVD50" s="196"/>
      <c r="AVE50" s="198"/>
      <c r="AVF50" s="196"/>
      <c r="AVG50" s="196"/>
      <c r="AVH50" s="196"/>
      <c r="AVI50" s="196"/>
      <c r="AVJ50" s="196"/>
      <c r="AVK50" s="199"/>
      <c r="AVL50" s="196"/>
      <c r="AVM50" s="196"/>
      <c r="AVN50" s="196"/>
      <c r="AVO50" s="196"/>
      <c r="AVP50" s="196"/>
      <c r="AVQ50" s="200"/>
      <c r="AVR50" s="195"/>
      <c r="AVS50" s="196"/>
      <c r="AVT50" s="196"/>
      <c r="AVU50" s="196"/>
      <c r="AVV50" s="196"/>
      <c r="AVW50" s="197"/>
      <c r="AVX50" s="196"/>
      <c r="AVY50" s="196"/>
      <c r="AVZ50" s="196"/>
      <c r="AWA50" s="196"/>
      <c r="AWB50" s="196"/>
      <c r="AWC50" s="198"/>
      <c r="AWD50" s="196"/>
      <c r="AWE50" s="196"/>
      <c r="AWF50" s="196"/>
      <c r="AWG50" s="196"/>
      <c r="AWH50" s="196"/>
      <c r="AWI50" s="199"/>
      <c r="AWJ50" s="196"/>
      <c r="AWK50" s="196"/>
      <c r="AWL50" s="196"/>
      <c r="AWM50" s="196"/>
      <c r="AWN50" s="196"/>
      <c r="AWO50" s="198"/>
      <c r="AWP50" s="196"/>
      <c r="AWQ50" s="196"/>
      <c r="AWR50" s="196"/>
      <c r="AWS50" s="196"/>
      <c r="AWT50" s="196"/>
      <c r="AWU50" s="199"/>
      <c r="AWV50" s="196"/>
      <c r="AWW50" s="196"/>
      <c r="AWX50" s="196"/>
      <c r="AWY50" s="196"/>
      <c r="AWZ50" s="196"/>
      <c r="AXA50" s="198"/>
      <c r="AXB50" s="196"/>
      <c r="AXC50" s="196"/>
      <c r="AXD50" s="196"/>
      <c r="AXE50" s="196"/>
      <c r="AXF50" s="196"/>
      <c r="AXG50" s="199"/>
      <c r="AXH50" s="196"/>
      <c r="AXI50" s="196"/>
      <c r="AXJ50" s="196"/>
      <c r="AXK50" s="196"/>
      <c r="AXL50" s="196"/>
      <c r="AXM50" s="198"/>
      <c r="AXN50" s="196"/>
      <c r="AXO50" s="196"/>
      <c r="AXP50" s="196"/>
      <c r="AXQ50" s="196"/>
      <c r="AXR50" s="196"/>
      <c r="AXS50" s="199"/>
      <c r="AXT50" s="196"/>
      <c r="AXU50" s="196"/>
      <c r="AXV50" s="196"/>
      <c r="AXW50" s="196"/>
      <c r="AXX50" s="196"/>
      <c r="AXY50" s="200"/>
      <c r="AXZ50" s="195"/>
      <c r="AYA50" s="196"/>
      <c r="AYB50" s="196"/>
      <c r="AYC50" s="196"/>
      <c r="AYD50" s="196"/>
      <c r="AYE50" s="197"/>
      <c r="AYF50" s="196"/>
      <c r="AYG50" s="196"/>
      <c r="AYH50" s="196"/>
      <c r="AYI50" s="196"/>
      <c r="AYJ50" s="196"/>
      <c r="AYK50" s="198"/>
      <c r="AYL50" s="196"/>
      <c r="AYM50" s="196"/>
      <c r="AYN50" s="196"/>
      <c r="AYO50" s="196"/>
      <c r="AYP50" s="196"/>
      <c r="AYQ50" s="199"/>
      <c r="AYR50" s="196"/>
      <c r="AYS50" s="196"/>
      <c r="AYT50" s="196"/>
      <c r="AYU50" s="196"/>
      <c r="AYV50" s="196"/>
      <c r="AYW50" s="198"/>
      <c r="AYX50" s="196"/>
      <c r="AYY50" s="196"/>
      <c r="AYZ50" s="196"/>
      <c r="AZA50" s="196"/>
      <c r="AZB50" s="196"/>
      <c r="AZC50" s="199"/>
      <c r="AZD50" s="196"/>
      <c r="AZE50" s="196"/>
      <c r="AZF50" s="196"/>
      <c r="AZG50" s="196"/>
      <c r="AZH50" s="196"/>
      <c r="AZI50" s="198"/>
      <c r="AZJ50" s="196"/>
      <c r="AZK50" s="196"/>
      <c r="AZL50" s="196"/>
      <c r="AZM50" s="196"/>
      <c r="AZN50" s="196"/>
      <c r="AZO50" s="199"/>
      <c r="AZP50" s="196"/>
      <c r="AZQ50" s="196"/>
      <c r="AZR50" s="196"/>
      <c r="AZS50" s="196"/>
      <c r="AZT50" s="196"/>
      <c r="AZU50" s="198"/>
      <c r="AZV50" s="196"/>
      <c r="AZW50" s="196"/>
      <c r="AZX50" s="196"/>
      <c r="AZY50" s="196"/>
      <c r="AZZ50" s="196"/>
      <c r="BAA50" s="199"/>
      <c r="BAB50" s="196"/>
      <c r="BAC50" s="196"/>
      <c r="BAD50" s="196"/>
      <c r="BAE50" s="196"/>
      <c r="BAF50" s="196"/>
      <c r="BAG50" s="200"/>
      <c r="BAH50" s="195"/>
      <c r="BAI50" s="196"/>
      <c r="BAJ50" s="196"/>
      <c r="BAK50" s="196"/>
      <c r="BAL50" s="196"/>
      <c r="BAM50" s="197"/>
      <c r="BAN50" s="196"/>
      <c r="BAO50" s="196"/>
      <c r="BAP50" s="196"/>
      <c r="BAQ50" s="196"/>
      <c r="BAR50" s="196"/>
      <c r="BAS50" s="198"/>
      <c r="BAT50" s="196"/>
      <c r="BAU50" s="196"/>
      <c r="BAV50" s="196"/>
      <c r="BAW50" s="196"/>
      <c r="BAX50" s="196"/>
      <c r="BAY50" s="199"/>
      <c r="BAZ50" s="196"/>
      <c r="BBA50" s="196"/>
      <c r="BBB50" s="196"/>
      <c r="BBC50" s="196"/>
      <c r="BBD50" s="196"/>
      <c r="BBE50" s="198"/>
      <c r="BBF50" s="196"/>
      <c r="BBG50" s="196"/>
      <c r="BBH50" s="196"/>
      <c r="BBI50" s="196"/>
      <c r="BBJ50" s="196"/>
      <c r="BBK50" s="199"/>
      <c r="BBL50" s="196"/>
      <c r="BBM50" s="196"/>
      <c r="BBN50" s="196"/>
      <c r="BBO50" s="196"/>
      <c r="BBP50" s="196"/>
      <c r="BBQ50" s="198"/>
      <c r="BBR50" s="196"/>
      <c r="BBS50" s="196"/>
      <c r="BBT50" s="196"/>
      <c r="BBU50" s="196"/>
      <c r="BBV50" s="196"/>
      <c r="BBW50" s="199"/>
      <c r="BBX50" s="196"/>
      <c r="BBY50" s="196"/>
      <c r="BBZ50" s="196"/>
      <c r="BCA50" s="196"/>
      <c r="BCB50" s="196"/>
      <c r="BCC50" s="198"/>
      <c r="BCD50" s="196"/>
      <c r="BCE50" s="196"/>
      <c r="BCF50" s="196"/>
      <c r="BCG50" s="196"/>
      <c r="BCH50" s="196"/>
      <c r="BCI50" s="199"/>
      <c r="BCJ50" s="196"/>
      <c r="BCK50" s="196"/>
      <c r="BCL50" s="196"/>
      <c r="BCM50" s="196"/>
      <c r="BCN50" s="196"/>
      <c r="BCO50" s="200"/>
      <c r="BCP50" s="195"/>
      <c r="BCQ50" s="196"/>
      <c r="BCR50" s="196"/>
      <c r="BCS50" s="196"/>
      <c r="BCT50" s="196"/>
      <c r="BCU50" s="197"/>
      <c r="BCV50" s="196"/>
      <c r="BCW50" s="196"/>
      <c r="BCX50" s="196"/>
      <c r="BCY50" s="196"/>
      <c r="BCZ50" s="196"/>
      <c r="BDA50" s="198"/>
      <c r="BDB50" s="196"/>
      <c r="BDC50" s="196"/>
      <c r="BDD50" s="196"/>
      <c r="BDE50" s="196"/>
      <c r="BDF50" s="196"/>
      <c r="BDG50" s="199"/>
      <c r="BDH50" s="196"/>
      <c r="BDI50" s="196"/>
      <c r="BDJ50" s="196"/>
      <c r="BDK50" s="196"/>
      <c r="BDL50" s="196"/>
      <c r="BDM50" s="198"/>
      <c r="BDN50" s="196"/>
      <c r="BDO50" s="196"/>
      <c r="BDP50" s="196"/>
      <c r="BDQ50" s="196"/>
      <c r="BDR50" s="196"/>
      <c r="BDS50" s="199"/>
      <c r="BDT50" s="196"/>
      <c r="BDU50" s="196"/>
      <c r="BDV50" s="196"/>
      <c r="BDW50" s="196"/>
      <c r="BDX50" s="196"/>
      <c r="BDY50" s="198"/>
      <c r="BDZ50" s="196"/>
      <c r="BEA50" s="196"/>
      <c r="BEB50" s="196"/>
      <c r="BEC50" s="196"/>
      <c r="BED50" s="196"/>
      <c r="BEE50" s="199"/>
      <c r="BEF50" s="196"/>
      <c r="BEG50" s="196"/>
      <c r="BEH50" s="196"/>
      <c r="BEI50" s="196"/>
      <c r="BEJ50" s="196"/>
      <c r="BEK50" s="198"/>
      <c r="BEL50" s="196"/>
      <c r="BEM50" s="196"/>
      <c r="BEN50" s="196"/>
      <c r="BEO50" s="196"/>
      <c r="BEP50" s="196"/>
      <c r="BEQ50" s="199"/>
      <c r="BER50" s="196"/>
      <c r="BES50" s="196"/>
      <c r="BET50" s="196"/>
      <c r="BEU50" s="196"/>
      <c r="BEV50" s="196"/>
      <c r="BEW50" s="200"/>
      <c r="BEX50" s="195"/>
      <c r="BEY50" s="196"/>
      <c r="BEZ50" s="196"/>
      <c r="BFA50" s="196"/>
      <c r="BFB50" s="196"/>
      <c r="BFC50" s="197"/>
      <c r="BFD50" s="196"/>
      <c r="BFE50" s="196"/>
      <c r="BFF50" s="196"/>
      <c r="BFG50" s="196"/>
      <c r="BFH50" s="196"/>
      <c r="BFI50" s="198"/>
      <c r="BFJ50" s="196"/>
      <c r="BFK50" s="196"/>
      <c r="BFL50" s="196"/>
      <c r="BFM50" s="196"/>
      <c r="BFN50" s="196"/>
      <c r="BFO50" s="199"/>
      <c r="BFP50" s="196"/>
      <c r="BFQ50" s="196"/>
      <c r="BFR50" s="196"/>
      <c r="BFS50" s="196"/>
      <c r="BFT50" s="196"/>
      <c r="BFU50" s="198"/>
      <c r="BFV50" s="196"/>
      <c r="BFW50" s="196"/>
      <c r="BFX50" s="196"/>
      <c r="BFY50" s="196"/>
      <c r="BFZ50" s="196"/>
      <c r="BGA50" s="199"/>
      <c r="BGB50" s="196"/>
      <c r="BGC50" s="196"/>
      <c r="BGD50" s="196"/>
      <c r="BGE50" s="196"/>
      <c r="BGF50" s="196"/>
      <c r="BGG50" s="198"/>
      <c r="BGH50" s="196"/>
      <c r="BGI50" s="196"/>
      <c r="BGJ50" s="196"/>
      <c r="BGK50" s="196"/>
      <c r="BGL50" s="196"/>
      <c r="BGM50" s="199"/>
      <c r="BGN50" s="196"/>
      <c r="BGO50" s="196"/>
      <c r="BGP50" s="196"/>
      <c r="BGQ50" s="196"/>
      <c r="BGR50" s="196"/>
      <c r="BGS50" s="198"/>
      <c r="BGT50" s="196"/>
      <c r="BGU50" s="196"/>
      <c r="BGV50" s="196"/>
      <c r="BGW50" s="196"/>
      <c r="BGX50" s="196"/>
      <c r="BGY50" s="199"/>
      <c r="BGZ50" s="196"/>
      <c r="BHA50" s="196"/>
      <c r="BHB50" s="196"/>
      <c r="BHC50" s="196"/>
      <c r="BHD50" s="196"/>
      <c r="BHE50" s="200"/>
      <c r="BHF50" s="187"/>
      <c r="BHG50" s="188"/>
      <c r="BHH50" s="188"/>
      <c r="BHI50" s="188"/>
      <c r="BHJ50" s="188"/>
      <c r="BHK50" s="188"/>
      <c r="BHL50" s="188"/>
      <c r="BHM50" s="188"/>
      <c r="BHN50" s="188"/>
      <c r="BHO50" s="188"/>
      <c r="BHP50" s="188"/>
      <c r="BHQ50" s="188"/>
      <c r="BHR50" s="188"/>
      <c r="BHS50" s="188"/>
      <c r="BHT50" s="188"/>
      <c r="BHU50" s="188"/>
      <c r="BHV50" s="188"/>
      <c r="BHW50" s="188"/>
      <c r="BHX50" s="188"/>
      <c r="BHY50" s="188"/>
      <c r="BHZ50" s="188"/>
      <c r="BIA50" s="188"/>
      <c r="BIB50" s="188"/>
      <c r="BIC50" s="188"/>
      <c r="BID50" s="188"/>
      <c r="BIE50" s="188"/>
      <c r="BIF50" s="188"/>
      <c r="BIG50" s="188"/>
      <c r="BIH50" s="188"/>
      <c r="BII50" s="188"/>
      <c r="BIJ50" s="188"/>
      <c r="BIK50" s="188"/>
      <c r="BIL50" s="188"/>
      <c r="BIM50" s="188"/>
      <c r="BIN50" s="188"/>
      <c r="BIO50" s="188"/>
      <c r="BIP50" s="188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230" t="s">
        <v>79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72"/>
      <c r="QI51" s="172"/>
      <c r="QJ51" s="172"/>
      <c r="QK51" s="172"/>
      <c r="QL51" s="172"/>
      <c r="QM51" s="175"/>
      <c r="QN51" s="172"/>
      <c r="QO51" s="172"/>
      <c r="QP51" s="172"/>
      <c r="QQ51" s="172"/>
      <c r="QR51" s="172"/>
      <c r="QS51" s="174"/>
      <c r="QT51" s="172"/>
      <c r="QU51" s="172"/>
      <c r="QV51" s="172"/>
      <c r="QW51" s="172"/>
      <c r="QX51" s="172"/>
      <c r="QY51" s="175"/>
      <c r="QZ51" s="172"/>
      <c r="RA51" s="172"/>
      <c r="RB51" s="172"/>
      <c r="RC51" s="172"/>
      <c r="RD51" s="172"/>
      <c r="RE51" s="174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71"/>
      <c r="RS51" s="172"/>
      <c r="RT51" s="172"/>
      <c r="RU51" s="172"/>
      <c r="RV51" s="172"/>
      <c r="RW51" s="173"/>
      <c r="RX51" s="172"/>
      <c r="RY51" s="172"/>
      <c r="RZ51" s="172"/>
      <c r="SA51" s="172"/>
      <c r="SB51" s="172"/>
      <c r="SC51" s="174"/>
      <c r="SD51" s="172"/>
      <c r="SE51" s="172"/>
      <c r="SF51" s="172"/>
      <c r="SG51" s="172"/>
      <c r="SH51" s="172"/>
      <c r="SI51" s="175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87"/>
      <c r="BHG51" s="188"/>
      <c r="BHH51" s="188"/>
      <c r="BHI51" s="188"/>
      <c r="BHJ51" s="188"/>
      <c r="BHK51" s="188"/>
      <c r="BHL51" s="188"/>
      <c r="BHM51" s="188"/>
      <c r="BHN51" s="188"/>
      <c r="BHO51" s="188"/>
      <c r="BHP51" s="188"/>
      <c r="BHQ51" s="188"/>
      <c r="BHR51" s="188"/>
      <c r="BHS51" s="188"/>
      <c r="BHT51" s="188"/>
      <c r="BHU51" s="188"/>
      <c r="BHV51" s="188"/>
      <c r="BHW51" s="188"/>
      <c r="BHX51" s="188"/>
      <c r="BHY51" s="188"/>
      <c r="BHZ51" s="188"/>
      <c r="BIA51" s="188"/>
      <c r="BIB51" s="188"/>
      <c r="BIC51" s="188"/>
      <c r="BID51" s="188"/>
      <c r="BIE51" s="188"/>
      <c r="BIF51" s="188"/>
      <c r="BIG51" s="188"/>
      <c r="BIH51" s="188"/>
      <c r="BII51" s="188"/>
      <c r="BIJ51" s="188"/>
      <c r="BIK51" s="188"/>
      <c r="BIL51" s="188"/>
      <c r="BIM51" s="188"/>
      <c r="BIN51" s="188"/>
      <c r="BIO51" s="188"/>
      <c r="BIP51" s="188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236"/>
      <c r="D52" s="120" t="str">
        <f t="shared" si="0"/>
        <v/>
      </c>
      <c r="E52" s="22">
        <v>0</v>
      </c>
      <c r="F52" s="189"/>
      <c r="G52" s="190"/>
      <c r="H52" s="190"/>
      <c r="I52" s="190"/>
      <c r="J52" s="190"/>
      <c r="K52" s="191"/>
      <c r="L52" s="190"/>
      <c r="M52" s="190"/>
      <c r="N52" s="190"/>
      <c r="O52" s="190"/>
      <c r="P52" s="190"/>
      <c r="Q52" s="192"/>
      <c r="R52" s="190"/>
      <c r="S52" s="190"/>
      <c r="T52" s="190"/>
      <c r="U52" s="190"/>
      <c r="V52" s="190"/>
      <c r="W52" s="199"/>
      <c r="X52" s="190"/>
      <c r="Y52" s="190"/>
      <c r="Z52" s="190"/>
      <c r="AA52" s="190"/>
      <c r="AB52" s="190"/>
      <c r="AC52" s="192"/>
      <c r="AD52" s="190"/>
      <c r="AE52" s="190"/>
      <c r="AF52" s="190"/>
      <c r="AG52" s="190"/>
      <c r="AH52" s="190"/>
      <c r="AI52" s="199"/>
      <c r="AJ52" s="190"/>
      <c r="AK52" s="190"/>
      <c r="AL52" s="190"/>
      <c r="AM52" s="190"/>
      <c r="AN52" s="190"/>
      <c r="AO52" s="192"/>
      <c r="AP52" s="190"/>
      <c r="AQ52" s="190"/>
      <c r="AR52" s="190"/>
      <c r="AS52" s="190"/>
      <c r="AT52" s="196"/>
      <c r="AU52" s="199"/>
      <c r="AV52" s="190"/>
      <c r="AW52" s="190"/>
      <c r="AX52" s="190"/>
      <c r="AY52" s="190"/>
      <c r="AZ52" s="190"/>
      <c r="BA52" s="192"/>
      <c r="BB52" s="190"/>
      <c r="BC52" s="190"/>
      <c r="BD52" s="190"/>
      <c r="BE52" s="190"/>
      <c r="BF52" s="190"/>
      <c r="BG52" s="199"/>
      <c r="BH52" s="190"/>
      <c r="BI52" s="190"/>
      <c r="BJ52" s="190"/>
      <c r="BK52" s="190"/>
      <c r="BL52" s="190"/>
      <c r="BM52" s="194"/>
      <c r="BN52" s="189"/>
      <c r="BO52" s="190"/>
      <c r="BP52" s="190"/>
      <c r="BQ52" s="190"/>
      <c r="BR52" s="190"/>
      <c r="BS52" s="191"/>
      <c r="BT52" s="190"/>
      <c r="BU52" s="190"/>
      <c r="BV52" s="190"/>
      <c r="BW52" s="190"/>
      <c r="BX52" s="190"/>
      <c r="BY52" s="192"/>
      <c r="BZ52" s="190"/>
      <c r="CA52" s="190"/>
      <c r="CB52" s="190"/>
      <c r="CC52" s="190"/>
      <c r="CD52" s="190"/>
      <c r="CE52" s="199"/>
      <c r="CF52" s="190"/>
      <c r="CG52" s="190"/>
      <c r="CH52" s="190"/>
      <c r="CI52" s="190"/>
      <c r="CJ52" s="190"/>
      <c r="CK52" s="192"/>
      <c r="CL52" s="190"/>
      <c r="CM52" s="190"/>
      <c r="CN52" s="190"/>
      <c r="CO52" s="190"/>
      <c r="CP52" s="190"/>
      <c r="CQ52" s="199"/>
      <c r="CR52" s="190"/>
      <c r="CS52" s="190"/>
      <c r="CT52" s="190"/>
      <c r="CU52" s="190"/>
      <c r="CV52" s="190"/>
      <c r="CW52" s="192"/>
      <c r="CX52" s="190"/>
      <c r="CY52" s="190"/>
      <c r="CZ52" s="190"/>
      <c r="DA52" s="190"/>
      <c r="DB52" s="196"/>
      <c r="DC52" s="199"/>
      <c r="DD52" s="190"/>
      <c r="DE52" s="190"/>
      <c r="DF52" s="190"/>
      <c r="DG52" s="190"/>
      <c r="DH52" s="190"/>
      <c r="DI52" s="192"/>
      <c r="DJ52" s="190"/>
      <c r="DK52" s="190"/>
      <c r="DL52" s="190"/>
      <c r="DM52" s="190"/>
      <c r="DN52" s="190"/>
      <c r="DO52" s="199"/>
      <c r="DP52" s="190"/>
      <c r="DQ52" s="190"/>
      <c r="DR52" s="190"/>
      <c r="DS52" s="190"/>
      <c r="DT52" s="190"/>
      <c r="DU52" s="194"/>
      <c r="DV52" s="189"/>
      <c r="DW52" s="190"/>
      <c r="DX52" s="190"/>
      <c r="DY52" s="190"/>
      <c r="DZ52" s="190"/>
      <c r="EA52" s="191"/>
      <c r="EB52" s="190"/>
      <c r="EC52" s="190"/>
      <c r="ED52" s="190"/>
      <c r="EE52" s="190"/>
      <c r="EF52" s="190"/>
      <c r="EG52" s="192"/>
      <c r="EH52" s="190"/>
      <c r="EI52" s="190"/>
      <c r="EJ52" s="190"/>
      <c r="EK52" s="190"/>
      <c r="EL52" s="190"/>
      <c r="EM52" s="199"/>
      <c r="EN52" s="190"/>
      <c r="EO52" s="190"/>
      <c r="EP52" s="190"/>
      <c r="EQ52" s="190"/>
      <c r="ER52" s="190"/>
      <c r="ES52" s="192"/>
      <c r="ET52" s="190"/>
      <c r="EU52" s="190"/>
      <c r="EV52" s="190"/>
      <c r="EW52" s="190"/>
      <c r="EX52" s="190"/>
      <c r="EY52" s="199"/>
      <c r="EZ52" s="190"/>
      <c r="FA52" s="190"/>
      <c r="FB52" s="190"/>
      <c r="FC52" s="190"/>
      <c r="FD52" s="190"/>
      <c r="FE52" s="192"/>
      <c r="FF52" s="190"/>
      <c r="FG52" s="190"/>
      <c r="FH52" s="190"/>
      <c r="FI52" s="190"/>
      <c r="FJ52" s="196"/>
      <c r="FK52" s="199"/>
      <c r="FL52" s="190"/>
      <c r="FM52" s="190"/>
      <c r="FN52" s="190"/>
      <c r="FO52" s="190"/>
      <c r="FP52" s="190"/>
      <c r="FQ52" s="192"/>
      <c r="FR52" s="190"/>
      <c r="FS52" s="190"/>
      <c r="FT52" s="190"/>
      <c r="FU52" s="190"/>
      <c r="FV52" s="190"/>
      <c r="FW52" s="199"/>
      <c r="FX52" s="190"/>
      <c r="FY52" s="190"/>
      <c r="FZ52" s="190"/>
      <c r="GA52" s="190"/>
      <c r="GB52" s="190"/>
      <c r="GC52" s="194"/>
      <c r="GD52" s="189"/>
      <c r="GE52" s="190"/>
      <c r="GF52" s="190"/>
      <c r="GG52" s="190"/>
      <c r="GH52" s="190"/>
      <c r="GI52" s="191"/>
      <c r="GJ52" s="190"/>
      <c r="GK52" s="190"/>
      <c r="GL52" s="190"/>
      <c r="GM52" s="190"/>
      <c r="GN52" s="190"/>
      <c r="GO52" s="192"/>
      <c r="GP52" s="190"/>
      <c r="GQ52" s="190"/>
      <c r="GR52" s="190"/>
      <c r="GS52" s="190"/>
      <c r="GT52" s="190"/>
      <c r="GU52" s="199"/>
      <c r="GV52" s="190"/>
      <c r="GW52" s="190"/>
      <c r="GX52" s="190"/>
      <c r="GY52" s="190"/>
      <c r="GZ52" s="190"/>
      <c r="HA52" s="192"/>
      <c r="HB52" s="190"/>
      <c r="HC52" s="190"/>
      <c r="HD52" s="190"/>
      <c r="HE52" s="190"/>
      <c r="HF52" s="190"/>
      <c r="HG52" s="199"/>
      <c r="HH52" s="190"/>
      <c r="HI52" s="190"/>
      <c r="HJ52" s="190"/>
      <c r="HK52" s="190"/>
      <c r="HL52" s="190"/>
      <c r="HM52" s="192"/>
      <c r="HN52" s="190"/>
      <c r="HO52" s="190"/>
      <c r="HP52" s="190"/>
      <c r="HQ52" s="190"/>
      <c r="HR52" s="196"/>
      <c r="HS52" s="199"/>
      <c r="HT52" s="190"/>
      <c r="HU52" s="190"/>
      <c r="HV52" s="190"/>
      <c r="HW52" s="190"/>
      <c r="HX52" s="190"/>
      <c r="HY52" s="192"/>
      <c r="HZ52" s="190"/>
      <c r="IA52" s="190"/>
      <c r="IB52" s="190"/>
      <c r="IC52" s="190"/>
      <c r="ID52" s="190"/>
      <c r="IE52" s="199"/>
      <c r="IF52" s="190"/>
      <c r="IG52" s="190"/>
      <c r="IH52" s="190"/>
      <c r="II52" s="190"/>
      <c r="IJ52" s="190"/>
      <c r="IK52" s="194"/>
      <c r="IL52" s="189"/>
      <c r="IM52" s="190"/>
      <c r="IN52" s="190"/>
      <c r="IO52" s="190"/>
      <c r="IP52" s="190"/>
      <c r="IQ52" s="191"/>
      <c r="IR52" s="190"/>
      <c r="IS52" s="190"/>
      <c r="IT52" s="190"/>
      <c r="IU52" s="190"/>
      <c r="IV52" s="190"/>
      <c r="IW52" s="192"/>
      <c r="IX52" s="190"/>
      <c r="IY52" s="190"/>
      <c r="IZ52" s="190"/>
      <c r="JA52" s="190"/>
      <c r="JB52" s="190"/>
      <c r="JC52" s="199"/>
      <c r="JD52" s="190"/>
      <c r="JE52" s="190"/>
      <c r="JF52" s="190"/>
      <c r="JG52" s="190"/>
      <c r="JH52" s="190"/>
      <c r="JI52" s="192"/>
      <c r="JJ52" s="190"/>
      <c r="JK52" s="190"/>
      <c r="JL52" s="190"/>
      <c r="JM52" s="190"/>
      <c r="JN52" s="190"/>
      <c r="JO52" s="199"/>
      <c r="JP52" s="190"/>
      <c r="JQ52" s="190"/>
      <c r="JR52" s="190"/>
      <c r="JS52" s="190"/>
      <c r="JT52" s="190"/>
      <c r="JU52" s="192"/>
      <c r="JV52" s="190"/>
      <c r="JW52" s="190"/>
      <c r="JX52" s="190"/>
      <c r="JY52" s="190"/>
      <c r="JZ52" s="196"/>
      <c r="KA52" s="199"/>
      <c r="KB52" s="190"/>
      <c r="KC52" s="190"/>
      <c r="KD52" s="190"/>
      <c r="KE52" s="190"/>
      <c r="KF52" s="190"/>
      <c r="KG52" s="192"/>
      <c r="KH52" s="190"/>
      <c r="KI52" s="190"/>
      <c r="KJ52" s="190"/>
      <c r="KK52" s="190"/>
      <c r="KL52" s="190"/>
      <c r="KM52" s="199"/>
      <c r="KN52" s="190"/>
      <c r="KO52" s="190"/>
      <c r="KP52" s="190"/>
      <c r="KQ52" s="190"/>
      <c r="KR52" s="190"/>
      <c r="KS52" s="194"/>
      <c r="KT52" s="189"/>
      <c r="KU52" s="190"/>
      <c r="KV52" s="190"/>
      <c r="KW52" s="190"/>
      <c r="KX52" s="190"/>
      <c r="KY52" s="191"/>
      <c r="KZ52" s="190"/>
      <c r="LA52" s="190"/>
      <c r="LB52" s="190"/>
      <c r="LC52" s="190"/>
      <c r="LD52" s="190"/>
      <c r="LE52" s="192"/>
      <c r="LF52" s="190"/>
      <c r="LG52" s="190"/>
      <c r="LH52" s="190"/>
      <c r="LI52" s="190"/>
      <c r="LJ52" s="190"/>
      <c r="LK52" s="199"/>
      <c r="LL52" s="190"/>
      <c r="LM52" s="190"/>
      <c r="LN52" s="190"/>
      <c r="LO52" s="190"/>
      <c r="LP52" s="190"/>
      <c r="LQ52" s="192"/>
      <c r="LR52" s="190"/>
      <c r="LS52" s="190"/>
      <c r="LT52" s="190"/>
      <c r="LU52" s="190"/>
      <c r="LV52" s="190"/>
      <c r="LW52" s="199"/>
      <c r="LX52" s="190"/>
      <c r="LY52" s="190"/>
      <c r="LZ52" s="190"/>
      <c r="MA52" s="190"/>
      <c r="MB52" s="190"/>
      <c r="MC52" s="192"/>
      <c r="MD52" s="190"/>
      <c r="ME52" s="190"/>
      <c r="MF52" s="190"/>
      <c r="MG52" s="190"/>
      <c r="MH52" s="196"/>
      <c r="MI52" s="199"/>
      <c r="MJ52" s="190"/>
      <c r="MK52" s="190"/>
      <c r="ML52" s="190"/>
      <c r="MM52" s="190"/>
      <c r="MN52" s="190"/>
      <c r="MO52" s="192"/>
      <c r="MP52" s="190"/>
      <c r="MQ52" s="190"/>
      <c r="MR52" s="190"/>
      <c r="MS52" s="190"/>
      <c r="MT52" s="190"/>
      <c r="MU52" s="199"/>
      <c r="MV52" s="190"/>
      <c r="MW52" s="190"/>
      <c r="MX52" s="190"/>
      <c r="MY52" s="190"/>
      <c r="MZ52" s="190"/>
      <c r="NA52" s="194"/>
      <c r="NB52" s="189"/>
      <c r="NC52" s="190"/>
      <c r="ND52" s="190"/>
      <c r="NE52" s="190"/>
      <c r="NF52" s="190"/>
      <c r="NG52" s="191"/>
      <c r="NH52" s="190"/>
      <c r="NI52" s="190"/>
      <c r="NJ52" s="190"/>
      <c r="NK52" s="190"/>
      <c r="NL52" s="190"/>
      <c r="NM52" s="192"/>
      <c r="NN52" s="190"/>
      <c r="NO52" s="190"/>
      <c r="NP52" s="190"/>
      <c r="NQ52" s="190"/>
      <c r="NR52" s="190"/>
      <c r="NS52" s="199"/>
      <c r="NT52" s="190"/>
      <c r="NU52" s="190"/>
      <c r="NV52" s="190"/>
      <c r="NW52" s="190"/>
      <c r="NX52" s="190"/>
      <c r="NY52" s="192"/>
      <c r="NZ52" s="190"/>
      <c r="OA52" s="190"/>
      <c r="OB52" s="190"/>
      <c r="OC52" s="190"/>
      <c r="OD52" s="190"/>
      <c r="OE52" s="199"/>
      <c r="OF52" s="190"/>
      <c r="OG52" s="190"/>
      <c r="OH52" s="190"/>
      <c r="OI52" s="190"/>
      <c r="OJ52" s="190"/>
      <c r="OK52" s="192"/>
      <c r="OL52" s="190"/>
      <c r="OM52" s="190"/>
      <c r="ON52" s="190"/>
      <c r="OO52" s="190"/>
      <c r="OP52" s="196"/>
      <c r="OQ52" s="199"/>
      <c r="OR52" s="190"/>
      <c r="OS52" s="190"/>
      <c r="OT52" s="190"/>
      <c r="OU52" s="190"/>
      <c r="OV52" s="190"/>
      <c r="OW52" s="192"/>
      <c r="OX52" s="190"/>
      <c r="OY52" s="190"/>
      <c r="OZ52" s="190"/>
      <c r="PA52" s="190"/>
      <c r="PB52" s="190"/>
      <c r="PC52" s="199"/>
      <c r="PD52" s="190"/>
      <c r="PE52" s="190"/>
      <c r="PF52" s="190"/>
      <c r="PG52" s="190"/>
      <c r="PH52" s="190"/>
      <c r="PI52" s="194"/>
      <c r="PJ52" s="189"/>
      <c r="PK52" s="190"/>
      <c r="PL52" s="190"/>
      <c r="PM52" s="190"/>
      <c r="PN52" s="190"/>
      <c r="PO52" s="191"/>
      <c r="PP52" s="190"/>
      <c r="PQ52" s="190"/>
      <c r="PR52" s="190"/>
      <c r="PS52" s="190"/>
      <c r="PT52" s="190"/>
      <c r="PU52" s="192"/>
      <c r="PV52" s="190"/>
      <c r="PW52" s="190"/>
      <c r="PX52" s="190"/>
      <c r="PY52" s="190"/>
      <c r="PZ52" s="190"/>
      <c r="QA52" s="199"/>
      <c r="QB52" s="190"/>
      <c r="QC52" s="190"/>
      <c r="QD52" s="190"/>
      <c r="QE52" s="190"/>
      <c r="QF52" s="190"/>
      <c r="QG52" s="192"/>
      <c r="QH52" s="190"/>
      <c r="QI52" s="190"/>
      <c r="QJ52" s="190"/>
      <c r="QK52" s="190"/>
      <c r="QL52" s="190"/>
      <c r="QM52" s="199"/>
      <c r="QN52" s="190"/>
      <c r="QO52" s="190"/>
      <c r="QP52" s="190"/>
      <c r="QQ52" s="190"/>
      <c r="QR52" s="190"/>
      <c r="QS52" s="192"/>
      <c r="QT52" s="190"/>
      <c r="QU52" s="190"/>
      <c r="QV52" s="190"/>
      <c r="QW52" s="190"/>
      <c r="QX52" s="196"/>
      <c r="QY52" s="199"/>
      <c r="QZ52" s="190"/>
      <c r="RA52" s="190"/>
      <c r="RB52" s="190"/>
      <c r="RC52" s="190"/>
      <c r="RD52" s="190"/>
      <c r="RE52" s="192"/>
      <c r="RF52" s="190"/>
      <c r="RG52" s="190"/>
      <c r="RH52" s="190"/>
      <c r="RI52" s="190"/>
      <c r="RJ52" s="190"/>
      <c r="RK52" s="199"/>
      <c r="RL52" s="190"/>
      <c r="RM52" s="190"/>
      <c r="RN52" s="190"/>
      <c r="RO52" s="190"/>
      <c r="RP52" s="190"/>
      <c r="RQ52" s="194"/>
      <c r="RR52" s="189"/>
      <c r="RS52" s="190"/>
      <c r="RT52" s="190"/>
      <c r="RU52" s="190"/>
      <c r="RV52" s="190"/>
      <c r="RW52" s="191"/>
      <c r="RX52" s="190"/>
      <c r="RY52" s="190"/>
      <c r="RZ52" s="190"/>
      <c r="SA52" s="190"/>
      <c r="SB52" s="190"/>
      <c r="SC52" s="192"/>
      <c r="SD52" s="190"/>
      <c r="SE52" s="190"/>
      <c r="SF52" s="190"/>
      <c r="SG52" s="190"/>
      <c r="SH52" s="190"/>
      <c r="SI52" s="199"/>
      <c r="SJ52" s="190"/>
      <c r="SK52" s="190"/>
      <c r="SL52" s="190"/>
      <c r="SM52" s="190"/>
      <c r="SN52" s="190"/>
      <c r="SO52" s="192"/>
      <c r="SP52" s="190"/>
      <c r="SQ52" s="190"/>
      <c r="SR52" s="190"/>
      <c r="SS52" s="190"/>
      <c r="ST52" s="190"/>
      <c r="SU52" s="199"/>
      <c r="SV52" s="190"/>
      <c r="SW52" s="190"/>
      <c r="SX52" s="190"/>
      <c r="SY52" s="190"/>
      <c r="SZ52" s="190"/>
      <c r="TA52" s="192"/>
      <c r="TB52" s="190"/>
      <c r="TC52" s="190"/>
      <c r="TD52" s="190"/>
      <c r="TE52" s="190"/>
      <c r="TF52" s="196"/>
      <c r="TG52" s="199"/>
      <c r="TH52" s="190"/>
      <c r="TI52" s="190"/>
      <c r="TJ52" s="190"/>
      <c r="TK52" s="190"/>
      <c r="TL52" s="190"/>
      <c r="TM52" s="192"/>
      <c r="TN52" s="190"/>
      <c r="TO52" s="190"/>
      <c r="TP52" s="190"/>
      <c r="TQ52" s="190"/>
      <c r="TR52" s="190"/>
      <c r="TS52" s="199"/>
      <c r="TT52" s="190"/>
      <c r="TU52" s="190"/>
      <c r="TV52" s="190"/>
      <c r="TW52" s="190"/>
      <c r="TX52" s="190"/>
      <c r="TY52" s="194"/>
      <c r="TZ52" s="189"/>
      <c r="UA52" s="190"/>
      <c r="UB52" s="190"/>
      <c r="UC52" s="190"/>
      <c r="UD52" s="190"/>
      <c r="UE52" s="191"/>
      <c r="UF52" s="190"/>
      <c r="UG52" s="190"/>
      <c r="UH52" s="190"/>
      <c r="UI52" s="190"/>
      <c r="UJ52" s="190"/>
      <c r="UK52" s="192"/>
      <c r="UL52" s="190"/>
      <c r="UM52" s="190"/>
      <c r="UN52" s="190"/>
      <c r="UO52" s="190"/>
      <c r="UP52" s="190"/>
      <c r="UQ52" s="199"/>
      <c r="UR52" s="190"/>
      <c r="US52" s="190"/>
      <c r="UT52" s="190"/>
      <c r="UU52" s="190"/>
      <c r="UV52" s="190"/>
      <c r="UW52" s="192"/>
      <c r="UX52" s="190"/>
      <c r="UY52" s="190"/>
      <c r="UZ52" s="190"/>
      <c r="VA52" s="190"/>
      <c r="VB52" s="190"/>
      <c r="VC52" s="199"/>
      <c r="VD52" s="190"/>
      <c r="VE52" s="190"/>
      <c r="VF52" s="190"/>
      <c r="VG52" s="190"/>
      <c r="VH52" s="190"/>
      <c r="VI52" s="192"/>
      <c r="VJ52" s="190"/>
      <c r="VK52" s="190"/>
      <c r="VL52" s="190"/>
      <c r="VM52" s="190"/>
      <c r="VN52" s="196"/>
      <c r="VO52" s="199"/>
      <c r="VP52" s="190"/>
      <c r="VQ52" s="190"/>
      <c r="VR52" s="190"/>
      <c r="VS52" s="190"/>
      <c r="VT52" s="190"/>
      <c r="VU52" s="192"/>
      <c r="VV52" s="190"/>
      <c r="VW52" s="190"/>
      <c r="VX52" s="190"/>
      <c r="VY52" s="190"/>
      <c r="VZ52" s="190"/>
      <c r="WA52" s="199"/>
      <c r="WB52" s="190"/>
      <c r="WC52" s="190"/>
      <c r="WD52" s="190"/>
      <c r="WE52" s="190"/>
      <c r="WF52" s="190"/>
      <c r="WG52" s="194"/>
      <c r="WH52" s="189"/>
      <c r="WI52" s="190"/>
      <c r="WJ52" s="190"/>
      <c r="WK52" s="190"/>
      <c r="WL52" s="190"/>
      <c r="WM52" s="191"/>
      <c r="WN52" s="190"/>
      <c r="WO52" s="190"/>
      <c r="WP52" s="190"/>
      <c r="WQ52" s="190"/>
      <c r="WR52" s="190"/>
      <c r="WS52" s="192"/>
      <c r="WT52" s="190"/>
      <c r="WU52" s="190"/>
      <c r="WV52" s="190"/>
      <c r="WW52" s="190"/>
      <c r="WX52" s="190"/>
      <c r="WY52" s="199"/>
      <c r="WZ52" s="190"/>
      <c r="XA52" s="190"/>
      <c r="XB52" s="190"/>
      <c r="XC52" s="190"/>
      <c r="XD52" s="190"/>
      <c r="XE52" s="192"/>
      <c r="XF52" s="190"/>
      <c r="XG52" s="190"/>
      <c r="XH52" s="190"/>
      <c r="XI52" s="190"/>
      <c r="XJ52" s="190"/>
      <c r="XK52" s="199"/>
      <c r="XL52" s="190"/>
      <c r="XM52" s="190"/>
      <c r="XN52" s="190"/>
      <c r="XO52" s="190"/>
      <c r="XP52" s="190"/>
      <c r="XQ52" s="192"/>
      <c r="XR52" s="190"/>
      <c r="XS52" s="190"/>
      <c r="XT52" s="190"/>
      <c r="XU52" s="190"/>
      <c r="XV52" s="196"/>
      <c r="XW52" s="199"/>
      <c r="XX52" s="190"/>
      <c r="XY52" s="190"/>
      <c r="XZ52" s="190"/>
      <c r="YA52" s="190"/>
      <c r="YB52" s="190"/>
      <c r="YC52" s="192"/>
      <c r="YD52" s="190"/>
      <c r="YE52" s="190"/>
      <c r="YF52" s="190"/>
      <c r="YG52" s="190"/>
      <c r="YH52" s="190"/>
      <c r="YI52" s="199"/>
      <c r="YJ52" s="190"/>
      <c r="YK52" s="190"/>
      <c r="YL52" s="190"/>
      <c r="YM52" s="190"/>
      <c r="YN52" s="190"/>
      <c r="YO52" s="194"/>
      <c r="YP52" s="189"/>
      <c r="YQ52" s="190"/>
      <c r="YR52" s="190"/>
      <c r="YS52" s="190"/>
      <c r="YT52" s="190"/>
      <c r="YU52" s="191"/>
      <c r="YV52" s="190"/>
      <c r="YW52" s="190"/>
      <c r="YX52" s="190"/>
      <c r="YY52" s="190"/>
      <c r="YZ52" s="190"/>
      <c r="ZA52" s="192"/>
      <c r="ZB52" s="190"/>
      <c r="ZC52" s="190"/>
      <c r="ZD52" s="190"/>
      <c r="ZE52" s="190"/>
      <c r="ZF52" s="190"/>
      <c r="ZG52" s="199"/>
      <c r="ZH52" s="190"/>
      <c r="ZI52" s="190"/>
      <c r="ZJ52" s="190"/>
      <c r="ZK52" s="190"/>
      <c r="ZL52" s="190"/>
      <c r="ZM52" s="192"/>
      <c r="ZN52" s="190"/>
      <c r="ZO52" s="190"/>
      <c r="ZP52" s="190"/>
      <c r="ZQ52" s="190"/>
      <c r="ZR52" s="190"/>
      <c r="ZS52" s="199"/>
      <c r="ZT52" s="190"/>
      <c r="ZU52" s="190"/>
      <c r="ZV52" s="190"/>
      <c r="ZW52" s="190"/>
      <c r="ZX52" s="190"/>
      <c r="ZY52" s="192"/>
      <c r="ZZ52" s="190"/>
      <c r="AAA52" s="190"/>
      <c r="AAB52" s="190"/>
      <c r="AAC52" s="190"/>
      <c r="AAD52" s="196"/>
      <c r="AAE52" s="199"/>
      <c r="AAF52" s="190"/>
      <c r="AAG52" s="190"/>
      <c r="AAH52" s="190"/>
      <c r="AAI52" s="190"/>
      <c r="AAJ52" s="190"/>
      <c r="AAK52" s="192"/>
      <c r="AAL52" s="190"/>
      <c r="AAM52" s="190"/>
      <c r="AAN52" s="190"/>
      <c r="AAO52" s="190"/>
      <c r="AAP52" s="190"/>
      <c r="AAQ52" s="199"/>
      <c r="AAR52" s="190"/>
      <c r="AAS52" s="190"/>
      <c r="AAT52" s="190"/>
      <c r="AAU52" s="190"/>
      <c r="AAV52" s="190"/>
      <c r="AAW52" s="194"/>
      <c r="AAX52" s="189"/>
      <c r="AAY52" s="190"/>
      <c r="AAZ52" s="190"/>
      <c r="ABA52" s="190"/>
      <c r="ABB52" s="190"/>
      <c r="ABC52" s="191"/>
      <c r="ABD52" s="190"/>
      <c r="ABE52" s="190"/>
      <c r="ABF52" s="190"/>
      <c r="ABG52" s="190"/>
      <c r="ABH52" s="190"/>
      <c r="ABI52" s="192"/>
      <c r="ABJ52" s="190"/>
      <c r="ABK52" s="190"/>
      <c r="ABL52" s="190"/>
      <c r="ABM52" s="190"/>
      <c r="ABN52" s="190"/>
      <c r="ABO52" s="199"/>
      <c r="ABP52" s="190"/>
      <c r="ABQ52" s="190"/>
      <c r="ABR52" s="190"/>
      <c r="ABS52" s="190"/>
      <c r="ABT52" s="190"/>
      <c r="ABU52" s="192"/>
      <c r="ABV52" s="190"/>
      <c r="ABW52" s="190"/>
      <c r="ABX52" s="190"/>
      <c r="ABY52" s="190"/>
      <c r="ABZ52" s="190"/>
      <c r="ACA52" s="199"/>
      <c r="ACB52" s="190"/>
      <c r="ACC52" s="190"/>
      <c r="ACD52" s="190"/>
      <c r="ACE52" s="190"/>
      <c r="ACF52" s="190"/>
      <c r="ACG52" s="192"/>
      <c r="ACH52" s="190"/>
      <c r="ACI52" s="190"/>
      <c r="ACJ52" s="190"/>
      <c r="ACK52" s="190"/>
      <c r="ACL52" s="196"/>
      <c r="ACM52" s="199"/>
      <c r="ACN52" s="190"/>
      <c r="ACO52" s="190"/>
      <c r="ACP52" s="190"/>
      <c r="ACQ52" s="190"/>
      <c r="ACR52" s="190"/>
      <c r="ACS52" s="192"/>
      <c r="ACT52" s="190"/>
      <c r="ACU52" s="190"/>
      <c r="ACV52" s="190"/>
      <c r="ACW52" s="190"/>
      <c r="ACX52" s="190"/>
      <c r="ACY52" s="199"/>
      <c r="ACZ52" s="190"/>
      <c r="ADA52" s="190"/>
      <c r="ADB52" s="190"/>
      <c r="ADC52" s="190"/>
      <c r="ADD52" s="190"/>
      <c r="ADE52" s="194"/>
      <c r="ADF52" s="189"/>
      <c r="ADG52" s="190"/>
      <c r="ADH52" s="190"/>
      <c r="ADI52" s="190"/>
      <c r="ADJ52" s="190"/>
      <c r="ADK52" s="191"/>
      <c r="ADL52" s="190"/>
      <c r="ADM52" s="190"/>
      <c r="ADN52" s="190"/>
      <c r="ADO52" s="190"/>
      <c r="ADP52" s="190"/>
      <c r="ADQ52" s="192"/>
      <c r="ADR52" s="190"/>
      <c r="ADS52" s="190"/>
      <c r="ADT52" s="190"/>
      <c r="ADU52" s="190"/>
      <c r="ADV52" s="190"/>
      <c r="ADW52" s="199"/>
      <c r="ADX52" s="190"/>
      <c r="ADY52" s="190"/>
      <c r="ADZ52" s="190"/>
      <c r="AEA52" s="190"/>
      <c r="AEB52" s="190"/>
      <c r="AEC52" s="192"/>
      <c r="AED52" s="190"/>
      <c r="AEE52" s="190"/>
      <c r="AEF52" s="190"/>
      <c r="AEG52" s="190"/>
      <c r="AEH52" s="190"/>
      <c r="AEI52" s="199"/>
      <c r="AEJ52" s="190"/>
      <c r="AEK52" s="190"/>
      <c r="AEL52" s="190"/>
      <c r="AEM52" s="190"/>
      <c r="AEN52" s="190"/>
      <c r="AEO52" s="192"/>
      <c r="AEP52" s="190"/>
      <c r="AEQ52" s="190"/>
      <c r="AER52" s="190"/>
      <c r="AES52" s="190"/>
      <c r="AET52" s="196"/>
      <c r="AEU52" s="199"/>
      <c r="AEV52" s="190"/>
      <c r="AEW52" s="190"/>
      <c r="AEX52" s="190"/>
      <c r="AEY52" s="190"/>
      <c r="AEZ52" s="190"/>
      <c r="AFA52" s="192"/>
      <c r="AFB52" s="190"/>
      <c r="AFC52" s="190"/>
      <c r="AFD52" s="190"/>
      <c r="AFE52" s="190"/>
      <c r="AFF52" s="190"/>
      <c r="AFG52" s="199"/>
      <c r="AFH52" s="190"/>
      <c r="AFI52" s="190"/>
      <c r="AFJ52" s="190"/>
      <c r="AFK52" s="190"/>
      <c r="AFL52" s="190"/>
      <c r="AFM52" s="194"/>
      <c r="AFN52" s="189"/>
      <c r="AFO52" s="190"/>
      <c r="AFP52" s="190"/>
      <c r="AFQ52" s="190"/>
      <c r="AFR52" s="190"/>
      <c r="AFS52" s="191"/>
      <c r="AFT52" s="190"/>
      <c r="AFU52" s="190"/>
      <c r="AFV52" s="190"/>
      <c r="AFW52" s="190"/>
      <c r="AFX52" s="190"/>
      <c r="AFY52" s="192"/>
      <c r="AFZ52" s="190"/>
      <c r="AGA52" s="190"/>
      <c r="AGB52" s="190"/>
      <c r="AGC52" s="190"/>
      <c r="AGD52" s="190"/>
      <c r="AGE52" s="199"/>
      <c r="AGF52" s="190"/>
      <c r="AGG52" s="190"/>
      <c r="AGH52" s="190"/>
      <c r="AGI52" s="190"/>
      <c r="AGJ52" s="190"/>
      <c r="AGK52" s="192"/>
      <c r="AGL52" s="190"/>
      <c r="AGM52" s="190"/>
      <c r="AGN52" s="190"/>
      <c r="AGO52" s="190"/>
      <c r="AGP52" s="190"/>
      <c r="AGQ52" s="199"/>
      <c r="AGR52" s="190"/>
      <c r="AGS52" s="190"/>
      <c r="AGT52" s="190"/>
      <c r="AGU52" s="190"/>
      <c r="AGV52" s="190"/>
      <c r="AGW52" s="192"/>
      <c r="AGX52" s="190"/>
      <c r="AGY52" s="190"/>
      <c r="AGZ52" s="190"/>
      <c r="AHA52" s="190"/>
      <c r="AHB52" s="196"/>
      <c r="AHC52" s="199"/>
      <c r="AHD52" s="190"/>
      <c r="AHE52" s="190"/>
      <c r="AHF52" s="190"/>
      <c r="AHG52" s="190"/>
      <c r="AHH52" s="190"/>
      <c r="AHI52" s="192"/>
      <c r="AHJ52" s="190"/>
      <c r="AHK52" s="190"/>
      <c r="AHL52" s="190"/>
      <c r="AHM52" s="190"/>
      <c r="AHN52" s="190"/>
      <c r="AHO52" s="199"/>
      <c r="AHP52" s="190"/>
      <c r="AHQ52" s="190"/>
      <c r="AHR52" s="190"/>
      <c r="AHS52" s="190"/>
      <c r="AHT52" s="190"/>
      <c r="AHU52" s="194"/>
      <c r="AHV52" s="189"/>
      <c r="AHW52" s="190"/>
      <c r="AHX52" s="190"/>
      <c r="AHY52" s="190"/>
      <c r="AHZ52" s="190"/>
      <c r="AIA52" s="191"/>
      <c r="AIB52" s="190"/>
      <c r="AIC52" s="190"/>
      <c r="AID52" s="190"/>
      <c r="AIE52" s="190"/>
      <c r="AIF52" s="190"/>
      <c r="AIG52" s="192"/>
      <c r="AIH52" s="190"/>
      <c r="AII52" s="190"/>
      <c r="AIJ52" s="190"/>
      <c r="AIK52" s="190"/>
      <c r="AIL52" s="190"/>
      <c r="AIM52" s="199"/>
      <c r="AIN52" s="190"/>
      <c r="AIO52" s="190"/>
      <c r="AIP52" s="190"/>
      <c r="AIQ52" s="190"/>
      <c r="AIR52" s="190"/>
      <c r="AIS52" s="192"/>
      <c r="AIT52" s="190"/>
      <c r="AIU52" s="190"/>
      <c r="AIV52" s="190"/>
      <c r="AIW52" s="190"/>
      <c r="AIX52" s="190"/>
      <c r="AIY52" s="199"/>
      <c r="AIZ52" s="190"/>
      <c r="AJA52" s="190"/>
      <c r="AJB52" s="190"/>
      <c r="AJC52" s="190"/>
      <c r="AJD52" s="190"/>
      <c r="AJE52" s="192"/>
      <c r="AJF52" s="190"/>
      <c r="AJG52" s="190"/>
      <c r="AJH52" s="190"/>
      <c r="AJI52" s="190"/>
      <c r="AJJ52" s="196"/>
      <c r="AJK52" s="199"/>
      <c r="AJL52" s="190"/>
      <c r="AJM52" s="190"/>
      <c r="AJN52" s="190"/>
      <c r="AJO52" s="190"/>
      <c r="AJP52" s="190"/>
      <c r="AJQ52" s="192"/>
      <c r="AJR52" s="190"/>
      <c r="AJS52" s="190"/>
      <c r="AJT52" s="190"/>
      <c r="AJU52" s="190"/>
      <c r="AJV52" s="190"/>
      <c r="AJW52" s="199"/>
      <c r="AJX52" s="190"/>
      <c r="AJY52" s="190"/>
      <c r="AJZ52" s="190"/>
      <c r="AKA52" s="190"/>
      <c r="AKB52" s="190"/>
      <c r="AKC52" s="194"/>
      <c r="AKD52" s="189"/>
      <c r="AKE52" s="190"/>
      <c r="AKF52" s="190"/>
      <c r="AKG52" s="190"/>
      <c r="AKH52" s="190"/>
      <c r="AKI52" s="191"/>
      <c r="AKJ52" s="190"/>
      <c r="AKK52" s="190"/>
      <c r="AKL52" s="190"/>
      <c r="AKM52" s="190"/>
      <c r="AKN52" s="190"/>
      <c r="AKO52" s="192"/>
      <c r="AKP52" s="190"/>
      <c r="AKQ52" s="190"/>
      <c r="AKR52" s="190"/>
      <c r="AKS52" s="190"/>
      <c r="AKT52" s="190"/>
      <c r="AKU52" s="199"/>
      <c r="AKV52" s="190"/>
      <c r="AKW52" s="190"/>
      <c r="AKX52" s="190"/>
      <c r="AKY52" s="190"/>
      <c r="AKZ52" s="190"/>
      <c r="ALA52" s="192"/>
      <c r="ALB52" s="190"/>
      <c r="ALC52" s="190"/>
      <c r="ALD52" s="190"/>
      <c r="ALE52" s="190"/>
      <c r="ALF52" s="190"/>
      <c r="ALG52" s="199"/>
      <c r="ALH52" s="190"/>
      <c r="ALI52" s="190"/>
      <c r="ALJ52" s="190"/>
      <c r="ALK52" s="190"/>
      <c r="ALL52" s="190"/>
      <c r="ALM52" s="192"/>
      <c r="ALN52" s="190"/>
      <c r="ALO52" s="190"/>
      <c r="ALP52" s="190"/>
      <c r="ALQ52" s="190"/>
      <c r="ALR52" s="196"/>
      <c r="ALS52" s="199"/>
      <c r="ALT52" s="190"/>
      <c r="ALU52" s="190"/>
      <c r="ALV52" s="190"/>
      <c r="ALW52" s="190"/>
      <c r="ALX52" s="190"/>
      <c r="ALY52" s="192"/>
      <c r="ALZ52" s="190"/>
      <c r="AMA52" s="190"/>
      <c r="AMB52" s="190"/>
      <c r="AMC52" s="190"/>
      <c r="AMD52" s="190"/>
      <c r="AME52" s="199"/>
      <c r="AMF52" s="190"/>
      <c r="AMG52" s="190"/>
      <c r="AMH52" s="190"/>
      <c r="AMI52" s="190"/>
      <c r="AMJ52" s="190"/>
      <c r="AMK52" s="194"/>
      <c r="AML52" s="189"/>
      <c r="AMM52" s="190"/>
      <c r="AMN52" s="190"/>
      <c r="AMO52" s="190"/>
      <c r="AMP52" s="190"/>
      <c r="AMQ52" s="191"/>
      <c r="AMR52" s="190"/>
      <c r="AMS52" s="190"/>
      <c r="AMT52" s="190"/>
      <c r="AMU52" s="190"/>
      <c r="AMV52" s="190"/>
      <c r="AMW52" s="192"/>
      <c r="AMX52" s="190"/>
      <c r="AMY52" s="190"/>
      <c r="AMZ52" s="190"/>
      <c r="ANA52" s="190"/>
      <c r="ANB52" s="190"/>
      <c r="ANC52" s="199"/>
      <c r="AND52" s="190"/>
      <c r="ANE52" s="190"/>
      <c r="ANF52" s="190"/>
      <c r="ANG52" s="190"/>
      <c r="ANH52" s="190"/>
      <c r="ANI52" s="192"/>
      <c r="ANJ52" s="190"/>
      <c r="ANK52" s="190"/>
      <c r="ANL52" s="190"/>
      <c r="ANM52" s="190"/>
      <c r="ANN52" s="190"/>
      <c r="ANO52" s="199"/>
      <c r="ANP52" s="190"/>
      <c r="ANQ52" s="190"/>
      <c r="ANR52" s="190"/>
      <c r="ANS52" s="190"/>
      <c r="ANT52" s="190"/>
      <c r="ANU52" s="192"/>
      <c r="ANV52" s="190"/>
      <c r="ANW52" s="190"/>
      <c r="ANX52" s="190"/>
      <c r="ANY52" s="190"/>
      <c r="ANZ52" s="196"/>
      <c r="AOA52" s="199"/>
      <c r="AOB52" s="190"/>
      <c r="AOC52" s="190"/>
      <c r="AOD52" s="190"/>
      <c r="AOE52" s="190"/>
      <c r="AOF52" s="190"/>
      <c r="AOG52" s="192"/>
      <c r="AOH52" s="190"/>
      <c r="AOI52" s="190"/>
      <c r="AOJ52" s="190"/>
      <c r="AOK52" s="190"/>
      <c r="AOL52" s="190"/>
      <c r="AOM52" s="199"/>
      <c r="AON52" s="190"/>
      <c r="AOO52" s="190"/>
      <c r="AOP52" s="190"/>
      <c r="AOQ52" s="190"/>
      <c r="AOR52" s="190"/>
      <c r="AOS52" s="194"/>
      <c r="AOT52" s="189"/>
      <c r="AOU52" s="190"/>
      <c r="AOV52" s="190"/>
      <c r="AOW52" s="190"/>
      <c r="AOX52" s="190"/>
      <c r="AOY52" s="191"/>
      <c r="AOZ52" s="190"/>
      <c r="APA52" s="190"/>
      <c r="APB52" s="190"/>
      <c r="APC52" s="190"/>
      <c r="APD52" s="190"/>
      <c r="APE52" s="192"/>
      <c r="APF52" s="190"/>
      <c r="APG52" s="190"/>
      <c r="APH52" s="190"/>
      <c r="API52" s="190"/>
      <c r="APJ52" s="190"/>
      <c r="APK52" s="199"/>
      <c r="APL52" s="190"/>
      <c r="APM52" s="190"/>
      <c r="APN52" s="190"/>
      <c r="APO52" s="190"/>
      <c r="APP52" s="190"/>
      <c r="APQ52" s="192"/>
      <c r="APR52" s="190"/>
      <c r="APS52" s="190"/>
      <c r="APT52" s="190"/>
      <c r="APU52" s="190"/>
      <c r="APV52" s="190"/>
      <c r="APW52" s="199"/>
      <c r="APX52" s="190"/>
      <c r="APY52" s="190"/>
      <c r="APZ52" s="190"/>
      <c r="AQA52" s="190"/>
      <c r="AQB52" s="190"/>
      <c r="AQC52" s="192"/>
      <c r="AQD52" s="190"/>
      <c r="AQE52" s="190"/>
      <c r="AQF52" s="190"/>
      <c r="AQG52" s="190"/>
      <c r="AQH52" s="196"/>
      <c r="AQI52" s="199"/>
      <c r="AQJ52" s="190"/>
      <c r="AQK52" s="190"/>
      <c r="AQL52" s="190"/>
      <c r="AQM52" s="190"/>
      <c r="AQN52" s="190"/>
      <c r="AQO52" s="192"/>
      <c r="AQP52" s="190"/>
      <c r="AQQ52" s="190"/>
      <c r="AQR52" s="190"/>
      <c r="AQS52" s="190"/>
      <c r="AQT52" s="190"/>
      <c r="AQU52" s="199"/>
      <c r="AQV52" s="190"/>
      <c r="AQW52" s="190"/>
      <c r="AQX52" s="190"/>
      <c r="AQY52" s="190"/>
      <c r="AQZ52" s="190"/>
      <c r="ARA52" s="194"/>
      <c r="ARB52" s="189"/>
      <c r="ARC52" s="190"/>
      <c r="ARD52" s="190"/>
      <c r="ARE52" s="190"/>
      <c r="ARF52" s="190"/>
      <c r="ARG52" s="191"/>
      <c r="ARH52" s="190"/>
      <c r="ARI52" s="190"/>
      <c r="ARJ52" s="190"/>
      <c r="ARK52" s="190"/>
      <c r="ARL52" s="190"/>
      <c r="ARM52" s="192"/>
      <c r="ARN52" s="190"/>
      <c r="ARO52" s="190"/>
      <c r="ARP52" s="190"/>
      <c r="ARQ52" s="190"/>
      <c r="ARR52" s="190"/>
      <c r="ARS52" s="199"/>
      <c r="ART52" s="190"/>
      <c r="ARU52" s="190"/>
      <c r="ARV52" s="190"/>
      <c r="ARW52" s="190"/>
      <c r="ARX52" s="190"/>
      <c r="ARY52" s="192"/>
      <c r="ARZ52" s="190"/>
      <c r="ASA52" s="190"/>
      <c r="ASB52" s="190"/>
      <c r="ASC52" s="190"/>
      <c r="ASD52" s="190"/>
      <c r="ASE52" s="199"/>
      <c r="ASF52" s="190"/>
      <c r="ASG52" s="190"/>
      <c r="ASH52" s="190"/>
      <c r="ASI52" s="190"/>
      <c r="ASJ52" s="190"/>
      <c r="ASK52" s="192"/>
      <c r="ASL52" s="190"/>
      <c r="ASM52" s="190"/>
      <c r="ASN52" s="190"/>
      <c r="ASO52" s="190"/>
      <c r="ASP52" s="196"/>
      <c r="ASQ52" s="199"/>
      <c r="ASR52" s="190"/>
      <c r="ASS52" s="190"/>
      <c r="AST52" s="190"/>
      <c r="ASU52" s="190"/>
      <c r="ASV52" s="190"/>
      <c r="ASW52" s="192"/>
      <c r="ASX52" s="190"/>
      <c r="ASY52" s="190"/>
      <c r="ASZ52" s="190"/>
      <c r="ATA52" s="190"/>
      <c r="ATB52" s="190"/>
      <c r="ATC52" s="199"/>
      <c r="ATD52" s="190"/>
      <c r="ATE52" s="190"/>
      <c r="ATF52" s="190"/>
      <c r="ATG52" s="190"/>
      <c r="ATH52" s="190"/>
      <c r="ATI52" s="194"/>
      <c r="ATJ52" s="189"/>
      <c r="ATK52" s="190"/>
      <c r="ATL52" s="190"/>
      <c r="ATM52" s="190"/>
      <c r="ATN52" s="190"/>
      <c r="ATO52" s="191"/>
      <c r="ATP52" s="190"/>
      <c r="ATQ52" s="190"/>
      <c r="ATR52" s="190"/>
      <c r="ATS52" s="190"/>
      <c r="ATT52" s="190"/>
      <c r="ATU52" s="192"/>
      <c r="ATV52" s="190"/>
      <c r="ATW52" s="190"/>
      <c r="ATX52" s="190"/>
      <c r="ATY52" s="190"/>
      <c r="ATZ52" s="190"/>
      <c r="AUA52" s="199"/>
      <c r="AUB52" s="190"/>
      <c r="AUC52" s="190"/>
      <c r="AUD52" s="190"/>
      <c r="AUE52" s="190"/>
      <c r="AUF52" s="190"/>
      <c r="AUG52" s="192"/>
      <c r="AUH52" s="190"/>
      <c r="AUI52" s="190"/>
      <c r="AUJ52" s="190"/>
      <c r="AUK52" s="190"/>
      <c r="AUL52" s="190"/>
      <c r="AUM52" s="199"/>
      <c r="AUN52" s="190"/>
      <c r="AUO52" s="190"/>
      <c r="AUP52" s="190"/>
      <c r="AUQ52" s="190"/>
      <c r="AUR52" s="190"/>
      <c r="AUS52" s="192"/>
      <c r="AUT52" s="190"/>
      <c r="AUU52" s="190"/>
      <c r="AUV52" s="190"/>
      <c r="AUW52" s="190"/>
      <c r="AUX52" s="196"/>
      <c r="AUY52" s="199"/>
      <c r="AUZ52" s="190"/>
      <c r="AVA52" s="190"/>
      <c r="AVB52" s="190"/>
      <c r="AVC52" s="190"/>
      <c r="AVD52" s="190"/>
      <c r="AVE52" s="192"/>
      <c r="AVF52" s="190"/>
      <c r="AVG52" s="190"/>
      <c r="AVH52" s="190"/>
      <c r="AVI52" s="190"/>
      <c r="AVJ52" s="190"/>
      <c r="AVK52" s="199"/>
      <c r="AVL52" s="190"/>
      <c r="AVM52" s="190"/>
      <c r="AVN52" s="190"/>
      <c r="AVO52" s="190"/>
      <c r="AVP52" s="190"/>
      <c r="AVQ52" s="194"/>
      <c r="AVR52" s="189"/>
      <c r="AVS52" s="190"/>
      <c r="AVT52" s="190"/>
      <c r="AVU52" s="190"/>
      <c r="AVV52" s="190"/>
      <c r="AVW52" s="191"/>
      <c r="AVX52" s="190"/>
      <c r="AVY52" s="190"/>
      <c r="AVZ52" s="190"/>
      <c r="AWA52" s="190"/>
      <c r="AWB52" s="190"/>
      <c r="AWC52" s="192"/>
      <c r="AWD52" s="190"/>
      <c r="AWE52" s="190"/>
      <c r="AWF52" s="190"/>
      <c r="AWG52" s="190"/>
      <c r="AWH52" s="190"/>
      <c r="AWI52" s="199"/>
      <c r="AWJ52" s="190"/>
      <c r="AWK52" s="190"/>
      <c r="AWL52" s="190"/>
      <c r="AWM52" s="190"/>
      <c r="AWN52" s="190"/>
      <c r="AWO52" s="192"/>
      <c r="AWP52" s="190"/>
      <c r="AWQ52" s="190"/>
      <c r="AWR52" s="190"/>
      <c r="AWS52" s="190"/>
      <c r="AWT52" s="190"/>
      <c r="AWU52" s="199"/>
      <c r="AWV52" s="190"/>
      <c r="AWW52" s="190"/>
      <c r="AWX52" s="190"/>
      <c r="AWY52" s="190"/>
      <c r="AWZ52" s="190"/>
      <c r="AXA52" s="192"/>
      <c r="AXB52" s="190"/>
      <c r="AXC52" s="190"/>
      <c r="AXD52" s="190"/>
      <c r="AXE52" s="190"/>
      <c r="AXF52" s="196"/>
      <c r="AXG52" s="199"/>
      <c r="AXH52" s="190"/>
      <c r="AXI52" s="190"/>
      <c r="AXJ52" s="190"/>
      <c r="AXK52" s="190"/>
      <c r="AXL52" s="190"/>
      <c r="AXM52" s="192"/>
      <c r="AXN52" s="190"/>
      <c r="AXO52" s="190"/>
      <c r="AXP52" s="190"/>
      <c r="AXQ52" s="190"/>
      <c r="AXR52" s="190"/>
      <c r="AXS52" s="199"/>
      <c r="AXT52" s="190"/>
      <c r="AXU52" s="190"/>
      <c r="AXV52" s="190"/>
      <c r="AXW52" s="190"/>
      <c r="AXX52" s="190"/>
      <c r="AXY52" s="194"/>
      <c r="AXZ52" s="189"/>
      <c r="AYA52" s="190"/>
      <c r="AYB52" s="190"/>
      <c r="AYC52" s="190"/>
      <c r="AYD52" s="190"/>
      <c r="AYE52" s="191"/>
      <c r="AYF52" s="190"/>
      <c r="AYG52" s="190"/>
      <c r="AYH52" s="190"/>
      <c r="AYI52" s="190"/>
      <c r="AYJ52" s="190"/>
      <c r="AYK52" s="192"/>
      <c r="AYL52" s="190"/>
      <c r="AYM52" s="190"/>
      <c r="AYN52" s="190"/>
      <c r="AYO52" s="190"/>
      <c r="AYP52" s="190"/>
      <c r="AYQ52" s="199"/>
      <c r="AYR52" s="190"/>
      <c r="AYS52" s="190"/>
      <c r="AYT52" s="190"/>
      <c r="AYU52" s="190"/>
      <c r="AYV52" s="190"/>
      <c r="AYW52" s="192"/>
      <c r="AYX52" s="190"/>
      <c r="AYY52" s="190"/>
      <c r="AYZ52" s="190"/>
      <c r="AZA52" s="190"/>
      <c r="AZB52" s="190"/>
      <c r="AZC52" s="199"/>
      <c r="AZD52" s="190"/>
      <c r="AZE52" s="190"/>
      <c r="AZF52" s="190"/>
      <c r="AZG52" s="190"/>
      <c r="AZH52" s="190"/>
      <c r="AZI52" s="192"/>
      <c r="AZJ52" s="190"/>
      <c r="AZK52" s="190"/>
      <c r="AZL52" s="190"/>
      <c r="AZM52" s="190"/>
      <c r="AZN52" s="196"/>
      <c r="AZO52" s="199"/>
      <c r="AZP52" s="190"/>
      <c r="AZQ52" s="190"/>
      <c r="AZR52" s="190"/>
      <c r="AZS52" s="190"/>
      <c r="AZT52" s="190"/>
      <c r="AZU52" s="192"/>
      <c r="AZV52" s="190"/>
      <c r="AZW52" s="190"/>
      <c r="AZX52" s="190"/>
      <c r="AZY52" s="190"/>
      <c r="AZZ52" s="190"/>
      <c r="BAA52" s="199"/>
      <c r="BAB52" s="190"/>
      <c r="BAC52" s="190"/>
      <c r="BAD52" s="190"/>
      <c r="BAE52" s="190"/>
      <c r="BAF52" s="190"/>
      <c r="BAG52" s="194"/>
      <c r="BAH52" s="189"/>
      <c r="BAI52" s="190"/>
      <c r="BAJ52" s="190"/>
      <c r="BAK52" s="190"/>
      <c r="BAL52" s="190"/>
      <c r="BAM52" s="191"/>
      <c r="BAN52" s="190"/>
      <c r="BAO52" s="190"/>
      <c r="BAP52" s="190"/>
      <c r="BAQ52" s="190"/>
      <c r="BAR52" s="190"/>
      <c r="BAS52" s="192"/>
      <c r="BAT52" s="190"/>
      <c r="BAU52" s="190"/>
      <c r="BAV52" s="190"/>
      <c r="BAW52" s="190"/>
      <c r="BAX52" s="190"/>
      <c r="BAY52" s="199"/>
      <c r="BAZ52" s="190"/>
      <c r="BBA52" s="190"/>
      <c r="BBB52" s="190"/>
      <c r="BBC52" s="190"/>
      <c r="BBD52" s="190"/>
      <c r="BBE52" s="192"/>
      <c r="BBF52" s="190"/>
      <c r="BBG52" s="190"/>
      <c r="BBH52" s="190"/>
      <c r="BBI52" s="190"/>
      <c r="BBJ52" s="190"/>
      <c r="BBK52" s="199"/>
      <c r="BBL52" s="190"/>
      <c r="BBM52" s="190"/>
      <c r="BBN52" s="190"/>
      <c r="BBO52" s="190"/>
      <c r="BBP52" s="190"/>
      <c r="BBQ52" s="192"/>
      <c r="BBR52" s="190"/>
      <c r="BBS52" s="190"/>
      <c r="BBT52" s="190"/>
      <c r="BBU52" s="190"/>
      <c r="BBV52" s="196"/>
      <c r="BBW52" s="199"/>
      <c r="BBX52" s="190"/>
      <c r="BBY52" s="190"/>
      <c r="BBZ52" s="190"/>
      <c r="BCA52" s="190"/>
      <c r="BCB52" s="190"/>
      <c r="BCC52" s="192"/>
      <c r="BCD52" s="190"/>
      <c r="BCE52" s="190"/>
      <c r="BCF52" s="190"/>
      <c r="BCG52" s="190"/>
      <c r="BCH52" s="190"/>
      <c r="BCI52" s="199"/>
      <c r="BCJ52" s="190"/>
      <c r="BCK52" s="190"/>
      <c r="BCL52" s="190"/>
      <c r="BCM52" s="190"/>
      <c r="BCN52" s="190"/>
      <c r="BCO52" s="194"/>
      <c r="BCP52" s="189"/>
      <c r="BCQ52" s="190"/>
      <c r="BCR52" s="190"/>
      <c r="BCS52" s="190"/>
      <c r="BCT52" s="190"/>
      <c r="BCU52" s="191"/>
      <c r="BCV52" s="190"/>
      <c r="BCW52" s="190"/>
      <c r="BCX52" s="190"/>
      <c r="BCY52" s="190"/>
      <c r="BCZ52" s="190"/>
      <c r="BDA52" s="192"/>
      <c r="BDB52" s="190"/>
      <c r="BDC52" s="190"/>
      <c r="BDD52" s="190"/>
      <c r="BDE52" s="190"/>
      <c r="BDF52" s="190"/>
      <c r="BDG52" s="199"/>
      <c r="BDH52" s="190"/>
      <c r="BDI52" s="190"/>
      <c r="BDJ52" s="190"/>
      <c r="BDK52" s="190"/>
      <c r="BDL52" s="190"/>
      <c r="BDM52" s="192"/>
      <c r="BDN52" s="190"/>
      <c r="BDO52" s="190"/>
      <c r="BDP52" s="190"/>
      <c r="BDQ52" s="190"/>
      <c r="BDR52" s="190"/>
      <c r="BDS52" s="199"/>
      <c r="BDT52" s="190"/>
      <c r="BDU52" s="190"/>
      <c r="BDV52" s="190"/>
      <c r="BDW52" s="190"/>
      <c r="BDX52" s="190"/>
      <c r="BDY52" s="192"/>
      <c r="BDZ52" s="190"/>
      <c r="BEA52" s="190"/>
      <c r="BEB52" s="190"/>
      <c r="BEC52" s="190"/>
      <c r="BED52" s="196"/>
      <c r="BEE52" s="199"/>
      <c r="BEF52" s="190"/>
      <c r="BEG52" s="190"/>
      <c r="BEH52" s="190"/>
      <c r="BEI52" s="190"/>
      <c r="BEJ52" s="190"/>
      <c r="BEK52" s="192"/>
      <c r="BEL52" s="190"/>
      <c r="BEM52" s="190"/>
      <c r="BEN52" s="190"/>
      <c r="BEO52" s="190"/>
      <c r="BEP52" s="190"/>
      <c r="BEQ52" s="199"/>
      <c r="BER52" s="190"/>
      <c r="BES52" s="190"/>
      <c r="BET52" s="190"/>
      <c r="BEU52" s="190"/>
      <c r="BEV52" s="190"/>
      <c r="BEW52" s="194"/>
      <c r="BEX52" s="189"/>
      <c r="BEY52" s="190"/>
      <c r="BEZ52" s="190"/>
      <c r="BFA52" s="190"/>
      <c r="BFB52" s="190"/>
      <c r="BFC52" s="191"/>
      <c r="BFD52" s="190"/>
      <c r="BFE52" s="190"/>
      <c r="BFF52" s="190"/>
      <c r="BFG52" s="190"/>
      <c r="BFH52" s="190"/>
      <c r="BFI52" s="192"/>
      <c r="BFJ52" s="190"/>
      <c r="BFK52" s="190"/>
      <c r="BFL52" s="190"/>
      <c r="BFM52" s="190"/>
      <c r="BFN52" s="190"/>
      <c r="BFO52" s="199"/>
      <c r="BFP52" s="190"/>
      <c r="BFQ52" s="190"/>
      <c r="BFR52" s="190"/>
      <c r="BFS52" s="190"/>
      <c r="BFT52" s="190"/>
      <c r="BFU52" s="192"/>
      <c r="BFV52" s="190"/>
      <c r="BFW52" s="190"/>
      <c r="BFX52" s="190"/>
      <c r="BFY52" s="190"/>
      <c r="BFZ52" s="190"/>
      <c r="BGA52" s="199"/>
      <c r="BGB52" s="190"/>
      <c r="BGC52" s="190"/>
      <c r="BGD52" s="190"/>
      <c r="BGE52" s="190"/>
      <c r="BGF52" s="190"/>
      <c r="BGG52" s="192"/>
      <c r="BGH52" s="190"/>
      <c r="BGI52" s="190"/>
      <c r="BGJ52" s="190"/>
      <c r="BGK52" s="190"/>
      <c r="BGL52" s="196"/>
      <c r="BGM52" s="199"/>
      <c r="BGN52" s="190"/>
      <c r="BGO52" s="190"/>
      <c r="BGP52" s="190"/>
      <c r="BGQ52" s="190"/>
      <c r="BGR52" s="190"/>
      <c r="BGS52" s="192"/>
      <c r="BGT52" s="190"/>
      <c r="BGU52" s="190"/>
      <c r="BGV52" s="190"/>
      <c r="BGW52" s="190"/>
      <c r="BGX52" s="190"/>
      <c r="BGY52" s="199"/>
      <c r="BGZ52" s="190"/>
      <c r="BHA52" s="190"/>
      <c r="BHB52" s="190"/>
      <c r="BHC52" s="190"/>
      <c r="BHD52" s="190"/>
      <c r="BHE52" s="194"/>
      <c r="BHF52" s="187"/>
      <c r="BHG52" s="188"/>
      <c r="BHH52" s="188"/>
      <c r="BHI52" s="188"/>
      <c r="BHJ52" s="188"/>
      <c r="BHK52" s="188"/>
      <c r="BHL52" s="188"/>
      <c r="BHM52" s="188"/>
      <c r="BHN52" s="188"/>
      <c r="BHO52" s="188"/>
      <c r="BHP52" s="188"/>
      <c r="BHQ52" s="188"/>
      <c r="BHR52" s="188"/>
      <c r="BHS52" s="188"/>
      <c r="BHT52" s="188"/>
      <c r="BHU52" s="188"/>
      <c r="BHV52" s="188"/>
      <c r="BHW52" s="188"/>
      <c r="BHX52" s="188"/>
      <c r="BHY52" s="188"/>
      <c r="BHZ52" s="188"/>
      <c r="BIA52" s="188"/>
      <c r="BIB52" s="188"/>
      <c r="BIC52" s="188"/>
      <c r="BID52" s="188"/>
      <c r="BIE52" s="188"/>
      <c r="BIF52" s="188"/>
      <c r="BIG52" s="188"/>
      <c r="BIH52" s="188"/>
      <c r="BII52" s="188"/>
      <c r="BIJ52" s="188"/>
      <c r="BIK52" s="188"/>
      <c r="BIL52" s="188"/>
      <c r="BIM52" s="188"/>
      <c r="BIN52" s="188"/>
      <c r="BIO52" s="188"/>
      <c r="BIP52" s="188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230" t="s">
        <v>81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6"/>
      <c r="AVS53" s="177"/>
      <c r="AVT53" s="177"/>
      <c r="AVU53" s="177"/>
      <c r="AVV53" s="177"/>
      <c r="AVW53" s="178"/>
      <c r="AVX53" s="177"/>
      <c r="AVY53" s="177"/>
      <c r="AVZ53" s="177"/>
      <c r="AWA53" s="177"/>
      <c r="AWB53" s="177"/>
      <c r="AWC53" s="179"/>
      <c r="AWD53" s="177"/>
      <c r="AWE53" s="177"/>
      <c r="AWF53" s="177"/>
      <c r="AWG53" s="177"/>
      <c r="AWH53" s="177"/>
      <c r="AWI53" s="180"/>
      <c r="AWJ53" s="177"/>
      <c r="AWK53" s="177"/>
      <c r="AWL53" s="177"/>
      <c r="AWM53" s="177"/>
      <c r="AWN53" s="177"/>
      <c r="AWO53" s="179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76"/>
      <c r="AYA53" s="177"/>
      <c r="AYB53" s="177"/>
      <c r="AYC53" s="177"/>
      <c r="AYD53" s="177"/>
      <c r="AYE53" s="178"/>
      <c r="AYF53" s="177"/>
      <c r="AYG53" s="177"/>
      <c r="AYH53" s="177"/>
      <c r="AYI53" s="177"/>
      <c r="AYJ53" s="177"/>
      <c r="AYK53" s="179"/>
      <c r="AYL53" s="177"/>
      <c r="AYM53" s="177"/>
      <c r="AYN53" s="177"/>
      <c r="AYO53" s="177"/>
      <c r="AYP53" s="177"/>
      <c r="AYQ53" s="180"/>
      <c r="AYR53" s="177"/>
      <c r="AYS53" s="177"/>
      <c r="AYT53" s="177"/>
      <c r="AYU53" s="177"/>
      <c r="AYV53" s="177"/>
      <c r="AYW53" s="179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87"/>
      <c r="BHG53" s="188"/>
      <c r="BHH53" s="188"/>
      <c r="BHI53" s="188"/>
      <c r="BHJ53" s="188"/>
      <c r="BHK53" s="188"/>
      <c r="BHL53" s="188"/>
      <c r="BHM53" s="188"/>
      <c r="BHN53" s="188"/>
      <c r="BHO53" s="188"/>
      <c r="BHP53" s="188"/>
      <c r="BHQ53" s="188"/>
      <c r="BHR53" s="188"/>
      <c r="BHS53" s="188"/>
      <c r="BHT53" s="188"/>
      <c r="BHU53" s="188"/>
      <c r="BHV53" s="188"/>
      <c r="BHW53" s="188"/>
      <c r="BHX53" s="188"/>
      <c r="BHY53" s="188"/>
      <c r="BHZ53" s="188"/>
      <c r="BIA53" s="188"/>
      <c r="BIB53" s="188"/>
      <c r="BIC53" s="188"/>
      <c r="BID53" s="188"/>
      <c r="BIE53" s="188"/>
      <c r="BIF53" s="188"/>
      <c r="BIG53" s="188"/>
      <c r="BIH53" s="188"/>
      <c r="BII53" s="188"/>
      <c r="BIJ53" s="188"/>
      <c r="BIK53" s="188"/>
      <c r="BIL53" s="188"/>
      <c r="BIM53" s="188"/>
      <c r="BIN53" s="188"/>
      <c r="BIO53" s="188"/>
      <c r="BIP53" s="188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231"/>
      <c r="D54" s="121" t="str">
        <f t="shared" si="0"/>
        <v/>
      </c>
      <c r="E54" s="30">
        <v>0</v>
      </c>
      <c r="F54" s="195"/>
      <c r="G54" s="196"/>
      <c r="H54" s="196"/>
      <c r="I54" s="196"/>
      <c r="J54" s="196"/>
      <c r="K54" s="197"/>
      <c r="L54" s="196"/>
      <c r="M54" s="196"/>
      <c r="N54" s="196"/>
      <c r="O54" s="196"/>
      <c r="P54" s="196"/>
      <c r="Q54" s="198"/>
      <c r="R54" s="196"/>
      <c r="S54" s="196"/>
      <c r="T54" s="196"/>
      <c r="U54" s="196"/>
      <c r="V54" s="196"/>
      <c r="W54" s="199"/>
      <c r="X54" s="196"/>
      <c r="Y54" s="196"/>
      <c r="Z54" s="196"/>
      <c r="AA54" s="196"/>
      <c r="AB54" s="196"/>
      <c r="AC54" s="198"/>
      <c r="AD54" s="196"/>
      <c r="AE54" s="196"/>
      <c r="AF54" s="196"/>
      <c r="AG54" s="196"/>
      <c r="AH54" s="196"/>
      <c r="AI54" s="199"/>
      <c r="AJ54" s="196"/>
      <c r="AK54" s="196"/>
      <c r="AL54" s="196"/>
      <c r="AM54" s="196"/>
      <c r="AN54" s="196"/>
      <c r="AO54" s="198"/>
      <c r="AP54" s="196"/>
      <c r="AQ54" s="196"/>
      <c r="AR54" s="196"/>
      <c r="AS54" s="196"/>
      <c r="AT54" s="196"/>
      <c r="AU54" s="199"/>
      <c r="AV54" s="196"/>
      <c r="AW54" s="196"/>
      <c r="AX54" s="196"/>
      <c r="AY54" s="196"/>
      <c r="AZ54" s="196"/>
      <c r="BA54" s="198"/>
      <c r="BB54" s="196"/>
      <c r="BC54" s="196"/>
      <c r="BD54" s="196"/>
      <c r="BE54" s="196"/>
      <c r="BF54" s="196"/>
      <c r="BG54" s="199"/>
      <c r="BH54" s="196"/>
      <c r="BI54" s="196"/>
      <c r="BJ54" s="196"/>
      <c r="BK54" s="196"/>
      <c r="BL54" s="196"/>
      <c r="BM54" s="200"/>
      <c r="BN54" s="195"/>
      <c r="BO54" s="196"/>
      <c r="BP54" s="196"/>
      <c r="BQ54" s="196"/>
      <c r="BR54" s="196"/>
      <c r="BS54" s="197"/>
      <c r="BT54" s="196"/>
      <c r="BU54" s="196"/>
      <c r="BV54" s="196"/>
      <c r="BW54" s="196"/>
      <c r="BX54" s="196"/>
      <c r="BY54" s="198"/>
      <c r="BZ54" s="196"/>
      <c r="CA54" s="196"/>
      <c r="CB54" s="196"/>
      <c r="CC54" s="196"/>
      <c r="CD54" s="196"/>
      <c r="CE54" s="199"/>
      <c r="CF54" s="196"/>
      <c r="CG54" s="196"/>
      <c r="CH54" s="196"/>
      <c r="CI54" s="196"/>
      <c r="CJ54" s="196"/>
      <c r="CK54" s="198"/>
      <c r="CL54" s="196"/>
      <c r="CM54" s="196"/>
      <c r="CN54" s="196"/>
      <c r="CO54" s="196"/>
      <c r="CP54" s="196"/>
      <c r="CQ54" s="199"/>
      <c r="CR54" s="196"/>
      <c r="CS54" s="196"/>
      <c r="CT54" s="196"/>
      <c r="CU54" s="196"/>
      <c r="CV54" s="196"/>
      <c r="CW54" s="198"/>
      <c r="CX54" s="196"/>
      <c r="CY54" s="196"/>
      <c r="CZ54" s="196"/>
      <c r="DA54" s="196"/>
      <c r="DB54" s="196"/>
      <c r="DC54" s="199"/>
      <c r="DD54" s="196"/>
      <c r="DE54" s="196"/>
      <c r="DF54" s="196"/>
      <c r="DG54" s="196"/>
      <c r="DH54" s="196"/>
      <c r="DI54" s="198"/>
      <c r="DJ54" s="196"/>
      <c r="DK54" s="196"/>
      <c r="DL54" s="196"/>
      <c r="DM54" s="196"/>
      <c r="DN54" s="196"/>
      <c r="DO54" s="199"/>
      <c r="DP54" s="196"/>
      <c r="DQ54" s="196"/>
      <c r="DR54" s="196"/>
      <c r="DS54" s="196"/>
      <c r="DT54" s="196"/>
      <c r="DU54" s="200"/>
      <c r="DV54" s="195"/>
      <c r="DW54" s="196"/>
      <c r="DX54" s="196"/>
      <c r="DY54" s="196"/>
      <c r="DZ54" s="196"/>
      <c r="EA54" s="197"/>
      <c r="EB54" s="196"/>
      <c r="EC54" s="196"/>
      <c r="ED54" s="196"/>
      <c r="EE54" s="196"/>
      <c r="EF54" s="196"/>
      <c r="EG54" s="198"/>
      <c r="EH54" s="196"/>
      <c r="EI54" s="196"/>
      <c r="EJ54" s="196"/>
      <c r="EK54" s="196"/>
      <c r="EL54" s="196"/>
      <c r="EM54" s="199"/>
      <c r="EN54" s="196"/>
      <c r="EO54" s="196"/>
      <c r="EP54" s="196"/>
      <c r="EQ54" s="196"/>
      <c r="ER54" s="196"/>
      <c r="ES54" s="198"/>
      <c r="ET54" s="196"/>
      <c r="EU54" s="196"/>
      <c r="EV54" s="196"/>
      <c r="EW54" s="196"/>
      <c r="EX54" s="196"/>
      <c r="EY54" s="199"/>
      <c r="EZ54" s="196"/>
      <c r="FA54" s="196"/>
      <c r="FB54" s="196"/>
      <c r="FC54" s="196"/>
      <c r="FD54" s="196"/>
      <c r="FE54" s="198"/>
      <c r="FF54" s="196"/>
      <c r="FG54" s="196"/>
      <c r="FH54" s="196"/>
      <c r="FI54" s="196"/>
      <c r="FJ54" s="196"/>
      <c r="FK54" s="199"/>
      <c r="FL54" s="196"/>
      <c r="FM54" s="196"/>
      <c r="FN54" s="196"/>
      <c r="FO54" s="196"/>
      <c r="FP54" s="196"/>
      <c r="FQ54" s="198"/>
      <c r="FR54" s="196"/>
      <c r="FS54" s="196"/>
      <c r="FT54" s="196"/>
      <c r="FU54" s="196"/>
      <c r="FV54" s="196"/>
      <c r="FW54" s="199"/>
      <c r="FX54" s="196"/>
      <c r="FY54" s="196"/>
      <c r="FZ54" s="196"/>
      <c r="GA54" s="196"/>
      <c r="GB54" s="196"/>
      <c r="GC54" s="200"/>
      <c r="GD54" s="195"/>
      <c r="GE54" s="196"/>
      <c r="GF54" s="196"/>
      <c r="GG54" s="196"/>
      <c r="GH54" s="196"/>
      <c r="GI54" s="197"/>
      <c r="GJ54" s="196"/>
      <c r="GK54" s="196"/>
      <c r="GL54" s="196"/>
      <c r="GM54" s="196"/>
      <c r="GN54" s="196"/>
      <c r="GO54" s="198"/>
      <c r="GP54" s="196"/>
      <c r="GQ54" s="196"/>
      <c r="GR54" s="196"/>
      <c r="GS54" s="196"/>
      <c r="GT54" s="196"/>
      <c r="GU54" s="199"/>
      <c r="GV54" s="196"/>
      <c r="GW54" s="196"/>
      <c r="GX54" s="196"/>
      <c r="GY54" s="196"/>
      <c r="GZ54" s="196"/>
      <c r="HA54" s="198"/>
      <c r="HB54" s="196"/>
      <c r="HC54" s="196"/>
      <c r="HD54" s="196"/>
      <c r="HE54" s="196"/>
      <c r="HF54" s="196"/>
      <c r="HG54" s="199"/>
      <c r="HH54" s="196"/>
      <c r="HI54" s="196"/>
      <c r="HJ54" s="196"/>
      <c r="HK54" s="196"/>
      <c r="HL54" s="196"/>
      <c r="HM54" s="198"/>
      <c r="HN54" s="196"/>
      <c r="HO54" s="196"/>
      <c r="HP54" s="196"/>
      <c r="HQ54" s="196"/>
      <c r="HR54" s="196"/>
      <c r="HS54" s="199"/>
      <c r="HT54" s="196"/>
      <c r="HU54" s="196"/>
      <c r="HV54" s="196"/>
      <c r="HW54" s="196"/>
      <c r="HX54" s="196"/>
      <c r="HY54" s="198"/>
      <c r="HZ54" s="196"/>
      <c r="IA54" s="196"/>
      <c r="IB54" s="196"/>
      <c r="IC54" s="196"/>
      <c r="ID54" s="196"/>
      <c r="IE54" s="199"/>
      <c r="IF54" s="196"/>
      <c r="IG54" s="196"/>
      <c r="IH54" s="196"/>
      <c r="II54" s="196"/>
      <c r="IJ54" s="196"/>
      <c r="IK54" s="200"/>
      <c r="IL54" s="195"/>
      <c r="IM54" s="196"/>
      <c r="IN54" s="196"/>
      <c r="IO54" s="196"/>
      <c r="IP54" s="196"/>
      <c r="IQ54" s="197"/>
      <c r="IR54" s="196"/>
      <c r="IS54" s="196"/>
      <c r="IT54" s="196"/>
      <c r="IU54" s="196"/>
      <c r="IV54" s="196"/>
      <c r="IW54" s="198"/>
      <c r="IX54" s="196"/>
      <c r="IY54" s="196"/>
      <c r="IZ54" s="196"/>
      <c r="JA54" s="196"/>
      <c r="JB54" s="196"/>
      <c r="JC54" s="199"/>
      <c r="JD54" s="196"/>
      <c r="JE54" s="196"/>
      <c r="JF54" s="196"/>
      <c r="JG54" s="196"/>
      <c r="JH54" s="196"/>
      <c r="JI54" s="198"/>
      <c r="JJ54" s="196"/>
      <c r="JK54" s="196"/>
      <c r="JL54" s="196"/>
      <c r="JM54" s="196"/>
      <c r="JN54" s="196"/>
      <c r="JO54" s="199"/>
      <c r="JP54" s="196"/>
      <c r="JQ54" s="196"/>
      <c r="JR54" s="196"/>
      <c r="JS54" s="196"/>
      <c r="JT54" s="196"/>
      <c r="JU54" s="198"/>
      <c r="JV54" s="196"/>
      <c r="JW54" s="196"/>
      <c r="JX54" s="196"/>
      <c r="JY54" s="196"/>
      <c r="JZ54" s="196"/>
      <c r="KA54" s="199"/>
      <c r="KB54" s="196"/>
      <c r="KC54" s="196"/>
      <c r="KD54" s="196"/>
      <c r="KE54" s="196"/>
      <c r="KF54" s="196"/>
      <c r="KG54" s="198"/>
      <c r="KH54" s="196"/>
      <c r="KI54" s="196"/>
      <c r="KJ54" s="196"/>
      <c r="KK54" s="196"/>
      <c r="KL54" s="196"/>
      <c r="KM54" s="199"/>
      <c r="KN54" s="196"/>
      <c r="KO54" s="196"/>
      <c r="KP54" s="196"/>
      <c r="KQ54" s="196"/>
      <c r="KR54" s="196"/>
      <c r="KS54" s="200"/>
      <c r="KT54" s="195"/>
      <c r="KU54" s="196"/>
      <c r="KV54" s="196"/>
      <c r="KW54" s="196"/>
      <c r="KX54" s="196"/>
      <c r="KY54" s="197"/>
      <c r="KZ54" s="196"/>
      <c r="LA54" s="196"/>
      <c r="LB54" s="196"/>
      <c r="LC54" s="196"/>
      <c r="LD54" s="196"/>
      <c r="LE54" s="198"/>
      <c r="LF54" s="196"/>
      <c r="LG54" s="196"/>
      <c r="LH54" s="196"/>
      <c r="LI54" s="196"/>
      <c r="LJ54" s="196"/>
      <c r="LK54" s="199"/>
      <c r="LL54" s="196"/>
      <c r="LM54" s="196"/>
      <c r="LN54" s="196"/>
      <c r="LO54" s="196"/>
      <c r="LP54" s="196"/>
      <c r="LQ54" s="198"/>
      <c r="LR54" s="196"/>
      <c r="LS54" s="196"/>
      <c r="LT54" s="196"/>
      <c r="LU54" s="196"/>
      <c r="LV54" s="196"/>
      <c r="LW54" s="199"/>
      <c r="LX54" s="196"/>
      <c r="LY54" s="196"/>
      <c r="LZ54" s="196"/>
      <c r="MA54" s="196"/>
      <c r="MB54" s="196"/>
      <c r="MC54" s="198"/>
      <c r="MD54" s="196"/>
      <c r="ME54" s="196"/>
      <c r="MF54" s="196"/>
      <c r="MG54" s="196"/>
      <c r="MH54" s="196"/>
      <c r="MI54" s="199"/>
      <c r="MJ54" s="196"/>
      <c r="MK54" s="196"/>
      <c r="ML54" s="196"/>
      <c r="MM54" s="196"/>
      <c r="MN54" s="196"/>
      <c r="MO54" s="198"/>
      <c r="MP54" s="196"/>
      <c r="MQ54" s="196"/>
      <c r="MR54" s="196"/>
      <c r="MS54" s="196"/>
      <c r="MT54" s="196"/>
      <c r="MU54" s="199"/>
      <c r="MV54" s="196"/>
      <c r="MW54" s="196"/>
      <c r="MX54" s="196"/>
      <c r="MY54" s="196"/>
      <c r="MZ54" s="196"/>
      <c r="NA54" s="200"/>
      <c r="NB54" s="195"/>
      <c r="NC54" s="196"/>
      <c r="ND54" s="196"/>
      <c r="NE54" s="196"/>
      <c r="NF54" s="196"/>
      <c r="NG54" s="197"/>
      <c r="NH54" s="196"/>
      <c r="NI54" s="196"/>
      <c r="NJ54" s="196"/>
      <c r="NK54" s="196"/>
      <c r="NL54" s="196"/>
      <c r="NM54" s="198"/>
      <c r="NN54" s="196"/>
      <c r="NO54" s="196"/>
      <c r="NP54" s="196"/>
      <c r="NQ54" s="196"/>
      <c r="NR54" s="196"/>
      <c r="NS54" s="199"/>
      <c r="NT54" s="196"/>
      <c r="NU54" s="196"/>
      <c r="NV54" s="196"/>
      <c r="NW54" s="196"/>
      <c r="NX54" s="196"/>
      <c r="NY54" s="198"/>
      <c r="NZ54" s="196"/>
      <c r="OA54" s="196"/>
      <c r="OB54" s="196"/>
      <c r="OC54" s="196"/>
      <c r="OD54" s="196"/>
      <c r="OE54" s="199"/>
      <c r="OF54" s="196"/>
      <c r="OG54" s="196"/>
      <c r="OH54" s="196"/>
      <c r="OI54" s="196"/>
      <c r="OJ54" s="196"/>
      <c r="OK54" s="198"/>
      <c r="OL54" s="196"/>
      <c r="OM54" s="196"/>
      <c r="ON54" s="196"/>
      <c r="OO54" s="196"/>
      <c r="OP54" s="196"/>
      <c r="OQ54" s="199"/>
      <c r="OR54" s="196"/>
      <c r="OS54" s="196"/>
      <c r="OT54" s="196"/>
      <c r="OU54" s="196"/>
      <c r="OV54" s="196"/>
      <c r="OW54" s="198"/>
      <c r="OX54" s="196"/>
      <c r="OY54" s="196"/>
      <c r="OZ54" s="196"/>
      <c r="PA54" s="196"/>
      <c r="PB54" s="196"/>
      <c r="PC54" s="199"/>
      <c r="PD54" s="196"/>
      <c r="PE54" s="196"/>
      <c r="PF54" s="196"/>
      <c r="PG54" s="196"/>
      <c r="PH54" s="196"/>
      <c r="PI54" s="200"/>
      <c r="PJ54" s="195"/>
      <c r="PK54" s="196"/>
      <c r="PL54" s="196"/>
      <c r="PM54" s="196"/>
      <c r="PN54" s="196"/>
      <c r="PO54" s="197"/>
      <c r="PP54" s="196"/>
      <c r="PQ54" s="196"/>
      <c r="PR54" s="196"/>
      <c r="PS54" s="196"/>
      <c r="PT54" s="196"/>
      <c r="PU54" s="198"/>
      <c r="PV54" s="196"/>
      <c r="PW54" s="196"/>
      <c r="PX54" s="196"/>
      <c r="PY54" s="196"/>
      <c r="PZ54" s="196"/>
      <c r="QA54" s="199"/>
      <c r="QB54" s="196"/>
      <c r="QC54" s="196"/>
      <c r="QD54" s="196"/>
      <c r="QE54" s="196"/>
      <c r="QF54" s="196"/>
      <c r="QG54" s="198"/>
      <c r="QH54" s="196"/>
      <c r="QI54" s="196"/>
      <c r="QJ54" s="196"/>
      <c r="QK54" s="196"/>
      <c r="QL54" s="196"/>
      <c r="QM54" s="199"/>
      <c r="QN54" s="196"/>
      <c r="QO54" s="196"/>
      <c r="QP54" s="196"/>
      <c r="QQ54" s="196"/>
      <c r="QR54" s="196"/>
      <c r="QS54" s="198"/>
      <c r="QT54" s="196"/>
      <c r="QU54" s="196"/>
      <c r="QV54" s="196"/>
      <c r="QW54" s="196"/>
      <c r="QX54" s="196"/>
      <c r="QY54" s="199"/>
      <c r="QZ54" s="196"/>
      <c r="RA54" s="196"/>
      <c r="RB54" s="196"/>
      <c r="RC54" s="196"/>
      <c r="RD54" s="196"/>
      <c r="RE54" s="198"/>
      <c r="RF54" s="196"/>
      <c r="RG54" s="196"/>
      <c r="RH54" s="196"/>
      <c r="RI54" s="196"/>
      <c r="RJ54" s="196"/>
      <c r="RK54" s="199"/>
      <c r="RL54" s="196"/>
      <c r="RM54" s="196"/>
      <c r="RN54" s="196"/>
      <c r="RO54" s="196"/>
      <c r="RP54" s="196"/>
      <c r="RQ54" s="200"/>
      <c r="RR54" s="195"/>
      <c r="RS54" s="196"/>
      <c r="RT54" s="196"/>
      <c r="RU54" s="196"/>
      <c r="RV54" s="196"/>
      <c r="RW54" s="197"/>
      <c r="RX54" s="196"/>
      <c r="RY54" s="196"/>
      <c r="RZ54" s="196"/>
      <c r="SA54" s="196"/>
      <c r="SB54" s="196"/>
      <c r="SC54" s="198"/>
      <c r="SD54" s="196"/>
      <c r="SE54" s="196"/>
      <c r="SF54" s="196"/>
      <c r="SG54" s="196"/>
      <c r="SH54" s="196"/>
      <c r="SI54" s="199"/>
      <c r="SJ54" s="196"/>
      <c r="SK54" s="196"/>
      <c r="SL54" s="196"/>
      <c r="SM54" s="196"/>
      <c r="SN54" s="196"/>
      <c r="SO54" s="198"/>
      <c r="SP54" s="196"/>
      <c r="SQ54" s="196"/>
      <c r="SR54" s="196"/>
      <c r="SS54" s="196"/>
      <c r="ST54" s="196"/>
      <c r="SU54" s="199"/>
      <c r="SV54" s="196"/>
      <c r="SW54" s="196"/>
      <c r="SX54" s="196"/>
      <c r="SY54" s="196"/>
      <c r="SZ54" s="196"/>
      <c r="TA54" s="198"/>
      <c r="TB54" s="196"/>
      <c r="TC54" s="196"/>
      <c r="TD54" s="196"/>
      <c r="TE54" s="196"/>
      <c r="TF54" s="196"/>
      <c r="TG54" s="199"/>
      <c r="TH54" s="196"/>
      <c r="TI54" s="196"/>
      <c r="TJ54" s="196"/>
      <c r="TK54" s="196"/>
      <c r="TL54" s="196"/>
      <c r="TM54" s="198"/>
      <c r="TN54" s="196"/>
      <c r="TO54" s="196"/>
      <c r="TP54" s="196"/>
      <c r="TQ54" s="196"/>
      <c r="TR54" s="196"/>
      <c r="TS54" s="199"/>
      <c r="TT54" s="196"/>
      <c r="TU54" s="196"/>
      <c r="TV54" s="196"/>
      <c r="TW54" s="196"/>
      <c r="TX54" s="196"/>
      <c r="TY54" s="200"/>
      <c r="TZ54" s="195"/>
      <c r="UA54" s="196"/>
      <c r="UB54" s="196"/>
      <c r="UC54" s="196"/>
      <c r="UD54" s="196"/>
      <c r="UE54" s="197"/>
      <c r="UF54" s="196"/>
      <c r="UG54" s="196"/>
      <c r="UH54" s="196"/>
      <c r="UI54" s="196"/>
      <c r="UJ54" s="196"/>
      <c r="UK54" s="198"/>
      <c r="UL54" s="196"/>
      <c r="UM54" s="196"/>
      <c r="UN54" s="196"/>
      <c r="UO54" s="196"/>
      <c r="UP54" s="196"/>
      <c r="UQ54" s="199"/>
      <c r="UR54" s="196"/>
      <c r="US54" s="196"/>
      <c r="UT54" s="196"/>
      <c r="UU54" s="196"/>
      <c r="UV54" s="196"/>
      <c r="UW54" s="198"/>
      <c r="UX54" s="196"/>
      <c r="UY54" s="196"/>
      <c r="UZ54" s="196"/>
      <c r="VA54" s="196"/>
      <c r="VB54" s="196"/>
      <c r="VC54" s="199"/>
      <c r="VD54" s="196"/>
      <c r="VE54" s="196"/>
      <c r="VF54" s="196"/>
      <c r="VG54" s="196"/>
      <c r="VH54" s="196"/>
      <c r="VI54" s="198"/>
      <c r="VJ54" s="196"/>
      <c r="VK54" s="196"/>
      <c r="VL54" s="196"/>
      <c r="VM54" s="196"/>
      <c r="VN54" s="196"/>
      <c r="VO54" s="199"/>
      <c r="VP54" s="196"/>
      <c r="VQ54" s="196"/>
      <c r="VR54" s="196"/>
      <c r="VS54" s="196"/>
      <c r="VT54" s="196"/>
      <c r="VU54" s="198"/>
      <c r="VV54" s="196"/>
      <c r="VW54" s="196"/>
      <c r="VX54" s="196"/>
      <c r="VY54" s="196"/>
      <c r="VZ54" s="196"/>
      <c r="WA54" s="199"/>
      <c r="WB54" s="196"/>
      <c r="WC54" s="196"/>
      <c r="WD54" s="196"/>
      <c r="WE54" s="196"/>
      <c r="WF54" s="196"/>
      <c r="WG54" s="200"/>
      <c r="WH54" s="195"/>
      <c r="WI54" s="196"/>
      <c r="WJ54" s="196"/>
      <c r="WK54" s="196"/>
      <c r="WL54" s="196"/>
      <c r="WM54" s="197"/>
      <c r="WN54" s="196"/>
      <c r="WO54" s="196"/>
      <c r="WP54" s="196"/>
      <c r="WQ54" s="196"/>
      <c r="WR54" s="196"/>
      <c r="WS54" s="198"/>
      <c r="WT54" s="196"/>
      <c r="WU54" s="196"/>
      <c r="WV54" s="196"/>
      <c r="WW54" s="196"/>
      <c r="WX54" s="196"/>
      <c r="WY54" s="199"/>
      <c r="WZ54" s="196"/>
      <c r="XA54" s="196"/>
      <c r="XB54" s="196"/>
      <c r="XC54" s="196"/>
      <c r="XD54" s="196"/>
      <c r="XE54" s="198"/>
      <c r="XF54" s="196"/>
      <c r="XG54" s="196"/>
      <c r="XH54" s="196"/>
      <c r="XI54" s="196"/>
      <c r="XJ54" s="196"/>
      <c r="XK54" s="199"/>
      <c r="XL54" s="196"/>
      <c r="XM54" s="196"/>
      <c r="XN54" s="196"/>
      <c r="XO54" s="196"/>
      <c r="XP54" s="196"/>
      <c r="XQ54" s="198"/>
      <c r="XR54" s="196"/>
      <c r="XS54" s="196"/>
      <c r="XT54" s="196"/>
      <c r="XU54" s="196"/>
      <c r="XV54" s="196"/>
      <c r="XW54" s="199"/>
      <c r="XX54" s="196"/>
      <c r="XY54" s="196"/>
      <c r="XZ54" s="196"/>
      <c r="YA54" s="196"/>
      <c r="YB54" s="196"/>
      <c r="YC54" s="198"/>
      <c r="YD54" s="196"/>
      <c r="YE54" s="196"/>
      <c r="YF54" s="196"/>
      <c r="YG54" s="196"/>
      <c r="YH54" s="196"/>
      <c r="YI54" s="199"/>
      <c r="YJ54" s="196"/>
      <c r="YK54" s="196"/>
      <c r="YL54" s="196"/>
      <c r="YM54" s="196"/>
      <c r="YN54" s="196"/>
      <c r="YO54" s="200"/>
      <c r="YP54" s="195"/>
      <c r="YQ54" s="196"/>
      <c r="YR54" s="196"/>
      <c r="YS54" s="196"/>
      <c r="YT54" s="196"/>
      <c r="YU54" s="197"/>
      <c r="YV54" s="196"/>
      <c r="YW54" s="196"/>
      <c r="YX54" s="196"/>
      <c r="YY54" s="196"/>
      <c r="YZ54" s="196"/>
      <c r="ZA54" s="198"/>
      <c r="ZB54" s="196"/>
      <c r="ZC54" s="196"/>
      <c r="ZD54" s="196"/>
      <c r="ZE54" s="196"/>
      <c r="ZF54" s="196"/>
      <c r="ZG54" s="199"/>
      <c r="ZH54" s="196"/>
      <c r="ZI54" s="196"/>
      <c r="ZJ54" s="196"/>
      <c r="ZK54" s="196"/>
      <c r="ZL54" s="196"/>
      <c r="ZM54" s="198"/>
      <c r="ZN54" s="196"/>
      <c r="ZO54" s="196"/>
      <c r="ZP54" s="196"/>
      <c r="ZQ54" s="196"/>
      <c r="ZR54" s="196"/>
      <c r="ZS54" s="199"/>
      <c r="ZT54" s="196"/>
      <c r="ZU54" s="196"/>
      <c r="ZV54" s="196"/>
      <c r="ZW54" s="196"/>
      <c r="ZX54" s="196"/>
      <c r="ZY54" s="198"/>
      <c r="ZZ54" s="196"/>
      <c r="AAA54" s="196"/>
      <c r="AAB54" s="196"/>
      <c r="AAC54" s="196"/>
      <c r="AAD54" s="196"/>
      <c r="AAE54" s="199"/>
      <c r="AAF54" s="196"/>
      <c r="AAG54" s="196"/>
      <c r="AAH54" s="196"/>
      <c r="AAI54" s="196"/>
      <c r="AAJ54" s="196"/>
      <c r="AAK54" s="198"/>
      <c r="AAL54" s="196"/>
      <c r="AAM54" s="196"/>
      <c r="AAN54" s="196"/>
      <c r="AAO54" s="196"/>
      <c r="AAP54" s="196"/>
      <c r="AAQ54" s="199"/>
      <c r="AAR54" s="196"/>
      <c r="AAS54" s="196"/>
      <c r="AAT54" s="196"/>
      <c r="AAU54" s="196"/>
      <c r="AAV54" s="196"/>
      <c r="AAW54" s="200"/>
      <c r="AAX54" s="195"/>
      <c r="AAY54" s="196"/>
      <c r="AAZ54" s="196"/>
      <c r="ABA54" s="196"/>
      <c r="ABB54" s="196"/>
      <c r="ABC54" s="197"/>
      <c r="ABD54" s="196"/>
      <c r="ABE54" s="196"/>
      <c r="ABF54" s="196"/>
      <c r="ABG54" s="196"/>
      <c r="ABH54" s="196"/>
      <c r="ABI54" s="198"/>
      <c r="ABJ54" s="196"/>
      <c r="ABK54" s="196"/>
      <c r="ABL54" s="196"/>
      <c r="ABM54" s="196"/>
      <c r="ABN54" s="196"/>
      <c r="ABO54" s="199"/>
      <c r="ABP54" s="196"/>
      <c r="ABQ54" s="196"/>
      <c r="ABR54" s="196"/>
      <c r="ABS54" s="196"/>
      <c r="ABT54" s="196"/>
      <c r="ABU54" s="198"/>
      <c r="ABV54" s="196"/>
      <c r="ABW54" s="196"/>
      <c r="ABX54" s="196"/>
      <c r="ABY54" s="196"/>
      <c r="ABZ54" s="196"/>
      <c r="ACA54" s="199"/>
      <c r="ACB54" s="196"/>
      <c r="ACC54" s="196"/>
      <c r="ACD54" s="196"/>
      <c r="ACE54" s="196"/>
      <c r="ACF54" s="196"/>
      <c r="ACG54" s="198"/>
      <c r="ACH54" s="196"/>
      <c r="ACI54" s="196"/>
      <c r="ACJ54" s="196"/>
      <c r="ACK54" s="196"/>
      <c r="ACL54" s="196"/>
      <c r="ACM54" s="199"/>
      <c r="ACN54" s="196"/>
      <c r="ACO54" s="196"/>
      <c r="ACP54" s="196"/>
      <c r="ACQ54" s="196"/>
      <c r="ACR54" s="196"/>
      <c r="ACS54" s="198"/>
      <c r="ACT54" s="196"/>
      <c r="ACU54" s="196"/>
      <c r="ACV54" s="196"/>
      <c r="ACW54" s="196"/>
      <c r="ACX54" s="196"/>
      <c r="ACY54" s="199"/>
      <c r="ACZ54" s="196"/>
      <c r="ADA54" s="196"/>
      <c r="ADB54" s="196"/>
      <c r="ADC54" s="196"/>
      <c r="ADD54" s="196"/>
      <c r="ADE54" s="200"/>
      <c r="ADF54" s="195"/>
      <c r="ADG54" s="196"/>
      <c r="ADH54" s="196"/>
      <c r="ADI54" s="196"/>
      <c r="ADJ54" s="196"/>
      <c r="ADK54" s="197"/>
      <c r="ADL54" s="196"/>
      <c r="ADM54" s="196"/>
      <c r="ADN54" s="196"/>
      <c r="ADO54" s="196"/>
      <c r="ADP54" s="196"/>
      <c r="ADQ54" s="198"/>
      <c r="ADR54" s="196"/>
      <c r="ADS54" s="196"/>
      <c r="ADT54" s="196"/>
      <c r="ADU54" s="196"/>
      <c r="ADV54" s="196"/>
      <c r="ADW54" s="199"/>
      <c r="ADX54" s="196"/>
      <c r="ADY54" s="196"/>
      <c r="ADZ54" s="196"/>
      <c r="AEA54" s="196"/>
      <c r="AEB54" s="196"/>
      <c r="AEC54" s="198"/>
      <c r="AED54" s="196"/>
      <c r="AEE54" s="196"/>
      <c r="AEF54" s="196"/>
      <c r="AEG54" s="196"/>
      <c r="AEH54" s="196"/>
      <c r="AEI54" s="199"/>
      <c r="AEJ54" s="196"/>
      <c r="AEK54" s="196"/>
      <c r="AEL54" s="196"/>
      <c r="AEM54" s="196"/>
      <c r="AEN54" s="196"/>
      <c r="AEO54" s="198"/>
      <c r="AEP54" s="196"/>
      <c r="AEQ54" s="196"/>
      <c r="AER54" s="196"/>
      <c r="AES54" s="196"/>
      <c r="AET54" s="196"/>
      <c r="AEU54" s="199"/>
      <c r="AEV54" s="196"/>
      <c r="AEW54" s="196"/>
      <c r="AEX54" s="196"/>
      <c r="AEY54" s="196"/>
      <c r="AEZ54" s="196"/>
      <c r="AFA54" s="198"/>
      <c r="AFB54" s="196"/>
      <c r="AFC54" s="196"/>
      <c r="AFD54" s="196"/>
      <c r="AFE54" s="196"/>
      <c r="AFF54" s="196"/>
      <c r="AFG54" s="199"/>
      <c r="AFH54" s="196"/>
      <c r="AFI54" s="196"/>
      <c r="AFJ54" s="196"/>
      <c r="AFK54" s="196"/>
      <c r="AFL54" s="196"/>
      <c r="AFM54" s="200"/>
      <c r="AFN54" s="195"/>
      <c r="AFO54" s="196"/>
      <c r="AFP54" s="196"/>
      <c r="AFQ54" s="196"/>
      <c r="AFR54" s="196"/>
      <c r="AFS54" s="197"/>
      <c r="AFT54" s="196"/>
      <c r="AFU54" s="196"/>
      <c r="AFV54" s="196"/>
      <c r="AFW54" s="196"/>
      <c r="AFX54" s="196"/>
      <c r="AFY54" s="198"/>
      <c r="AFZ54" s="196"/>
      <c r="AGA54" s="196"/>
      <c r="AGB54" s="196"/>
      <c r="AGC54" s="196"/>
      <c r="AGD54" s="196"/>
      <c r="AGE54" s="199"/>
      <c r="AGF54" s="196"/>
      <c r="AGG54" s="196"/>
      <c r="AGH54" s="196"/>
      <c r="AGI54" s="196"/>
      <c r="AGJ54" s="196"/>
      <c r="AGK54" s="198"/>
      <c r="AGL54" s="196"/>
      <c r="AGM54" s="196"/>
      <c r="AGN54" s="196"/>
      <c r="AGO54" s="196"/>
      <c r="AGP54" s="196"/>
      <c r="AGQ54" s="199"/>
      <c r="AGR54" s="196"/>
      <c r="AGS54" s="196"/>
      <c r="AGT54" s="196"/>
      <c r="AGU54" s="196"/>
      <c r="AGV54" s="196"/>
      <c r="AGW54" s="198"/>
      <c r="AGX54" s="196"/>
      <c r="AGY54" s="196"/>
      <c r="AGZ54" s="196"/>
      <c r="AHA54" s="196"/>
      <c r="AHB54" s="196"/>
      <c r="AHC54" s="199"/>
      <c r="AHD54" s="196"/>
      <c r="AHE54" s="196"/>
      <c r="AHF54" s="196"/>
      <c r="AHG54" s="196"/>
      <c r="AHH54" s="196"/>
      <c r="AHI54" s="198"/>
      <c r="AHJ54" s="196"/>
      <c r="AHK54" s="196"/>
      <c r="AHL54" s="196"/>
      <c r="AHM54" s="196"/>
      <c r="AHN54" s="196"/>
      <c r="AHO54" s="199"/>
      <c r="AHP54" s="196"/>
      <c r="AHQ54" s="196"/>
      <c r="AHR54" s="196"/>
      <c r="AHS54" s="196"/>
      <c r="AHT54" s="196"/>
      <c r="AHU54" s="200"/>
      <c r="AHV54" s="195"/>
      <c r="AHW54" s="196"/>
      <c r="AHX54" s="196"/>
      <c r="AHY54" s="196"/>
      <c r="AHZ54" s="196"/>
      <c r="AIA54" s="197"/>
      <c r="AIB54" s="196"/>
      <c r="AIC54" s="196"/>
      <c r="AID54" s="196"/>
      <c r="AIE54" s="196"/>
      <c r="AIF54" s="196"/>
      <c r="AIG54" s="198"/>
      <c r="AIH54" s="196"/>
      <c r="AII54" s="196"/>
      <c r="AIJ54" s="196"/>
      <c r="AIK54" s="196"/>
      <c r="AIL54" s="196"/>
      <c r="AIM54" s="199"/>
      <c r="AIN54" s="196"/>
      <c r="AIO54" s="196"/>
      <c r="AIP54" s="196"/>
      <c r="AIQ54" s="196"/>
      <c r="AIR54" s="196"/>
      <c r="AIS54" s="198"/>
      <c r="AIT54" s="196"/>
      <c r="AIU54" s="196"/>
      <c r="AIV54" s="196"/>
      <c r="AIW54" s="196"/>
      <c r="AIX54" s="196"/>
      <c r="AIY54" s="199"/>
      <c r="AIZ54" s="196"/>
      <c r="AJA54" s="196"/>
      <c r="AJB54" s="196"/>
      <c r="AJC54" s="196"/>
      <c r="AJD54" s="196"/>
      <c r="AJE54" s="198"/>
      <c r="AJF54" s="196"/>
      <c r="AJG54" s="196"/>
      <c r="AJH54" s="196"/>
      <c r="AJI54" s="196"/>
      <c r="AJJ54" s="196"/>
      <c r="AJK54" s="199"/>
      <c r="AJL54" s="196"/>
      <c r="AJM54" s="196"/>
      <c r="AJN54" s="196"/>
      <c r="AJO54" s="196"/>
      <c r="AJP54" s="196"/>
      <c r="AJQ54" s="198"/>
      <c r="AJR54" s="196"/>
      <c r="AJS54" s="196"/>
      <c r="AJT54" s="196"/>
      <c r="AJU54" s="196"/>
      <c r="AJV54" s="196"/>
      <c r="AJW54" s="199"/>
      <c r="AJX54" s="196"/>
      <c r="AJY54" s="196"/>
      <c r="AJZ54" s="196"/>
      <c r="AKA54" s="196"/>
      <c r="AKB54" s="196"/>
      <c r="AKC54" s="200"/>
      <c r="AKD54" s="195"/>
      <c r="AKE54" s="196"/>
      <c r="AKF54" s="196"/>
      <c r="AKG54" s="196"/>
      <c r="AKH54" s="196"/>
      <c r="AKI54" s="197"/>
      <c r="AKJ54" s="196"/>
      <c r="AKK54" s="196"/>
      <c r="AKL54" s="196"/>
      <c r="AKM54" s="196"/>
      <c r="AKN54" s="196"/>
      <c r="AKO54" s="198"/>
      <c r="AKP54" s="196"/>
      <c r="AKQ54" s="196"/>
      <c r="AKR54" s="196"/>
      <c r="AKS54" s="196"/>
      <c r="AKT54" s="196"/>
      <c r="AKU54" s="199"/>
      <c r="AKV54" s="196"/>
      <c r="AKW54" s="196"/>
      <c r="AKX54" s="196"/>
      <c r="AKY54" s="196"/>
      <c r="AKZ54" s="196"/>
      <c r="ALA54" s="198"/>
      <c r="ALB54" s="196"/>
      <c r="ALC54" s="196"/>
      <c r="ALD54" s="196"/>
      <c r="ALE54" s="196"/>
      <c r="ALF54" s="196"/>
      <c r="ALG54" s="199"/>
      <c r="ALH54" s="196"/>
      <c r="ALI54" s="196"/>
      <c r="ALJ54" s="196"/>
      <c r="ALK54" s="196"/>
      <c r="ALL54" s="196"/>
      <c r="ALM54" s="198"/>
      <c r="ALN54" s="196"/>
      <c r="ALO54" s="196"/>
      <c r="ALP54" s="196"/>
      <c r="ALQ54" s="196"/>
      <c r="ALR54" s="196"/>
      <c r="ALS54" s="199"/>
      <c r="ALT54" s="196"/>
      <c r="ALU54" s="196"/>
      <c r="ALV54" s="196"/>
      <c r="ALW54" s="196"/>
      <c r="ALX54" s="196"/>
      <c r="ALY54" s="198"/>
      <c r="ALZ54" s="196"/>
      <c r="AMA54" s="196"/>
      <c r="AMB54" s="196"/>
      <c r="AMC54" s="196"/>
      <c r="AMD54" s="196"/>
      <c r="AME54" s="199"/>
      <c r="AMF54" s="196"/>
      <c r="AMG54" s="196"/>
      <c r="AMH54" s="196"/>
      <c r="AMI54" s="196"/>
      <c r="AMJ54" s="196"/>
      <c r="AMK54" s="200"/>
      <c r="AML54" s="195"/>
      <c r="AMM54" s="196"/>
      <c r="AMN54" s="196"/>
      <c r="AMO54" s="196"/>
      <c r="AMP54" s="196"/>
      <c r="AMQ54" s="197"/>
      <c r="AMR54" s="196"/>
      <c r="AMS54" s="196"/>
      <c r="AMT54" s="196"/>
      <c r="AMU54" s="196"/>
      <c r="AMV54" s="196"/>
      <c r="AMW54" s="198"/>
      <c r="AMX54" s="196"/>
      <c r="AMY54" s="196"/>
      <c r="AMZ54" s="196"/>
      <c r="ANA54" s="196"/>
      <c r="ANB54" s="196"/>
      <c r="ANC54" s="199"/>
      <c r="AND54" s="196"/>
      <c r="ANE54" s="196"/>
      <c r="ANF54" s="196"/>
      <c r="ANG54" s="196"/>
      <c r="ANH54" s="196"/>
      <c r="ANI54" s="198"/>
      <c r="ANJ54" s="196"/>
      <c r="ANK54" s="196"/>
      <c r="ANL54" s="196"/>
      <c r="ANM54" s="196"/>
      <c r="ANN54" s="196"/>
      <c r="ANO54" s="199"/>
      <c r="ANP54" s="196"/>
      <c r="ANQ54" s="196"/>
      <c r="ANR54" s="196"/>
      <c r="ANS54" s="196"/>
      <c r="ANT54" s="196"/>
      <c r="ANU54" s="198"/>
      <c r="ANV54" s="196"/>
      <c r="ANW54" s="196"/>
      <c r="ANX54" s="196"/>
      <c r="ANY54" s="196"/>
      <c r="ANZ54" s="196"/>
      <c r="AOA54" s="199"/>
      <c r="AOB54" s="196"/>
      <c r="AOC54" s="196"/>
      <c r="AOD54" s="196"/>
      <c r="AOE54" s="196"/>
      <c r="AOF54" s="196"/>
      <c r="AOG54" s="198"/>
      <c r="AOH54" s="196"/>
      <c r="AOI54" s="196"/>
      <c r="AOJ54" s="196"/>
      <c r="AOK54" s="196"/>
      <c r="AOL54" s="196"/>
      <c r="AOM54" s="199"/>
      <c r="AON54" s="196"/>
      <c r="AOO54" s="196"/>
      <c r="AOP54" s="196"/>
      <c r="AOQ54" s="196"/>
      <c r="AOR54" s="196"/>
      <c r="AOS54" s="200"/>
      <c r="AOT54" s="195"/>
      <c r="AOU54" s="196"/>
      <c r="AOV54" s="196"/>
      <c r="AOW54" s="196"/>
      <c r="AOX54" s="196"/>
      <c r="AOY54" s="197"/>
      <c r="AOZ54" s="196"/>
      <c r="APA54" s="196"/>
      <c r="APB54" s="196"/>
      <c r="APC54" s="196"/>
      <c r="APD54" s="196"/>
      <c r="APE54" s="198"/>
      <c r="APF54" s="196"/>
      <c r="APG54" s="196"/>
      <c r="APH54" s="196"/>
      <c r="API54" s="196"/>
      <c r="APJ54" s="196"/>
      <c r="APK54" s="199"/>
      <c r="APL54" s="196"/>
      <c r="APM54" s="196"/>
      <c r="APN54" s="196"/>
      <c r="APO54" s="196"/>
      <c r="APP54" s="196"/>
      <c r="APQ54" s="198"/>
      <c r="APR54" s="196"/>
      <c r="APS54" s="196"/>
      <c r="APT54" s="196"/>
      <c r="APU54" s="196"/>
      <c r="APV54" s="196"/>
      <c r="APW54" s="199"/>
      <c r="APX54" s="196"/>
      <c r="APY54" s="196"/>
      <c r="APZ54" s="196"/>
      <c r="AQA54" s="196"/>
      <c r="AQB54" s="196"/>
      <c r="AQC54" s="198"/>
      <c r="AQD54" s="196"/>
      <c r="AQE54" s="196"/>
      <c r="AQF54" s="196"/>
      <c r="AQG54" s="196"/>
      <c r="AQH54" s="196"/>
      <c r="AQI54" s="199"/>
      <c r="AQJ54" s="196"/>
      <c r="AQK54" s="196"/>
      <c r="AQL54" s="196"/>
      <c r="AQM54" s="196"/>
      <c r="AQN54" s="196"/>
      <c r="AQO54" s="198"/>
      <c r="AQP54" s="196"/>
      <c r="AQQ54" s="196"/>
      <c r="AQR54" s="196"/>
      <c r="AQS54" s="196"/>
      <c r="AQT54" s="196"/>
      <c r="AQU54" s="199"/>
      <c r="AQV54" s="196"/>
      <c r="AQW54" s="196"/>
      <c r="AQX54" s="196"/>
      <c r="AQY54" s="196"/>
      <c r="AQZ54" s="196"/>
      <c r="ARA54" s="200"/>
      <c r="ARB54" s="195"/>
      <c r="ARC54" s="196"/>
      <c r="ARD54" s="196"/>
      <c r="ARE54" s="196"/>
      <c r="ARF54" s="196"/>
      <c r="ARG54" s="197"/>
      <c r="ARH54" s="196"/>
      <c r="ARI54" s="196"/>
      <c r="ARJ54" s="196"/>
      <c r="ARK54" s="196"/>
      <c r="ARL54" s="196"/>
      <c r="ARM54" s="198"/>
      <c r="ARN54" s="196"/>
      <c r="ARO54" s="196"/>
      <c r="ARP54" s="196"/>
      <c r="ARQ54" s="196"/>
      <c r="ARR54" s="196"/>
      <c r="ARS54" s="199"/>
      <c r="ART54" s="196"/>
      <c r="ARU54" s="196"/>
      <c r="ARV54" s="196"/>
      <c r="ARW54" s="196"/>
      <c r="ARX54" s="196"/>
      <c r="ARY54" s="198"/>
      <c r="ARZ54" s="196"/>
      <c r="ASA54" s="196"/>
      <c r="ASB54" s="196"/>
      <c r="ASC54" s="196"/>
      <c r="ASD54" s="196"/>
      <c r="ASE54" s="199"/>
      <c r="ASF54" s="196"/>
      <c r="ASG54" s="196"/>
      <c r="ASH54" s="196"/>
      <c r="ASI54" s="196"/>
      <c r="ASJ54" s="196"/>
      <c r="ASK54" s="198"/>
      <c r="ASL54" s="196"/>
      <c r="ASM54" s="196"/>
      <c r="ASN54" s="196"/>
      <c r="ASO54" s="196"/>
      <c r="ASP54" s="196"/>
      <c r="ASQ54" s="199"/>
      <c r="ASR54" s="196"/>
      <c r="ASS54" s="196"/>
      <c r="AST54" s="196"/>
      <c r="ASU54" s="196"/>
      <c r="ASV54" s="196"/>
      <c r="ASW54" s="198"/>
      <c r="ASX54" s="196"/>
      <c r="ASY54" s="196"/>
      <c r="ASZ54" s="196"/>
      <c r="ATA54" s="196"/>
      <c r="ATB54" s="196"/>
      <c r="ATC54" s="199"/>
      <c r="ATD54" s="196"/>
      <c r="ATE54" s="196"/>
      <c r="ATF54" s="196"/>
      <c r="ATG54" s="196"/>
      <c r="ATH54" s="196"/>
      <c r="ATI54" s="200"/>
      <c r="ATJ54" s="195"/>
      <c r="ATK54" s="196"/>
      <c r="ATL54" s="196"/>
      <c r="ATM54" s="196"/>
      <c r="ATN54" s="196"/>
      <c r="ATO54" s="197"/>
      <c r="ATP54" s="196"/>
      <c r="ATQ54" s="196"/>
      <c r="ATR54" s="196"/>
      <c r="ATS54" s="196"/>
      <c r="ATT54" s="196"/>
      <c r="ATU54" s="198"/>
      <c r="ATV54" s="196"/>
      <c r="ATW54" s="196"/>
      <c r="ATX54" s="196"/>
      <c r="ATY54" s="196"/>
      <c r="ATZ54" s="196"/>
      <c r="AUA54" s="199"/>
      <c r="AUB54" s="196"/>
      <c r="AUC54" s="196"/>
      <c r="AUD54" s="196"/>
      <c r="AUE54" s="196"/>
      <c r="AUF54" s="196"/>
      <c r="AUG54" s="198"/>
      <c r="AUH54" s="196"/>
      <c r="AUI54" s="196"/>
      <c r="AUJ54" s="196"/>
      <c r="AUK54" s="196"/>
      <c r="AUL54" s="196"/>
      <c r="AUM54" s="199"/>
      <c r="AUN54" s="196"/>
      <c r="AUO54" s="196"/>
      <c r="AUP54" s="196"/>
      <c r="AUQ54" s="196"/>
      <c r="AUR54" s="196"/>
      <c r="AUS54" s="198"/>
      <c r="AUT54" s="196"/>
      <c r="AUU54" s="196"/>
      <c r="AUV54" s="196"/>
      <c r="AUW54" s="196"/>
      <c r="AUX54" s="196"/>
      <c r="AUY54" s="199"/>
      <c r="AUZ54" s="196"/>
      <c r="AVA54" s="196"/>
      <c r="AVB54" s="196"/>
      <c r="AVC54" s="196"/>
      <c r="AVD54" s="196"/>
      <c r="AVE54" s="198"/>
      <c r="AVF54" s="196"/>
      <c r="AVG54" s="196"/>
      <c r="AVH54" s="196"/>
      <c r="AVI54" s="196"/>
      <c r="AVJ54" s="196"/>
      <c r="AVK54" s="199"/>
      <c r="AVL54" s="196"/>
      <c r="AVM54" s="196"/>
      <c r="AVN54" s="196"/>
      <c r="AVO54" s="196"/>
      <c r="AVP54" s="196"/>
      <c r="AVQ54" s="200"/>
      <c r="AVR54" s="195"/>
      <c r="AVS54" s="196"/>
      <c r="AVT54" s="196"/>
      <c r="AVU54" s="196"/>
      <c r="AVV54" s="196"/>
      <c r="AVW54" s="197"/>
      <c r="AVX54" s="196"/>
      <c r="AVY54" s="196"/>
      <c r="AVZ54" s="196"/>
      <c r="AWA54" s="196"/>
      <c r="AWB54" s="196"/>
      <c r="AWC54" s="198"/>
      <c r="AWD54" s="196"/>
      <c r="AWE54" s="196"/>
      <c r="AWF54" s="196"/>
      <c r="AWG54" s="196"/>
      <c r="AWH54" s="196"/>
      <c r="AWI54" s="199"/>
      <c r="AWJ54" s="196"/>
      <c r="AWK54" s="196"/>
      <c r="AWL54" s="196"/>
      <c r="AWM54" s="196"/>
      <c r="AWN54" s="196"/>
      <c r="AWO54" s="198"/>
      <c r="AWP54" s="196"/>
      <c r="AWQ54" s="196"/>
      <c r="AWR54" s="196"/>
      <c r="AWS54" s="196"/>
      <c r="AWT54" s="196"/>
      <c r="AWU54" s="199"/>
      <c r="AWV54" s="196"/>
      <c r="AWW54" s="196"/>
      <c r="AWX54" s="196"/>
      <c r="AWY54" s="196"/>
      <c r="AWZ54" s="196"/>
      <c r="AXA54" s="198"/>
      <c r="AXB54" s="196"/>
      <c r="AXC54" s="196"/>
      <c r="AXD54" s="196"/>
      <c r="AXE54" s="196"/>
      <c r="AXF54" s="196"/>
      <c r="AXG54" s="199"/>
      <c r="AXH54" s="196"/>
      <c r="AXI54" s="196"/>
      <c r="AXJ54" s="196"/>
      <c r="AXK54" s="196"/>
      <c r="AXL54" s="196"/>
      <c r="AXM54" s="198"/>
      <c r="AXN54" s="196"/>
      <c r="AXO54" s="196"/>
      <c r="AXP54" s="196"/>
      <c r="AXQ54" s="196"/>
      <c r="AXR54" s="196"/>
      <c r="AXS54" s="199"/>
      <c r="AXT54" s="196"/>
      <c r="AXU54" s="196"/>
      <c r="AXV54" s="196"/>
      <c r="AXW54" s="196"/>
      <c r="AXX54" s="196"/>
      <c r="AXY54" s="200"/>
      <c r="AXZ54" s="195"/>
      <c r="AYA54" s="196"/>
      <c r="AYB54" s="196"/>
      <c r="AYC54" s="196"/>
      <c r="AYD54" s="196"/>
      <c r="AYE54" s="197"/>
      <c r="AYF54" s="196"/>
      <c r="AYG54" s="196"/>
      <c r="AYH54" s="196"/>
      <c r="AYI54" s="196"/>
      <c r="AYJ54" s="196"/>
      <c r="AYK54" s="198"/>
      <c r="AYL54" s="196"/>
      <c r="AYM54" s="196"/>
      <c r="AYN54" s="196"/>
      <c r="AYO54" s="196"/>
      <c r="AYP54" s="196"/>
      <c r="AYQ54" s="199"/>
      <c r="AYR54" s="196"/>
      <c r="AYS54" s="196"/>
      <c r="AYT54" s="196"/>
      <c r="AYU54" s="196"/>
      <c r="AYV54" s="196"/>
      <c r="AYW54" s="198"/>
      <c r="AYX54" s="196"/>
      <c r="AYY54" s="196"/>
      <c r="AYZ54" s="196"/>
      <c r="AZA54" s="196"/>
      <c r="AZB54" s="196"/>
      <c r="AZC54" s="199"/>
      <c r="AZD54" s="196"/>
      <c r="AZE54" s="196"/>
      <c r="AZF54" s="196"/>
      <c r="AZG54" s="196"/>
      <c r="AZH54" s="196"/>
      <c r="AZI54" s="198"/>
      <c r="AZJ54" s="196"/>
      <c r="AZK54" s="196"/>
      <c r="AZL54" s="196"/>
      <c r="AZM54" s="196"/>
      <c r="AZN54" s="196"/>
      <c r="AZO54" s="199"/>
      <c r="AZP54" s="196"/>
      <c r="AZQ54" s="196"/>
      <c r="AZR54" s="196"/>
      <c r="AZS54" s="196"/>
      <c r="AZT54" s="196"/>
      <c r="AZU54" s="198"/>
      <c r="AZV54" s="196"/>
      <c r="AZW54" s="196"/>
      <c r="AZX54" s="196"/>
      <c r="AZY54" s="196"/>
      <c r="AZZ54" s="196"/>
      <c r="BAA54" s="199"/>
      <c r="BAB54" s="196"/>
      <c r="BAC54" s="196"/>
      <c r="BAD54" s="196"/>
      <c r="BAE54" s="196"/>
      <c r="BAF54" s="196"/>
      <c r="BAG54" s="200"/>
      <c r="BAH54" s="195"/>
      <c r="BAI54" s="196"/>
      <c r="BAJ54" s="196"/>
      <c r="BAK54" s="196"/>
      <c r="BAL54" s="196"/>
      <c r="BAM54" s="197"/>
      <c r="BAN54" s="196"/>
      <c r="BAO54" s="196"/>
      <c r="BAP54" s="196"/>
      <c r="BAQ54" s="196"/>
      <c r="BAR54" s="196"/>
      <c r="BAS54" s="198"/>
      <c r="BAT54" s="196"/>
      <c r="BAU54" s="196"/>
      <c r="BAV54" s="196"/>
      <c r="BAW54" s="196"/>
      <c r="BAX54" s="196"/>
      <c r="BAY54" s="199"/>
      <c r="BAZ54" s="196"/>
      <c r="BBA54" s="196"/>
      <c r="BBB54" s="196"/>
      <c r="BBC54" s="196"/>
      <c r="BBD54" s="196"/>
      <c r="BBE54" s="198"/>
      <c r="BBF54" s="196"/>
      <c r="BBG54" s="196"/>
      <c r="BBH54" s="196"/>
      <c r="BBI54" s="196"/>
      <c r="BBJ54" s="196"/>
      <c r="BBK54" s="199"/>
      <c r="BBL54" s="196"/>
      <c r="BBM54" s="196"/>
      <c r="BBN54" s="196"/>
      <c r="BBO54" s="196"/>
      <c r="BBP54" s="196"/>
      <c r="BBQ54" s="198"/>
      <c r="BBR54" s="196"/>
      <c r="BBS54" s="196"/>
      <c r="BBT54" s="196"/>
      <c r="BBU54" s="196"/>
      <c r="BBV54" s="196"/>
      <c r="BBW54" s="199"/>
      <c r="BBX54" s="196"/>
      <c r="BBY54" s="196"/>
      <c r="BBZ54" s="196"/>
      <c r="BCA54" s="196"/>
      <c r="BCB54" s="196"/>
      <c r="BCC54" s="198"/>
      <c r="BCD54" s="196"/>
      <c r="BCE54" s="196"/>
      <c r="BCF54" s="196"/>
      <c r="BCG54" s="196"/>
      <c r="BCH54" s="196"/>
      <c r="BCI54" s="199"/>
      <c r="BCJ54" s="196"/>
      <c r="BCK54" s="196"/>
      <c r="BCL54" s="196"/>
      <c r="BCM54" s="196"/>
      <c r="BCN54" s="196"/>
      <c r="BCO54" s="200"/>
      <c r="BCP54" s="195"/>
      <c r="BCQ54" s="196"/>
      <c r="BCR54" s="196"/>
      <c r="BCS54" s="196"/>
      <c r="BCT54" s="196"/>
      <c r="BCU54" s="197"/>
      <c r="BCV54" s="196"/>
      <c r="BCW54" s="196"/>
      <c r="BCX54" s="196"/>
      <c r="BCY54" s="196"/>
      <c r="BCZ54" s="196"/>
      <c r="BDA54" s="198"/>
      <c r="BDB54" s="196"/>
      <c r="BDC54" s="196"/>
      <c r="BDD54" s="196"/>
      <c r="BDE54" s="196"/>
      <c r="BDF54" s="196"/>
      <c r="BDG54" s="199"/>
      <c r="BDH54" s="196"/>
      <c r="BDI54" s="196"/>
      <c r="BDJ54" s="196"/>
      <c r="BDK54" s="196"/>
      <c r="BDL54" s="196"/>
      <c r="BDM54" s="198"/>
      <c r="BDN54" s="196"/>
      <c r="BDO54" s="196"/>
      <c r="BDP54" s="196"/>
      <c r="BDQ54" s="196"/>
      <c r="BDR54" s="196"/>
      <c r="BDS54" s="199"/>
      <c r="BDT54" s="196"/>
      <c r="BDU54" s="196"/>
      <c r="BDV54" s="196"/>
      <c r="BDW54" s="196"/>
      <c r="BDX54" s="196"/>
      <c r="BDY54" s="198"/>
      <c r="BDZ54" s="196"/>
      <c r="BEA54" s="196"/>
      <c r="BEB54" s="196"/>
      <c r="BEC54" s="196"/>
      <c r="BED54" s="196"/>
      <c r="BEE54" s="199"/>
      <c r="BEF54" s="196"/>
      <c r="BEG54" s="196"/>
      <c r="BEH54" s="196"/>
      <c r="BEI54" s="196"/>
      <c r="BEJ54" s="196"/>
      <c r="BEK54" s="198"/>
      <c r="BEL54" s="196"/>
      <c r="BEM54" s="196"/>
      <c r="BEN54" s="196"/>
      <c r="BEO54" s="196"/>
      <c r="BEP54" s="196"/>
      <c r="BEQ54" s="199"/>
      <c r="BER54" s="196"/>
      <c r="BES54" s="196"/>
      <c r="BET54" s="196"/>
      <c r="BEU54" s="196"/>
      <c r="BEV54" s="196"/>
      <c r="BEW54" s="200"/>
      <c r="BEX54" s="195"/>
      <c r="BEY54" s="196"/>
      <c r="BEZ54" s="196"/>
      <c r="BFA54" s="196"/>
      <c r="BFB54" s="196"/>
      <c r="BFC54" s="197"/>
      <c r="BFD54" s="196"/>
      <c r="BFE54" s="196"/>
      <c r="BFF54" s="196"/>
      <c r="BFG54" s="196"/>
      <c r="BFH54" s="196"/>
      <c r="BFI54" s="198"/>
      <c r="BFJ54" s="196"/>
      <c r="BFK54" s="196"/>
      <c r="BFL54" s="196"/>
      <c r="BFM54" s="196"/>
      <c r="BFN54" s="196"/>
      <c r="BFO54" s="199"/>
      <c r="BFP54" s="196"/>
      <c r="BFQ54" s="196"/>
      <c r="BFR54" s="196"/>
      <c r="BFS54" s="196"/>
      <c r="BFT54" s="196"/>
      <c r="BFU54" s="198"/>
      <c r="BFV54" s="196"/>
      <c r="BFW54" s="196"/>
      <c r="BFX54" s="196"/>
      <c r="BFY54" s="196"/>
      <c r="BFZ54" s="196"/>
      <c r="BGA54" s="199"/>
      <c r="BGB54" s="196"/>
      <c r="BGC54" s="196"/>
      <c r="BGD54" s="196"/>
      <c r="BGE54" s="196"/>
      <c r="BGF54" s="196"/>
      <c r="BGG54" s="198"/>
      <c r="BGH54" s="196"/>
      <c r="BGI54" s="196"/>
      <c r="BGJ54" s="196"/>
      <c r="BGK54" s="196"/>
      <c r="BGL54" s="196"/>
      <c r="BGM54" s="199"/>
      <c r="BGN54" s="196"/>
      <c r="BGO54" s="196"/>
      <c r="BGP54" s="196"/>
      <c r="BGQ54" s="196"/>
      <c r="BGR54" s="196"/>
      <c r="BGS54" s="198"/>
      <c r="BGT54" s="196"/>
      <c r="BGU54" s="196"/>
      <c r="BGV54" s="196"/>
      <c r="BGW54" s="196"/>
      <c r="BGX54" s="196"/>
      <c r="BGY54" s="199"/>
      <c r="BGZ54" s="196"/>
      <c r="BHA54" s="196"/>
      <c r="BHB54" s="196"/>
      <c r="BHC54" s="196"/>
      <c r="BHD54" s="196"/>
      <c r="BHE54" s="200"/>
      <c r="BHF54" s="187"/>
      <c r="BHG54" s="188"/>
      <c r="BHH54" s="188"/>
      <c r="BHI54" s="188"/>
      <c r="BHJ54" s="188"/>
      <c r="BHK54" s="188"/>
      <c r="BHL54" s="188"/>
      <c r="BHM54" s="188"/>
      <c r="BHN54" s="188"/>
      <c r="BHO54" s="188"/>
      <c r="BHP54" s="188"/>
      <c r="BHQ54" s="188"/>
      <c r="BHR54" s="188"/>
      <c r="BHS54" s="188"/>
      <c r="BHT54" s="188"/>
      <c r="BHU54" s="188"/>
      <c r="BHV54" s="188"/>
      <c r="BHW54" s="188"/>
      <c r="BHX54" s="188"/>
      <c r="BHY54" s="188"/>
      <c r="BHZ54" s="188"/>
      <c r="BIA54" s="188"/>
      <c r="BIB54" s="188"/>
      <c r="BIC54" s="188"/>
      <c r="BID54" s="188"/>
      <c r="BIE54" s="188"/>
      <c r="BIF54" s="188"/>
      <c r="BIG54" s="188"/>
      <c r="BIH54" s="188"/>
      <c r="BII54" s="188"/>
      <c r="BIJ54" s="188"/>
      <c r="BIK54" s="188"/>
      <c r="BIL54" s="188"/>
      <c r="BIM54" s="188"/>
      <c r="BIN54" s="188"/>
      <c r="BIO54" s="188"/>
      <c r="BIP54" s="188"/>
    </row>
    <row r="55" spans="1:1602" ht="20.100000000000001" customHeight="1" x14ac:dyDescent="0.25">
      <c r="A55" s="78" t="s">
        <v>49</v>
      </c>
      <c r="B55" s="51"/>
      <c r="C55" s="230" t="s">
        <v>73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87"/>
      <c r="BHG55" s="188"/>
      <c r="BHH55" s="188"/>
      <c r="BHI55" s="188"/>
      <c r="BHJ55" s="188"/>
      <c r="BHK55" s="188"/>
      <c r="BHL55" s="188"/>
      <c r="BHM55" s="188"/>
      <c r="BHN55" s="188"/>
      <c r="BHO55" s="188"/>
      <c r="BHP55" s="188"/>
      <c r="BHQ55" s="188"/>
      <c r="BHR55" s="188"/>
      <c r="BHS55" s="188"/>
      <c r="BHT55" s="188"/>
      <c r="BHU55" s="188"/>
      <c r="BHV55" s="188"/>
      <c r="BHW55" s="188"/>
      <c r="BHX55" s="188"/>
      <c r="BHY55" s="188"/>
      <c r="BHZ55" s="188"/>
      <c r="BIA55" s="188"/>
      <c r="BIB55" s="188"/>
      <c r="BIC55" s="188"/>
      <c r="BID55" s="188"/>
      <c r="BIE55" s="188"/>
      <c r="BIF55" s="188"/>
      <c r="BIG55" s="188"/>
      <c r="BIH55" s="188"/>
      <c r="BII55" s="188"/>
      <c r="BIJ55" s="188"/>
      <c r="BIK55" s="188"/>
      <c r="BIL55" s="188"/>
      <c r="BIM55" s="188"/>
      <c r="BIN55" s="188"/>
      <c r="BIO55" s="188"/>
      <c r="BIP55" s="188"/>
    </row>
    <row r="56" spans="1:1602" ht="20.100000000000001" customHeight="1" x14ac:dyDescent="0.25">
      <c r="A56" s="78" t="s">
        <v>50</v>
      </c>
      <c r="B56" s="51"/>
      <c r="C56" s="236"/>
      <c r="D56" s="120" t="str">
        <f t="shared" si="0"/>
        <v/>
      </c>
      <c r="E56" s="22">
        <v>0</v>
      </c>
      <c r="F56" s="189"/>
      <c r="G56" s="190"/>
      <c r="H56" s="190"/>
      <c r="I56" s="190"/>
      <c r="J56" s="190"/>
      <c r="K56" s="191"/>
      <c r="L56" s="190"/>
      <c r="M56" s="190"/>
      <c r="N56" s="190"/>
      <c r="O56" s="190"/>
      <c r="P56" s="190"/>
      <c r="Q56" s="192"/>
      <c r="R56" s="190"/>
      <c r="S56" s="190"/>
      <c r="T56" s="190"/>
      <c r="U56" s="190"/>
      <c r="V56" s="190"/>
      <c r="W56" s="193"/>
      <c r="X56" s="190"/>
      <c r="Y56" s="190"/>
      <c r="Z56" s="190"/>
      <c r="AA56" s="190"/>
      <c r="AB56" s="190"/>
      <c r="AC56" s="192"/>
      <c r="AD56" s="190"/>
      <c r="AE56" s="190"/>
      <c r="AF56" s="190"/>
      <c r="AG56" s="190"/>
      <c r="AH56" s="190"/>
      <c r="AI56" s="193"/>
      <c r="AJ56" s="190"/>
      <c r="AK56" s="190"/>
      <c r="AL56" s="190"/>
      <c r="AM56" s="190"/>
      <c r="AN56" s="190"/>
      <c r="AO56" s="192"/>
      <c r="AP56" s="190"/>
      <c r="AQ56" s="190"/>
      <c r="AR56" s="190"/>
      <c r="AS56" s="190"/>
      <c r="AT56" s="190"/>
      <c r="AU56" s="193"/>
      <c r="AV56" s="190"/>
      <c r="AW56" s="190"/>
      <c r="AX56" s="190"/>
      <c r="AY56" s="190"/>
      <c r="AZ56" s="190"/>
      <c r="BA56" s="192"/>
      <c r="BB56" s="190"/>
      <c r="BC56" s="190"/>
      <c r="BD56" s="190"/>
      <c r="BE56" s="190"/>
      <c r="BF56" s="190"/>
      <c r="BG56" s="193"/>
      <c r="BH56" s="190"/>
      <c r="BI56" s="190"/>
      <c r="BJ56" s="190"/>
      <c r="BK56" s="190"/>
      <c r="BL56" s="190"/>
      <c r="BM56" s="194"/>
      <c r="BN56" s="189"/>
      <c r="BO56" s="190"/>
      <c r="BP56" s="190"/>
      <c r="BQ56" s="190"/>
      <c r="BR56" s="190"/>
      <c r="BS56" s="191"/>
      <c r="BT56" s="190"/>
      <c r="BU56" s="190"/>
      <c r="BV56" s="190"/>
      <c r="BW56" s="190"/>
      <c r="BX56" s="190"/>
      <c r="BY56" s="192"/>
      <c r="BZ56" s="190"/>
      <c r="CA56" s="190"/>
      <c r="CB56" s="190"/>
      <c r="CC56" s="190"/>
      <c r="CD56" s="190"/>
      <c r="CE56" s="193"/>
      <c r="CF56" s="190"/>
      <c r="CG56" s="190"/>
      <c r="CH56" s="190"/>
      <c r="CI56" s="190"/>
      <c r="CJ56" s="190"/>
      <c r="CK56" s="192"/>
      <c r="CL56" s="190"/>
      <c r="CM56" s="190"/>
      <c r="CN56" s="190"/>
      <c r="CO56" s="190"/>
      <c r="CP56" s="190"/>
      <c r="CQ56" s="193"/>
      <c r="CR56" s="190"/>
      <c r="CS56" s="190"/>
      <c r="CT56" s="190"/>
      <c r="CU56" s="190"/>
      <c r="CV56" s="190"/>
      <c r="CW56" s="192"/>
      <c r="CX56" s="190"/>
      <c r="CY56" s="190"/>
      <c r="CZ56" s="190"/>
      <c r="DA56" s="190"/>
      <c r="DB56" s="190"/>
      <c r="DC56" s="193"/>
      <c r="DD56" s="190"/>
      <c r="DE56" s="190"/>
      <c r="DF56" s="190"/>
      <c r="DG56" s="190"/>
      <c r="DH56" s="190"/>
      <c r="DI56" s="192"/>
      <c r="DJ56" s="190"/>
      <c r="DK56" s="190"/>
      <c r="DL56" s="190"/>
      <c r="DM56" s="190"/>
      <c r="DN56" s="190"/>
      <c r="DO56" s="193"/>
      <c r="DP56" s="190"/>
      <c r="DQ56" s="190"/>
      <c r="DR56" s="190"/>
      <c r="DS56" s="190"/>
      <c r="DT56" s="190"/>
      <c r="DU56" s="194"/>
      <c r="DV56" s="189"/>
      <c r="DW56" s="190"/>
      <c r="DX56" s="190"/>
      <c r="DY56" s="190"/>
      <c r="DZ56" s="190"/>
      <c r="EA56" s="191"/>
      <c r="EB56" s="190"/>
      <c r="EC56" s="190"/>
      <c r="ED56" s="190"/>
      <c r="EE56" s="190"/>
      <c r="EF56" s="190"/>
      <c r="EG56" s="192"/>
      <c r="EH56" s="190"/>
      <c r="EI56" s="190"/>
      <c r="EJ56" s="190"/>
      <c r="EK56" s="190"/>
      <c r="EL56" s="190"/>
      <c r="EM56" s="193"/>
      <c r="EN56" s="190"/>
      <c r="EO56" s="190"/>
      <c r="EP56" s="190"/>
      <c r="EQ56" s="190"/>
      <c r="ER56" s="190"/>
      <c r="ES56" s="192"/>
      <c r="ET56" s="190"/>
      <c r="EU56" s="190"/>
      <c r="EV56" s="190"/>
      <c r="EW56" s="190"/>
      <c r="EX56" s="190"/>
      <c r="EY56" s="193"/>
      <c r="EZ56" s="190"/>
      <c r="FA56" s="190"/>
      <c r="FB56" s="190"/>
      <c r="FC56" s="190"/>
      <c r="FD56" s="190"/>
      <c r="FE56" s="192"/>
      <c r="FF56" s="190"/>
      <c r="FG56" s="190"/>
      <c r="FH56" s="190"/>
      <c r="FI56" s="190"/>
      <c r="FJ56" s="190"/>
      <c r="FK56" s="193"/>
      <c r="FL56" s="190"/>
      <c r="FM56" s="190"/>
      <c r="FN56" s="190"/>
      <c r="FO56" s="190"/>
      <c r="FP56" s="190"/>
      <c r="FQ56" s="192"/>
      <c r="FR56" s="190"/>
      <c r="FS56" s="190"/>
      <c r="FT56" s="190"/>
      <c r="FU56" s="190"/>
      <c r="FV56" s="190"/>
      <c r="FW56" s="193"/>
      <c r="FX56" s="190"/>
      <c r="FY56" s="190"/>
      <c r="FZ56" s="190"/>
      <c r="GA56" s="190"/>
      <c r="GB56" s="190"/>
      <c r="GC56" s="194"/>
      <c r="GD56" s="189"/>
      <c r="GE56" s="190"/>
      <c r="GF56" s="190"/>
      <c r="GG56" s="190"/>
      <c r="GH56" s="190"/>
      <c r="GI56" s="191"/>
      <c r="GJ56" s="190"/>
      <c r="GK56" s="190"/>
      <c r="GL56" s="190"/>
      <c r="GM56" s="190"/>
      <c r="GN56" s="190"/>
      <c r="GO56" s="192"/>
      <c r="GP56" s="190"/>
      <c r="GQ56" s="190"/>
      <c r="GR56" s="190"/>
      <c r="GS56" s="190"/>
      <c r="GT56" s="190"/>
      <c r="GU56" s="193"/>
      <c r="GV56" s="190"/>
      <c r="GW56" s="190"/>
      <c r="GX56" s="190"/>
      <c r="GY56" s="190"/>
      <c r="GZ56" s="190"/>
      <c r="HA56" s="192"/>
      <c r="HB56" s="190"/>
      <c r="HC56" s="190"/>
      <c r="HD56" s="190"/>
      <c r="HE56" s="190"/>
      <c r="HF56" s="190"/>
      <c r="HG56" s="193"/>
      <c r="HH56" s="190"/>
      <c r="HI56" s="190"/>
      <c r="HJ56" s="190"/>
      <c r="HK56" s="190"/>
      <c r="HL56" s="190"/>
      <c r="HM56" s="192"/>
      <c r="HN56" s="190"/>
      <c r="HO56" s="190"/>
      <c r="HP56" s="190"/>
      <c r="HQ56" s="190"/>
      <c r="HR56" s="190"/>
      <c r="HS56" s="193"/>
      <c r="HT56" s="190"/>
      <c r="HU56" s="190"/>
      <c r="HV56" s="190"/>
      <c r="HW56" s="190"/>
      <c r="HX56" s="190"/>
      <c r="HY56" s="192"/>
      <c r="HZ56" s="190"/>
      <c r="IA56" s="190"/>
      <c r="IB56" s="190"/>
      <c r="IC56" s="190"/>
      <c r="ID56" s="190"/>
      <c r="IE56" s="193"/>
      <c r="IF56" s="190"/>
      <c r="IG56" s="190"/>
      <c r="IH56" s="190"/>
      <c r="II56" s="190"/>
      <c r="IJ56" s="190"/>
      <c r="IK56" s="194"/>
      <c r="IL56" s="189"/>
      <c r="IM56" s="190"/>
      <c r="IN56" s="190"/>
      <c r="IO56" s="190"/>
      <c r="IP56" s="190"/>
      <c r="IQ56" s="191"/>
      <c r="IR56" s="190"/>
      <c r="IS56" s="190"/>
      <c r="IT56" s="190"/>
      <c r="IU56" s="190"/>
      <c r="IV56" s="190"/>
      <c r="IW56" s="192"/>
      <c r="IX56" s="190"/>
      <c r="IY56" s="190"/>
      <c r="IZ56" s="190"/>
      <c r="JA56" s="190"/>
      <c r="JB56" s="190"/>
      <c r="JC56" s="193"/>
      <c r="JD56" s="190"/>
      <c r="JE56" s="190"/>
      <c r="JF56" s="190"/>
      <c r="JG56" s="190"/>
      <c r="JH56" s="190"/>
      <c r="JI56" s="192"/>
      <c r="JJ56" s="190"/>
      <c r="JK56" s="190"/>
      <c r="JL56" s="190"/>
      <c r="JM56" s="190"/>
      <c r="JN56" s="190"/>
      <c r="JO56" s="193"/>
      <c r="JP56" s="190"/>
      <c r="JQ56" s="190"/>
      <c r="JR56" s="190"/>
      <c r="JS56" s="190"/>
      <c r="JT56" s="190"/>
      <c r="JU56" s="192"/>
      <c r="JV56" s="190"/>
      <c r="JW56" s="190"/>
      <c r="JX56" s="190"/>
      <c r="JY56" s="190"/>
      <c r="JZ56" s="190"/>
      <c r="KA56" s="193"/>
      <c r="KB56" s="190"/>
      <c r="KC56" s="190"/>
      <c r="KD56" s="190"/>
      <c r="KE56" s="190"/>
      <c r="KF56" s="190"/>
      <c r="KG56" s="192"/>
      <c r="KH56" s="190"/>
      <c r="KI56" s="190"/>
      <c r="KJ56" s="190"/>
      <c r="KK56" s="190"/>
      <c r="KL56" s="190"/>
      <c r="KM56" s="193"/>
      <c r="KN56" s="190"/>
      <c r="KO56" s="190"/>
      <c r="KP56" s="190"/>
      <c r="KQ56" s="190"/>
      <c r="KR56" s="190"/>
      <c r="KS56" s="194"/>
      <c r="KT56" s="189"/>
      <c r="KU56" s="190"/>
      <c r="KV56" s="190"/>
      <c r="KW56" s="190"/>
      <c r="KX56" s="190"/>
      <c r="KY56" s="191"/>
      <c r="KZ56" s="190"/>
      <c r="LA56" s="190"/>
      <c r="LB56" s="190"/>
      <c r="LC56" s="190"/>
      <c r="LD56" s="190"/>
      <c r="LE56" s="192"/>
      <c r="LF56" s="190"/>
      <c r="LG56" s="190"/>
      <c r="LH56" s="190"/>
      <c r="LI56" s="190"/>
      <c r="LJ56" s="190"/>
      <c r="LK56" s="193"/>
      <c r="LL56" s="190"/>
      <c r="LM56" s="190"/>
      <c r="LN56" s="190"/>
      <c r="LO56" s="190"/>
      <c r="LP56" s="190"/>
      <c r="LQ56" s="192"/>
      <c r="LR56" s="190"/>
      <c r="LS56" s="190"/>
      <c r="LT56" s="190"/>
      <c r="LU56" s="190"/>
      <c r="LV56" s="190"/>
      <c r="LW56" s="193"/>
      <c r="LX56" s="190"/>
      <c r="LY56" s="190"/>
      <c r="LZ56" s="190"/>
      <c r="MA56" s="190"/>
      <c r="MB56" s="190"/>
      <c r="MC56" s="192"/>
      <c r="MD56" s="190"/>
      <c r="ME56" s="190"/>
      <c r="MF56" s="190"/>
      <c r="MG56" s="190"/>
      <c r="MH56" s="190"/>
      <c r="MI56" s="193"/>
      <c r="MJ56" s="190"/>
      <c r="MK56" s="190"/>
      <c r="ML56" s="190"/>
      <c r="MM56" s="190"/>
      <c r="MN56" s="190"/>
      <c r="MO56" s="192"/>
      <c r="MP56" s="190"/>
      <c r="MQ56" s="190"/>
      <c r="MR56" s="190"/>
      <c r="MS56" s="190"/>
      <c r="MT56" s="190"/>
      <c r="MU56" s="193"/>
      <c r="MV56" s="190"/>
      <c r="MW56" s="190"/>
      <c r="MX56" s="190"/>
      <c r="MY56" s="190"/>
      <c r="MZ56" s="190"/>
      <c r="NA56" s="194"/>
      <c r="NB56" s="189"/>
      <c r="NC56" s="190"/>
      <c r="ND56" s="190"/>
      <c r="NE56" s="190"/>
      <c r="NF56" s="190"/>
      <c r="NG56" s="191"/>
      <c r="NH56" s="190"/>
      <c r="NI56" s="190"/>
      <c r="NJ56" s="190"/>
      <c r="NK56" s="190"/>
      <c r="NL56" s="190"/>
      <c r="NM56" s="192"/>
      <c r="NN56" s="190"/>
      <c r="NO56" s="190"/>
      <c r="NP56" s="190"/>
      <c r="NQ56" s="190"/>
      <c r="NR56" s="190"/>
      <c r="NS56" s="193"/>
      <c r="NT56" s="190"/>
      <c r="NU56" s="190"/>
      <c r="NV56" s="190"/>
      <c r="NW56" s="190"/>
      <c r="NX56" s="190"/>
      <c r="NY56" s="192"/>
      <c r="NZ56" s="190"/>
      <c r="OA56" s="190"/>
      <c r="OB56" s="190"/>
      <c r="OC56" s="190"/>
      <c r="OD56" s="190"/>
      <c r="OE56" s="193"/>
      <c r="OF56" s="190"/>
      <c r="OG56" s="190"/>
      <c r="OH56" s="190"/>
      <c r="OI56" s="190"/>
      <c r="OJ56" s="190"/>
      <c r="OK56" s="192"/>
      <c r="OL56" s="190"/>
      <c r="OM56" s="190"/>
      <c r="ON56" s="190"/>
      <c r="OO56" s="190"/>
      <c r="OP56" s="190"/>
      <c r="OQ56" s="193"/>
      <c r="OR56" s="190"/>
      <c r="OS56" s="190"/>
      <c r="OT56" s="190"/>
      <c r="OU56" s="190"/>
      <c r="OV56" s="190"/>
      <c r="OW56" s="192"/>
      <c r="OX56" s="190"/>
      <c r="OY56" s="190"/>
      <c r="OZ56" s="190"/>
      <c r="PA56" s="190"/>
      <c r="PB56" s="190"/>
      <c r="PC56" s="193"/>
      <c r="PD56" s="190"/>
      <c r="PE56" s="190"/>
      <c r="PF56" s="190"/>
      <c r="PG56" s="190"/>
      <c r="PH56" s="190"/>
      <c r="PI56" s="194"/>
      <c r="PJ56" s="189"/>
      <c r="PK56" s="190"/>
      <c r="PL56" s="190"/>
      <c r="PM56" s="190"/>
      <c r="PN56" s="190"/>
      <c r="PO56" s="191"/>
      <c r="PP56" s="190"/>
      <c r="PQ56" s="190"/>
      <c r="PR56" s="190"/>
      <c r="PS56" s="190"/>
      <c r="PT56" s="190"/>
      <c r="PU56" s="192"/>
      <c r="PV56" s="190"/>
      <c r="PW56" s="190"/>
      <c r="PX56" s="190"/>
      <c r="PY56" s="190"/>
      <c r="PZ56" s="190"/>
      <c r="QA56" s="193"/>
      <c r="QB56" s="190"/>
      <c r="QC56" s="190"/>
      <c r="QD56" s="190"/>
      <c r="QE56" s="190"/>
      <c r="QF56" s="190"/>
      <c r="QG56" s="192"/>
      <c r="QH56" s="190"/>
      <c r="QI56" s="190"/>
      <c r="QJ56" s="190"/>
      <c r="QK56" s="190"/>
      <c r="QL56" s="190"/>
      <c r="QM56" s="193"/>
      <c r="QN56" s="190"/>
      <c r="QO56" s="190"/>
      <c r="QP56" s="190"/>
      <c r="QQ56" s="190"/>
      <c r="QR56" s="190"/>
      <c r="QS56" s="192"/>
      <c r="QT56" s="190"/>
      <c r="QU56" s="190"/>
      <c r="QV56" s="190"/>
      <c r="QW56" s="190"/>
      <c r="QX56" s="190"/>
      <c r="QY56" s="193"/>
      <c r="QZ56" s="190"/>
      <c r="RA56" s="190"/>
      <c r="RB56" s="190"/>
      <c r="RC56" s="190"/>
      <c r="RD56" s="190"/>
      <c r="RE56" s="192"/>
      <c r="RF56" s="190"/>
      <c r="RG56" s="190"/>
      <c r="RH56" s="190"/>
      <c r="RI56" s="190"/>
      <c r="RJ56" s="190"/>
      <c r="RK56" s="193"/>
      <c r="RL56" s="190"/>
      <c r="RM56" s="190"/>
      <c r="RN56" s="190"/>
      <c r="RO56" s="190"/>
      <c r="RP56" s="190"/>
      <c r="RQ56" s="194"/>
      <c r="RR56" s="189"/>
      <c r="RS56" s="190"/>
      <c r="RT56" s="190"/>
      <c r="RU56" s="190"/>
      <c r="RV56" s="190"/>
      <c r="RW56" s="191"/>
      <c r="RX56" s="190"/>
      <c r="RY56" s="190"/>
      <c r="RZ56" s="190"/>
      <c r="SA56" s="190"/>
      <c r="SB56" s="190"/>
      <c r="SC56" s="192"/>
      <c r="SD56" s="190"/>
      <c r="SE56" s="190"/>
      <c r="SF56" s="190"/>
      <c r="SG56" s="190"/>
      <c r="SH56" s="190"/>
      <c r="SI56" s="193"/>
      <c r="SJ56" s="190"/>
      <c r="SK56" s="190"/>
      <c r="SL56" s="190"/>
      <c r="SM56" s="190"/>
      <c r="SN56" s="190"/>
      <c r="SO56" s="192"/>
      <c r="SP56" s="190"/>
      <c r="SQ56" s="190"/>
      <c r="SR56" s="190"/>
      <c r="SS56" s="190"/>
      <c r="ST56" s="190"/>
      <c r="SU56" s="193"/>
      <c r="SV56" s="190"/>
      <c r="SW56" s="190"/>
      <c r="SX56" s="190"/>
      <c r="SY56" s="190"/>
      <c r="SZ56" s="190"/>
      <c r="TA56" s="192"/>
      <c r="TB56" s="190"/>
      <c r="TC56" s="190"/>
      <c r="TD56" s="190"/>
      <c r="TE56" s="190"/>
      <c r="TF56" s="190"/>
      <c r="TG56" s="193"/>
      <c r="TH56" s="190"/>
      <c r="TI56" s="190"/>
      <c r="TJ56" s="190"/>
      <c r="TK56" s="190"/>
      <c r="TL56" s="190"/>
      <c r="TM56" s="192"/>
      <c r="TN56" s="190"/>
      <c r="TO56" s="190"/>
      <c r="TP56" s="190"/>
      <c r="TQ56" s="190"/>
      <c r="TR56" s="190"/>
      <c r="TS56" s="193"/>
      <c r="TT56" s="190"/>
      <c r="TU56" s="190"/>
      <c r="TV56" s="190"/>
      <c r="TW56" s="190"/>
      <c r="TX56" s="190"/>
      <c r="TY56" s="194"/>
      <c r="TZ56" s="189"/>
      <c r="UA56" s="190"/>
      <c r="UB56" s="190"/>
      <c r="UC56" s="190"/>
      <c r="UD56" s="190"/>
      <c r="UE56" s="191"/>
      <c r="UF56" s="190"/>
      <c r="UG56" s="190"/>
      <c r="UH56" s="190"/>
      <c r="UI56" s="190"/>
      <c r="UJ56" s="190"/>
      <c r="UK56" s="192"/>
      <c r="UL56" s="190"/>
      <c r="UM56" s="190"/>
      <c r="UN56" s="190"/>
      <c r="UO56" s="190"/>
      <c r="UP56" s="190"/>
      <c r="UQ56" s="193"/>
      <c r="UR56" s="190"/>
      <c r="US56" s="190"/>
      <c r="UT56" s="190"/>
      <c r="UU56" s="190"/>
      <c r="UV56" s="190"/>
      <c r="UW56" s="192"/>
      <c r="UX56" s="190"/>
      <c r="UY56" s="190"/>
      <c r="UZ56" s="190"/>
      <c r="VA56" s="190"/>
      <c r="VB56" s="190"/>
      <c r="VC56" s="193"/>
      <c r="VD56" s="190"/>
      <c r="VE56" s="190"/>
      <c r="VF56" s="190"/>
      <c r="VG56" s="190"/>
      <c r="VH56" s="190"/>
      <c r="VI56" s="192"/>
      <c r="VJ56" s="190"/>
      <c r="VK56" s="190"/>
      <c r="VL56" s="190"/>
      <c r="VM56" s="190"/>
      <c r="VN56" s="190"/>
      <c r="VO56" s="193"/>
      <c r="VP56" s="190"/>
      <c r="VQ56" s="190"/>
      <c r="VR56" s="190"/>
      <c r="VS56" s="190"/>
      <c r="VT56" s="190"/>
      <c r="VU56" s="192"/>
      <c r="VV56" s="190"/>
      <c r="VW56" s="190"/>
      <c r="VX56" s="190"/>
      <c r="VY56" s="190"/>
      <c r="VZ56" s="190"/>
      <c r="WA56" s="193"/>
      <c r="WB56" s="190"/>
      <c r="WC56" s="190"/>
      <c r="WD56" s="190"/>
      <c r="WE56" s="190"/>
      <c r="WF56" s="190"/>
      <c r="WG56" s="194"/>
      <c r="WH56" s="189"/>
      <c r="WI56" s="190"/>
      <c r="WJ56" s="190"/>
      <c r="WK56" s="190"/>
      <c r="WL56" s="190"/>
      <c r="WM56" s="191"/>
      <c r="WN56" s="190"/>
      <c r="WO56" s="190"/>
      <c r="WP56" s="190"/>
      <c r="WQ56" s="190"/>
      <c r="WR56" s="190"/>
      <c r="WS56" s="192"/>
      <c r="WT56" s="190"/>
      <c r="WU56" s="190"/>
      <c r="WV56" s="190"/>
      <c r="WW56" s="190"/>
      <c r="WX56" s="190"/>
      <c r="WY56" s="193"/>
      <c r="WZ56" s="190"/>
      <c r="XA56" s="190"/>
      <c r="XB56" s="190"/>
      <c r="XC56" s="190"/>
      <c r="XD56" s="190"/>
      <c r="XE56" s="192"/>
      <c r="XF56" s="190"/>
      <c r="XG56" s="190"/>
      <c r="XH56" s="190"/>
      <c r="XI56" s="190"/>
      <c r="XJ56" s="190"/>
      <c r="XK56" s="193"/>
      <c r="XL56" s="190"/>
      <c r="XM56" s="190"/>
      <c r="XN56" s="190"/>
      <c r="XO56" s="190"/>
      <c r="XP56" s="190"/>
      <c r="XQ56" s="192"/>
      <c r="XR56" s="190"/>
      <c r="XS56" s="190"/>
      <c r="XT56" s="190"/>
      <c r="XU56" s="190"/>
      <c r="XV56" s="190"/>
      <c r="XW56" s="193"/>
      <c r="XX56" s="190"/>
      <c r="XY56" s="190"/>
      <c r="XZ56" s="190"/>
      <c r="YA56" s="190"/>
      <c r="YB56" s="190"/>
      <c r="YC56" s="192"/>
      <c r="YD56" s="190"/>
      <c r="YE56" s="190"/>
      <c r="YF56" s="190"/>
      <c r="YG56" s="190"/>
      <c r="YH56" s="190"/>
      <c r="YI56" s="193"/>
      <c r="YJ56" s="190"/>
      <c r="YK56" s="190"/>
      <c r="YL56" s="190"/>
      <c r="YM56" s="190"/>
      <c r="YN56" s="190"/>
      <c r="YO56" s="194"/>
      <c r="YP56" s="189"/>
      <c r="YQ56" s="190"/>
      <c r="YR56" s="190"/>
      <c r="YS56" s="190"/>
      <c r="YT56" s="190"/>
      <c r="YU56" s="191"/>
      <c r="YV56" s="190"/>
      <c r="YW56" s="190"/>
      <c r="YX56" s="190"/>
      <c r="YY56" s="190"/>
      <c r="YZ56" s="190"/>
      <c r="ZA56" s="192"/>
      <c r="ZB56" s="190"/>
      <c r="ZC56" s="190"/>
      <c r="ZD56" s="190"/>
      <c r="ZE56" s="190"/>
      <c r="ZF56" s="190"/>
      <c r="ZG56" s="193"/>
      <c r="ZH56" s="190"/>
      <c r="ZI56" s="190"/>
      <c r="ZJ56" s="190"/>
      <c r="ZK56" s="190"/>
      <c r="ZL56" s="190"/>
      <c r="ZM56" s="192"/>
      <c r="ZN56" s="190"/>
      <c r="ZO56" s="190"/>
      <c r="ZP56" s="190"/>
      <c r="ZQ56" s="190"/>
      <c r="ZR56" s="190"/>
      <c r="ZS56" s="193"/>
      <c r="ZT56" s="190"/>
      <c r="ZU56" s="190"/>
      <c r="ZV56" s="190"/>
      <c r="ZW56" s="190"/>
      <c r="ZX56" s="190"/>
      <c r="ZY56" s="192"/>
      <c r="ZZ56" s="190"/>
      <c r="AAA56" s="190"/>
      <c r="AAB56" s="190"/>
      <c r="AAC56" s="190"/>
      <c r="AAD56" s="190"/>
      <c r="AAE56" s="193"/>
      <c r="AAF56" s="190"/>
      <c r="AAG56" s="190"/>
      <c r="AAH56" s="190"/>
      <c r="AAI56" s="190"/>
      <c r="AAJ56" s="190"/>
      <c r="AAK56" s="192"/>
      <c r="AAL56" s="190"/>
      <c r="AAM56" s="190"/>
      <c r="AAN56" s="190"/>
      <c r="AAO56" s="190"/>
      <c r="AAP56" s="190"/>
      <c r="AAQ56" s="193"/>
      <c r="AAR56" s="190"/>
      <c r="AAS56" s="190"/>
      <c r="AAT56" s="190"/>
      <c r="AAU56" s="190"/>
      <c r="AAV56" s="190"/>
      <c r="AAW56" s="194"/>
      <c r="AAX56" s="189"/>
      <c r="AAY56" s="190"/>
      <c r="AAZ56" s="190"/>
      <c r="ABA56" s="190"/>
      <c r="ABB56" s="190"/>
      <c r="ABC56" s="191"/>
      <c r="ABD56" s="190"/>
      <c r="ABE56" s="190"/>
      <c r="ABF56" s="190"/>
      <c r="ABG56" s="190"/>
      <c r="ABH56" s="190"/>
      <c r="ABI56" s="192"/>
      <c r="ABJ56" s="190"/>
      <c r="ABK56" s="190"/>
      <c r="ABL56" s="190"/>
      <c r="ABM56" s="190"/>
      <c r="ABN56" s="190"/>
      <c r="ABO56" s="193"/>
      <c r="ABP56" s="190"/>
      <c r="ABQ56" s="190"/>
      <c r="ABR56" s="190"/>
      <c r="ABS56" s="190"/>
      <c r="ABT56" s="190"/>
      <c r="ABU56" s="192"/>
      <c r="ABV56" s="190"/>
      <c r="ABW56" s="190"/>
      <c r="ABX56" s="190"/>
      <c r="ABY56" s="190"/>
      <c r="ABZ56" s="190"/>
      <c r="ACA56" s="193"/>
      <c r="ACB56" s="190"/>
      <c r="ACC56" s="190"/>
      <c r="ACD56" s="190"/>
      <c r="ACE56" s="190"/>
      <c r="ACF56" s="190"/>
      <c r="ACG56" s="192"/>
      <c r="ACH56" s="190"/>
      <c r="ACI56" s="190"/>
      <c r="ACJ56" s="190"/>
      <c r="ACK56" s="190"/>
      <c r="ACL56" s="190"/>
      <c r="ACM56" s="193"/>
      <c r="ACN56" s="190"/>
      <c r="ACO56" s="190"/>
      <c r="ACP56" s="190"/>
      <c r="ACQ56" s="190"/>
      <c r="ACR56" s="190"/>
      <c r="ACS56" s="192"/>
      <c r="ACT56" s="190"/>
      <c r="ACU56" s="190"/>
      <c r="ACV56" s="190"/>
      <c r="ACW56" s="190"/>
      <c r="ACX56" s="190"/>
      <c r="ACY56" s="193"/>
      <c r="ACZ56" s="190"/>
      <c r="ADA56" s="190"/>
      <c r="ADB56" s="190"/>
      <c r="ADC56" s="190"/>
      <c r="ADD56" s="190"/>
      <c r="ADE56" s="194"/>
      <c r="ADF56" s="189"/>
      <c r="ADG56" s="190"/>
      <c r="ADH56" s="190"/>
      <c r="ADI56" s="190"/>
      <c r="ADJ56" s="190"/>
      <c r="ADK56" s="191"/>
      <c r="ADL56" s="190"/>
      <c r="ADM56" s="190"/>
      <c r="ADN56" s="190"/>
      <c r="ADO56" s="190"/>
      <c r="ADP56" s="190"/>
      <c r="ADQ56" s="192"/>
      <c r="ADR56" s="190"/>
      <c r="ADS56" s="190"/>
      <c r="ADT56" s="190"/>
      <c r="ADU56" s="190"/>
      <c r="ADV56" s="190"/>
      <c r="ADW56" s="193"/>
      <c r="ADX56" s="190"/>
      <c r="ADY56" s="190"/>
      <c r="ADZ56" s="190"/>
      <c r="AEA56" s="190"/>
      <c r="AEB56" s="190"/>
      <c r="AEC56" s="192"/>
      <c r="AED56" s="190"/>
      <c r="AEE56" s="190"/>
      <c r="AEF56" s="190"/>
      <c r="AEG56" s="190"/>
      <c r="AEH56" s="190"/>
      <c r="AEI56" s="193"/>
      <c r="AEJ56" s="190"/>
      <c r="AEK56" s="190"/>
      <c r="AEL56" s="190"/>
      <c r="AEM56" s="190"/>
      <c r="AEN56" s="190"/>
      <c r="AEO56" s="192"/>
      <c r="AEP56" s="190"/>
      <c r="AEQ56" s="190"/>
      <c r="AER56" s="190"/>
      <c r="AES56" s="190"/>
      <c r="AET56" s="190"/>
      <c r="AEU56" s="193"/>
      <c r="AEV56" s="190"/>
      <c r="AEW56" s="190"/>
      <c r="AEX56" s="190"/>
      <c r="AEY56" s="190"/>
      <c r="AEZ56" s="190"/>
      <c r="AFA56" s="192"/>
      <c r="AFB56" s="190"/>
      <c r="AFC56" s="190"/>
      <c r="AFD56" s="190"/>
      <c r="AFE56" s="190"/>
      <c r="AFF56" s="190"/>
      <c r="AFG56" s="193"/>
      <c r="AFH56" s="190"/>
      <c r="AFI56" s="190"/>
      <c r="AFJ56" s="190"/>
      <c r="AFK56" s="190"/>
      <c r="AFL56" s="190"/>
      <c r="AFM56" s="194"/>
      <c r="AFN56" s="189"/>
      <c r="AFO56" s="190"/>
      <c r="AFP56" s="190"/>
      <c r="AFQ56" s="190"/>
      <c r="AFR56" s="190"/>
      <c r="AFS56" s="191"/>
      <c r="AFT56" s="190"/>
      <c r="AFU56" s="190"/>
      <c r="AFV56" s="190"/>
      <c r="AFW56" s="190"/>
      <c r="AFX56" s="190"/>
      <c r="AFY56" s="192"/>
      <c r="AFZ56" s="190"/>
      <c r="AGA56" s="190"/>
      <c r="AGB56" s="190"/>
      <c r="AGC56" s="190"/>
      <c r="AGD56" s="190"/>
      <c r="AGE56" s="193"/>
      <c r="AGF56" s="190"/>
      <c r="AGG56" s="190"/>
      <c r="AGH56" s="190"/>
      <c r="AGI56" s="190"/>
      <c r="AGJ56" s="190"/>
      <c r="AGK56" s="192"/>
      <c r="AGL56" s="190"/>
      <c r="AGM56" s="190"/>
      <c r="AGN56" s="190"/>
      <c r="AGO56" s="190"/>
      <c r="AGP56" s="190"/>
      <c r="AGQ56" s="193"/>
      <c r="AGR56" s="190"/>
      <c r="AGS56" s="190"/>
      <c r="AGT56" s="190"/>
      <c r="AGU56" s="190"/>
      <c r="AGV56" s="190"/>
      <c r="AGW56" s="192"/>
      <c r="AGX56" s="190"/>
      <c r="AGY56" s="190"/>
      <c r="AGZ56" s="190"/>
      <c r="AHA56" s="190"/>
      <c r="AHB56" s="190"/>
      <c r="AHC56" s="193"/>
      <c r="AHD56" s="190"/>
      <c r="AHE56" s="190"/>
      <c r="AHF56" s="190"/>
      <c r="AHG56" s="190"/>
      <c r="AHH56" s="190"/>
      <c r="AHI56" s="192"/>
      <c r="AHJ56" s="190"/>
      <c r="AHK56" s="190"/>
      <c r="AHL56" s="190"/>
      <c r="AHM56" s="190"/>
      <c r="AHN56" s="190"/>
      <c r="AHO56" s="193"/>
      <c r="AHP56" s="190"/>
      <c r="AHQ56" s="190"/>
      <c r="AHR56" s="190"/>
      <c r="AHS56" s="190"/>
      <c r="AHT56" s="190"/>
      <c r="AHU56" s="194"/>
      <c r="AHV56" s="189"/>
      <c r="AHW56" s="190"/>
      <c r="AHX56" s="190"/>
      <c r="AHY56" s="190"/>
      <c r="AHZ56" s="190"/>
      <c r="AIA56" s="191"/>
      <c r="AIB56" s="190"/>
      <c r="AIC56" s="190"/>
      <c r="AID56" s="190"/>
      <c r="AIE56" s="190"/>
      <c r="AIF56" s="190"/>
      <c r="AIG56" s="192"/>
      <c r="AIH56" s="190"/>
      <c r="AII56" s="190"/>
      <c r="AIJ56" s="190"/>
      <c r="AIK56" s="190"/>
      <c r="AIL56" s="190"/>
      <c r="AIM56" s="193"/>
      <c r="AIN56" s="190"/>
      <c r="AIO56" s="190"/>
      <c r="AIP56" s="190"/>
      <c r="AIQ56" s="190"/>
      <c r="AIR56" s="190"/>
      <c r="AIS56" s="192"/>
      <c r="AIT56" s="190"/>
      <c r="AIU56" s="190"/>
      <c r="AIV56" s="190"/>
      <c r="AIW56" s="190"/>
      <c r="AIX56" s="190"/>
      <c r="AIY56" s="193"/>
      <c r="AIZ56" s="190"/>
      <c r="AJA56" s="190"/>
      <c r="AJB56" s="190"/>
      <c r="AJC56" s="190"/>
      <c r="AJD56" s="190"/>
      <c r="AJE56" s="192"/>
      <c r="AJF56" s="190"/>
      <c r="AJG56" s="190"/>
      <c r="AJH56" s="190"/>
      <c r="AJI56" s="190"/>
      <c r="AJJ56" s="190"/>
      <c r="AJK56" s="193"/>
      <c r="AJL56" s="190"/>
      <c r="AJM56" s="190"/>
      <c r="AJN56" s="190"/>
      <c r="AJO56" s="190"/>
      <c r="AJP56" s="190"/>
      <c r="AJQ56" s="192"/>
      <c r="AJR56" s="190"/>
      <c r="AJS56" s="190"/>
      <c r="AJT56" s="190"/>
      <c r="AJU56" s="190"/>
      <c r="AJV56" s="190"/>
      <c r="AJW56" s="193"/>
      <c r="AJX56" s="190"/>
      <c r="AJY56" s="190"/>
      <c r="AJZ56" s="190"/>
      <c r="AKA56" s="190"/>
      <c r="AKB56" s="190"/>
      <c r="AKC56" s="194"/>
      <c r="AKD56" s="189"/>
      <c r="AKE56" s="190"/>
      <c r="AKF56" s="190"/>
      <c r="AKG56" s="190"/>
      <c r="AKH56" s="190"/>
      <c r="AKI56" s="191"/>
      <c r="AKJ56" s="190"/>
      <c r="AKK56" s="190"/>
      <c r="AKL56" s="190"/>
      <c r="AKM56" s="190"/>
      <c r="AKN56" s="190"/>
      <c r="AKO56" s="192"/>
      <c r="AKP56" s="190"/>
      <c r="AKQ56" s="190"/>
      <c r="AKR56" s="190"/>
      <c r="AKS56" s="190"/>
      <c r="AKT56" s="190"/>
      <c r="AKU56" s="193"/>
      <c r="AKV56" s="190"/>
      <c r="AKW56" s="190"/>
      <c r="AKX56" s="190"/>
      <c r="AKY56" s="190"/>
      <c r="AKZ56" s="190"/>
      <c r="ALA56" s="192"/>
      <c r="ALB56" s="190"/>
      <c r="ALC56" s="190"/>
      <c r="ALD56" s="190"/>
      <c r="ALE56" s="190"/>
      <c r="ALF56" s="190"/>
      <c r="ALG56" s="193"/>
      <c r="ALH56" s="190"/>
      <c r="ALI56" s="190"/>
      <c r="ALJ56" s="190"/>
      <c r="ALK56" s="190"/>
      <c r="ALL56" s="190"/>
      <c r="ALM56" s="192"/>
      <c r="ALN56" s="190"/>
      <c r="ALO56" s="190"/>
      <c r="ALP56" s="190"/>
      <c r="ALQ56" s="190"/>
      <c r="ALR56" s="190"/>
      <c r="ALS56" s="193"/>
      <c r="ALT56" s="190"/>
      <c r="ALU56" s="190"/>
      <c r="ALV56" s="190"/>
      <c r="ALW56" s="190"/>
      <c r="ALX56" s="190"/>
      <c r="ALY56" s="192"/>
      <c r="ALZ56" s="190"/>
      <c r="AMA56" s="190"/>
      <c r="AMB56" s="190"/>
      <c r="AMC56" s="190"/>
      <c r="AMD56" s="190"/>
      <c r="AME56" s="193"/>
      <c r="AMF56" s="190"/>
      <c r="AMG56" s="190"/>
      <c r="AMH56" s="190"/>
      <c r="AMI56" s="190"/>
      <c r="AMJ56" s="190"/>
      <c r="AMK56" s="194"/>
      <c r="AML56" s="189"/>
      <c r="AMM56" s="190"/>
      <c r="AMN56" s="190"/>
      <c r="AMO56" s="190"/>
      <c r="AMP56" s="190"/>
      <c r="AMQ56" s="191"/>
      <c r="AMR56" s="190"/>
      <c r="AMS56" s="190"/>
      <c r="AMT56" s="190"/>
      <c r="AMU56" s="190"/>
      <c r="AMV56" s="190"/>
      <c r="AMW56" s="192"/>
      <c r="AMX56" s="190"/>
      <c r="AMY56" s="190"/>
      <c r="AMZ56" s="190"/>
      <c r="ANA56" s="190"/>
      <c r="ANB56" s="190"/>
      <c r="ANC56" s="193"/>
      <c r="AND56" s="190"/>
      <c r="ANE56" s="190"/>
      <c r="ANF56" s="190"/>
      <c r="ANG56" s="190"/>
      <c r="ANH56" s="190"/>
      <c r="ANI56" s="192"/>
      <c r="ANJ56" s="190"/>
      <c r="ANK56" s="190"/>
      <c r="ANL56" s="190"/>
      <c r="ANM56" s="190"/>
      <c r="ANN56" s="190"/>
      <c r="ANO56" s="193"/>
      <c r="ANP56" s="190"/>
      <c r="ANQ56" s="190"/>
      <c r="ANR56" s="190"/>
      <c r="ANS56" s="190"/>
      <c r="ANT56" s="190"/>
      <c r="ANU56" s="192"/>
      <c r="ANV56" s="190"/>
      <c r="ANW56" s="190"/>
      <c r="ANX56" s="190"/>
      <c r="ANY56" s="190"/>
      <c r="ANZ56" s="190"/>
      <c r="AOA56" s="193"/>
      <c r="AOB56" s="190"/>
      <c r="AOC56" s="190"/>
      <c r="AOD56" s="190"/>
      <c r="AOE56" s="190"/>
      <c r="AOF56" s="190"/>
      <c r="AOG56" s="192"/>
      <c r="AOH56" s="190"/>
      <c r="AOI56" s="190"/>
      <c r="AOJ56" s="190"/>
      <c r="AOK56" s="190"/>
      <c r="AOL56" s="190"/>
      <c r="AOM56" s="193"/>
      <c r="AON56" s="190"/>
      <c r="AOO56" s="190"/>
      <c r="AOP56" s="190"/>
      <c r="AOQ56" s="190"/>
      <c r="AOR56" s="190"/>
      <c r="AOS56" s="194"/>
      <c r="AOT56" s="189"/>
      <c r="AOU56" s="190"/>
      <c r="AOV56" s="190"/>
      <c r="AOW56" s="190"/>
      <c r="AOX56" s="190"/>
      <c r="AOY56" s="191"/>
      <c r="AOZ56" s="190"/>
      <c r="APA56" s="190"/>
      <c r="APB56" s="190"/>
      <c r="APC56" s="190"/>
      <c r="APD56" s="190"/>
      <c r="APE56" s="192"/>
      <c r="APF56" s="190"/>
      <c r="APG56" s="190"/>
      <c r="APH56" s="190"/>
      <c r="API56" s="190"/>
      <c r="APJ56" s="190"/>
      <c r="APK56" s="193"/>
      <c r="APL56" s="190"/>
      <c r="APM56" s="190"/>
      <c r="APN56" s="190"/>
      <c r="APO56" s="190"/>
      <c r="APP56" s="190"/>
      <c r="APQ56" s="192"/>
      <c r="APR56" s="190"/>
      <c r="APS56" s="190"/>
      <c r="APT56" s="190"/>
      <c r="APU56" s="190"/>
      <c r="APV56" s="190"/>
      <c r="APW56" s="193"/>
      <c r="APX56" s="190"/>
      <c r="APY56" s="190"/>
      <c r="APZ56" s="190"/>
      <c r="AQA56" s="190"/>
      <c r="AQB56" s="190"/>
      <c r="AQC56" s="192"/>
      <c r="AQD56" s="190"/>
      <c r="AQE56" s="190"/>
      <c r="AQF56" s="190"/>
      <c r="AQG56" s="190"/>
      <c r="AQH56" s="190"/>
      <c r="AQI56" s="193"/>
      <c r="AQJ56" s="190"/>
      <c r="AQK56" s="190"/>
      <c r="AQL56" s="190"/>
      <c r="AQM56" s="190"/>
      <c r="AQN56" s="190"/>
      <c r="AQO56" s="192"/>
      <c r="AQP56" s="190"/>
      <c r="AQQ56" s="190"/>
      <c r="AQR56" s="190"/>
      <c r="AQS56" s="190"/>
      <c r="AQT56" s="190"/>
      <c r="AQU56" s="193"/>
      <c r="AQV56" s="190"/>
      <c r="AQW56" s="190"/>
      <c r="AQX56" s="190"/>
      <c r="AQY56" s="190"/>
      <c r="AQZ56" s="190"/>
      <c r="ARA56" s="194"/>
      <c r="ARB56" s="189"/>
      <c r="ARC56" s="190"/>
      <c r="ARD56" s="190"/>
      <c r="ARE56" s="190"/>
      <c r="ARF56" s="190"/>
      <c r="ARG56" s="191"/>
      <c r="ARH56" s="190"/>
      <c r="ARI56" s="190"/>
      <c r="ARJ56" s="190"/>
      <c r="ARK56" s="190"/>
      <c r="ARL56" s="190"/>
      <c r="ARM56" s="192"/>
      <c r="ARN56" s="190"/>
      <c r="ARO56" s="190"/>
      <c r="ARP56" s="190"/>
      <c r="ARQ56" s="190"/>
      <c r="ARR56" s="190"/>
      <c r="ARS56" s="193"/>
      <c r="ART56" s="190"/>
      <c r="ARU56" s="190"/>
      <c r="ARV56" s="190"/>
      <c r="ARW56" s="190"/>
      <c r="ARX56" s="190"/>
      <c r="ARY56" s="192"/>
      <c r="ARZ56" s="190"/>
      <c r="ASA56" s="190"/>
      <c r="ASB56" s="190"/>
      <c r="ASC56" s="190"/>
      <c r="ASD56" s="190"/>
      <c r="ASE56" s="193"/>
      <c r="ASF56" s="190"/>
      <c r="ASG56" s="190"/>
      <c r="ASH56" s="190"/>
      <c r="ASI56" s="190"/>
      <c r="ASJ56" s="190"/>
      <c r="ASK56" s="192"/>
      <c r="ASL56" s="190"/>
      <c r="ASM56" s="190"/>
      <c r="ASN56" s="190"/>
      <c r="ASO56" s="190"/>
      <c r="ASP56" s="190"/>
      <c r="ASQ56" s="193"/>
      <c r="ASR56" s="190"/>
      <c r="ASS56" s="190"/>
      <c r="AST56" s="190"/>
      <c r="ASU56" s="190"/>
      <c r="ASV56" s="190"/>
      <c r="ASW56" s="192"/>
      <c r="ASX56" s="190"/>
      <c r="ASY56" s="190"/>
      <c r="ASZ56" s="190"/>
      <c r="ATA56" s="190"/>
      <c r="ATB56" s="190"/>
      <c r="ATC56" s="193"/>
      <c r="ATD56" s="190"/>
      <c r="ATE56" s="190"/>
      <c r="ATF56" s="190"/>
      <c r="ATG56" s="190"/>
      <c r="ATH56" s="190"/>
      <c r="ATI56" s="194"/>
      <c r="ATJ56" s="189"/>
      <c r="ATK56" s="190"/>
      <c r="ATL56" s="190"/>
      <c r="ATM56" s="190"/>
      <c r="ATN56" s="190"/>
      <c r="ATO56" s="191"/>
      <c r="ATP56" s="190"/>
      <c r="ATQ56" s="190"/>
      <c r="ATR56" s="190"/>
      <c r="ATS56" s="190"/>
      <c r="ATT56" s="190"/>
      <c r="ATU56" s="192"/>
      <c r="ATV56" s="190"/>
      <c r="ATW56" s="190"/>
      <c r="ATX56" s="190"/>
      <c r="ATY56" s="190"/>
      <c r="ATZ56" s="190"/>
      <c r="AUA56" s="193"/>
      <c r="AUB56" s="190"/>
      <c r="AUC56" s="190"/>
      <c r="AUD56" s="190"/>
      <c r="AUE56" s="190"/>
      <c r="AUF56" s="190"/>
      <c r="AUG56" s="192"/>
      <c r="AUH56" s="190"/>
      <c r="AUI56" s="190"/>
      <c r="AUJ56" s="190"/>
      <c r="AUK56" s="190"/>
      <c r="AUL56" s="190"/>
      <c r="AUM56" s="193"/>
      <c r="AUN56" s="190"/>
      <c r="AUO56" s="190"/>
      <c r="AUP56" s="190"/>
      <c r="AUQ56" s="190"/>
      <c r="AUR56" s="190"/>
      <c r="AUS56" s="192"/>
      <c r="AUT56" s="190"/>
      <c r="AUU56" s="190"/>
      <c r="AUV56" s="190"/>
      <c r="AUW56" s="190"/>
      <c r="AUX56" s="190"/>
      <c r="AUY56" s="193"/>
      <c r="AUZ56" s="190"/>
      <c r="AVA56" s="190"/>
      <c r="AVB56" s="190"/>
      <c r="AVC56" s="190"/>
      <c r="AVD56" s="190"/>
      <c r="AVE56" s="192"/>
      <c r="AVF56" s="190"/>
      <c r="AVG56" s="190"/>
      <c r="AVH56" s="190"/>
      <c r="AVI56" s="190"/>
      <c r="AVJ56" s="190"/>
      <c r="AVK56" s="193"/>
      <c r="AVL56" s="190"/>
      <c r="AVM56" s="190"/>
      <c r="AVN56" s="190"/>
      <c r="AVO56" s="190"/>
      <c r="AVP56" s="190"/>
      <c r="AVQ56" s="194"/>
      <c r="AVR56" s="189"/>
      <c r="AVS56" s="190"/>
      <c r="AVT56" s="190"/>
      <c r="AVU56" s="190"/>
      <c r="AVV56" s="190"/>
      <c r="AVW56" s="191"/>
      <c r="AVX56" s="190"/>
      <c r="AVY56" s="190"/>
      <c r="AVZ56" s="190"/>
      <c r="AWA56" s="190"/>
      <c r="AWB56" s="190"/>
      <c r="AWC56" s="192"/>
      <c r="AWD56" s="190"/>
      <c r="AWE56" s="190"/>
      <c r="AWF56" s="190"/>
      <c r="AWG56" s="190"/>
      <c r="AWH56" s="190"/>
      <c r="AWI56" s="193"/>
      <c r="AWJ56" s="190"/>
      <c r="AWK56" s="190"/>
      <c r="AWL56" s="190"/>
      <c r="AWM56" s="190"/>
      <c r="AWN56" s="190"/>
      <c r="AWO56" s="192"/>
      <c r="AWP56" s="190"/>
      <c r="AWQ56" s="190"/>
      <c r="AWR56" s="190"/>
      <c r="AWS56" s="190"/>
      <c r="AWT56" s="190"/>
      <c r="AWU56" s="193"/>
      <c r="AWV56" s="190"/>
      <c r="AWW56" s="190"/>
      <c r="AWX56" s="190"/>
      <c r="AWY56" s="190"/>
      <c r="AWZ56" s="190"/>
      <c r="AXA56" s="192"/>
      <c r="AXB56" s="190"/>
      <c r="AXC56" s="190"/>
      <c r="AXD56" s="190"/>
      <c r="AXE56" s="190"/>
      <c r="AXF56" s="190"/>
      <c r="AXG56" s="193"/>
      <c r="AXH56" s="190"/>
      <c r="AXI56" s="190"/>
      <c r="AXJ56" s="190"/>
      <c r="AXK56" s="190"/>
      <c r="AXL56" s="190"/>
      <c r="AXM56" s="192"/>
      <c r="AXN56" s="190"/>
      <c r="AXO56" s="190"/>
      <c r="AXP56" s="190"/>
      <c r="AXQ56" s="190"/>
      <c r="AXR56" s="190"/>
      <c r="AXS56" s="193"/>
      <c r="AXT56" s="190"/>
      <c r="AXU56" s="190"/>
      <c r="AXV56" s="190"/>
      <c r="AXW56" s="190"/>
      <c r="AXX56" s="190"/>
      <c r="AXY56" s="194"/>
      <c r="AXZ56" s="189"/>
      <c r="AYA56" s="190"/>
      <c r="AYB56" s="190"/>
      <c r="AYC56" s="190"/>
      <c r="AYD56" s="190"/>
      <c r="AYE56" s="191"/>
      <c r="AYF56" s="190"/>
      <c r="AYG56" s="190"/>
      <c r="AYH56" s="190"/>
      <c r="AYI56" s="190"/>
      <c r="AYJ56" s="190"/>
      <c r="AYK56" s="192"/>
      <c r="AYL56" s="190"/>
      <c r="AYM56" s="190"/>
      <c r="AYN56" s="190"/>
      <c r="AYO56" s="190"/>
      <c r="AYP56" s="190"/>
      <c r="AYQ56" s="193"/>
      <c r="AYR56" s="190"/>
      <c r="AYS56" s="190"/>
      <c r="AYT56" s="190"/>
      <c r="AYU56" s="190"/>
      <c r="AYV56" s="190"/>
      <c r="AYW56" s="192"/>
      <c r="AYX56" s="190"/>
      <c r="AYY56" s="190"/>
      <c r="AYZ56" s="190"/>
      <c r="AZA56" s="190"/>
      <c r="AZB56" s="190"/>
      <c r="AZC56" s="193"/>
      <c r="AZD56" s="190"/>
      <c r="AZE56" s="190"/>
      <c r="AZF56" s="190"/>
      <c r="AZG56" s="190"/>
      <c r="AZH56" s="190"/>
      <c r="AZI56" s="192"/>
      <c r="AZJ56" s="190"/>
      <c r="AZK56" s="190"/>
      <c r="AZL56" s="190"/>
      <c r="AZM56" s="190"/>
      <c r="AZN56" s="190"/>
      <c r="AZO56" s="193"/>
      <c r="AZP56" s="190"/>
      <c r="AZQ56" s="190"/>
      <c r="AZR56" s="190"/>
      <c r="AZS56" s="190"/>
      <c r="AZT56" s="190"/>
      <c r="AZU56" s="192"/>
      <c r="AZV56" s="190"/>
      <c r="AZW56" s="190"/>
      <c r="AZX56" s="190"/>
      <c r="AZY56" s="190"/>
      <c r="AZZ56" s="190"/>
      <c r="BAA56" s="193"/>
      <c r="BAB56" s="190"/>
      <c r="BAC56" s="190"/>
      <c r="BAD56" s="190"/>
      <c r="BAE56" s="190"/>
      <c r="BAF56" s="190"/>
      <c r="BAG56" s="194"/>
      <c r="BAH56" s="189"/>
      <c r="BAI56" s="190"/>
      <c r="BAJ56" s="190"/>
      <c r="BAK56" s="190"/>
      <c r="BAL56" s="190"/>
      <c r="BAM56" s="191"/>
      <c r="BAN56" s="190"/>
      <c r="BAO56" s="190"/>
      <c r="BAP56" s="190"/>
      <c r="BAQ56" s="190"/>
      <c r="BAR56" s="190"/>
      <c r="BAS56" s="192"/>
      <c r="BAT56" s="190"/>
      <c r="BAU56" s="190"/>
      <c r="BAV56" s="190"/>
      <c r="BAW56" s="190"/>
      <c r="BAX56" s="190"/>
      <c r="BAY56" s="193"/>
      <c r="BAZ56" s="190"/>
      <c r="BBA56" s="190"/>
      <c r="BBB56" s="190"/>
      <c r="BBC56" s="190"/>
      <c r="BBD56" s="190"/>
      <c r="BBE56" s="192"/>
      <c r="BBF56" s="190"/>
      <c r="BBG56" s="190"/>
      <c r="BBH56" s="190"/>
      <c r="BBI56" s="190"/>
      <c r="BBJ56" s="190"/>
      <c r="BBK56" s="193"/>
      <c r="BBL56" s="190"/>
      <c r="BBM56" s="190"/>
      <c r="BBN56" s="190"/>
      <c r="BBO56" s="190"/>
      <c r="BBP56" s="190"/>
      <c r="BBQ56" s="192"/>
      <c r="BBR56" s="190"/>
      <c r="BBS56" s="190"/>
      <c r="BBT56" s="190"/>
      <c r="BBU56" s="190"/>
      <c r="BBV56" s="190"/>
      <c r="BBW56" s="193"/>
      <c r="BBX56" s="190"/>
      <c r="BBY56" s="190"/>
      <c r="BBZ56" s="190"/>
      <c r="BCA56" s="190"/>
      <c r="BCB56" s="190"/>
      <c r="BCC56" s="192"/>
      <c r="BCD56" s="190"/>
      <c r="BCE56" s="190"/>
      <c r="BCF56" s="190"/>
      <c r="BCG56" s="190"/>
      <c r="BCH56" s="190"/>
      <c r="BCI56" s="193"/>
      <c r="BCJ56" s="190"/>
      <c r="BCK56" s="190"/>
      <c r="BCL56" s="190"/>
      <c r="BCM56" s="190"/>
      <c r="BCN56" s="190"/>
      <c r="BCO56" s="194"/>
      <c r="BCP56" s="189"/>
      <c r="BCQ56" s="190"/>
      <c r="BCR56" s="190"/>
      <c r="BCS56" s="190"/>
      <c r="BCT56" s="190"/>
      <c r="BCU56" s="191"/>
      <c r="BCV56" s="190"/>
      <c r="BCW56" s="190"/>
      <c r="BCX56" s="190"/>
      <c r="BCY56" s="190"/>
      <c r="BCZ56" s="190"/>
      <c r="BDA56" s="192"/>
      <c r="BDB56" s="190"/>
      <c r="BDC56" s="190"/>
      <c r="BDD56" s="190"/>
      <c r="BDE56" s="190"/>
      <c r="BDF56" s="190"/>
      <c r="BDG56" s="193"/>
      <c r="BDH56" s="190"/>
      <c r="BDI56" s="190"/>
      <c r="BDJ56" s="190"/>
      <c r="BDK56" s="190"/>
      <c r="BDL56" s="190"/>
      <c r="BDM56" s="192"/>
      <c r="BDN56" s="190"/>
      <c r="BDO56" s="190"/>
      <c r="BDP56" s="190"/>
      <c r="BDQ56" s="190"/>
      <c r="BDR56" s="190"/>
      <c r="BDS56" s="193"/>
      <c r="BDT56" s="190"/>
      <c r="BDU56" s="190"/>
      <c r="BDV56" s="190"/>
      <c r="BDW56" s="190"/>
      <c r="BDX56" s="190"/>
      <c r="BDY56" s="192"/>
      <c r="BDZ56" s="190"/>
      <c r="BEA56" s="190"/>
      <c r="BEB56" s="190"/>
      <c r="BEC56" s="190"/>
      <c r="BED56" s="190"/>
      <c r="BEE56" s="193"/>
      <c r="BEF56" s="190"/>
      <c r="BEG56" s="190"/>
      <c r="BEH56" s="190"/>
      <c r="BEI56" s="190"/>
      <c r="BEJ56" s="190"/>
      <c r="BEK56" s="192"/>
      <c r="BEL56" s="190"/>
      <c r="BEM56" s="190"/>
      <c r="BEN56" s="190"/>
      <c r="BEO56" s="190"/>
      <c r="BEP56" s="190"/>
      <c r="BEQ56" s="193"/>
      <c r="BER56" s="190"/>
      <c r="BES56" s="190"/>
      <c r="BET56" s="190"/>
      <c r="BEU56" s="190"/>
      <c r="BEV56" s="190"/>
      <c r="BEW56" s="194"/>
      <c r="BEX56" s="189"/>
      <c r="BEY56" s="190"/>
      <c r="BEZ56" s="190"/>
      <c r="BFA56" s="190"/>
      <c r="BFB56" s="190"/>
      <c r="BFC56" s="191"/>
      <c r="BFD56" s="190"/>
      <c r="BFE56" s="190"/>
      <c r="BFF56" s="190"/>
      <c r="BFG56" s="190"/>
      <c r="BFH56" s="190"/>
      <c r="BFI56" s="192"/>
      <c r="BFJ56" s="190"/>
      <c r="BFK56" s="190"/>
      <c r="BFL56" s="190"/>
      <c r="BFM56" s="190"/>
      <c r="BFN56" s="190"/>
      <c r="BFO56" s="193"/>
      <c r="BFP56" s="190"/>
      <c r="BFQ56" s="190"/>
      <c r="BFR56" s="190"/>
      <c r="BFS56" s="190"/>
      <c r="BFT56" s="190"/>
      <c r="BFU56" s="192"/>
      <c r="BFV56" s="190"/>
      <c r="BFW56" s="190"/>
      <c r="BFX56" s="190"/>
      <c r="BFY56" s="190"/>
      <c r="BFZ56" s="190"/>
      <c r="BGA56" s="193"/>
      <c r="BGB56" s="190"/>
      <c r="BGC56" s="190"/>
      <c r="BGD56" s="190"/>
      <c r="BGE56" s="190"/>
      <c r="BGF56" s="190"/>
      <c r="BGG56" s="192"/>
      <c r="BGH56" s="190"/>
      <c r="BGI56" s="190"/>
      <c r="BGJ56" s="190"/>
      <c r="BGK56" s="190"/>
      <c r="BGL56" s="190"/>
      <c r="BGM56" s="193"/>
      <c r="BGN56" s="190"/>
      <c r="BGO56" s="190"/>
      <c r="BGP56" s="190"/>
      <c r="BGQ56" s="190"/>
      <c r="BGR56" s="190"/>
      <c r="BGS56" s="192"/>
      <c r="BGT56" s="190"/>
      <c r="BGU56" s="190"/>
      <c r="BGV56" s="190"/>
      <c r="BGW56" s="190"/>
      <c r="BGX56" s="190"/>
      <c r="BGY56" s="193"/>
      <c r="BGZ56" s="190"/>
      <c r="BHA56" s="190"/>
      <c r="BHB56" s="190"/>
      <c r="BHC56" s="190"/>
      <c r="BHD56" s="190"/>
      <c r="BHE56" s="194"/>
      <c r="BHF56" s="187"/>
      <c r="BHG56" s="188"/>
      <c r="BHH56" s="188"/>
      <c r="BHI56" s="188"/>
      <c r="BHJ56" s="188"/>
      <c r="BHK56" s="188"/>
      <c r="BHL56" s="188"/>
      <c r="BHM56" s="188"/>
      <c r="BHN56" s="188"/>
      <c r="BHO56" s="188"/>
      <c r="BHP56" s="188"/>
      <c r="BHQ56" s="188"/>
      <c r="BHR56" s="188"/>
      <c r="BHS56" s="188"/>
      <c r="BHT56" s="188"/>
      <c r="BHU56" s="188"/>
      <c r="BHV56" s="188"/>
      <c r="BHW56" s="188"/>
      <c r="BHX56" s="188"/>
      <c r="BHY56" s="188"/>
      <c r="BHZ56" s="188"/>
      <c r="BIA56" s="188"/>
      <c r="BIB56" s="188"/>
      <c r="BIC56" s="188"/>
      <c r="BID56" s="188"/>
      <c r="BIE56" s="188"/>
      <c r="BIF56" s="188"/>
      <c r="BIG56" s="188"/>
      <c r="BIH56" s="188"/>
      <c r="BII56" s="188"/>
      <c r="BIJ56" s="188"/>
      <c r="BIK56" s="188"/>
      <c r="BIL56" s="188"/>
      <c r="BIM56" s="188"/>
      <c r="BIN56" s="188"/>
      <c r="BIO56" s="188"/>
      <c r="BIP56" s="188"/>
    </row>
    <row r="57" spans="1:1602" ht="20.100000000000001" customHeight="1" x14ac:dyDescent="0.25">
      <c r="A57" s="78" t="s">
        <v>49</v>
      </c>
      <c r="B57" s="51"/>
      <c r="C57" s="230" t="s">
        <v>86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77"/>
      <c r="SM57" s="177"/>
      <c r="SN57" s="177"/>
      <c r="SO57" s="179"/>
      <c r="SP57" s="177"/>
      <c r="SQ57" s="177"/>
      <c r="SR57" s="177"/>
      <c r="SS57" s="177"/>
      <c r="ST57" s="177"/>
      <c r="SU57" s="180"/>
      <c r="SV57" s="177"/>
      <c r="SW57" s="177"/>
      <c r="SX57" s="177"/>
      <c r="SY57" s="177"/>
      <c r="SZ57" s="177"/>
      <c r="TA57" s="179"/>
      <c r="TB57" s="177"/>
      <c r="TC57" s="177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76"/>
      <c r="UA57" s="177"/>
      <c r="UB57" s="177"/>
      <c r="UC57" s="177"/>
      <c r="UD57" s="177"/>
      <c r="UE57" s="178"/>
      <c r="UF57" s="177"/>
      <c r="UG57" s="177"/>
      <c r="UH57" s="177"/>
      <c r="UI57" s="177"/>
      <c r="UJ57" s="177"/>
      <c r="UK57" s="179"/>
      <c r="UL57" s="177"/>
      <c r="UM57" s="177"/>
      <c r="UN57" s="177"/>
      <c r="UO57" s="177"/>
      <c r="UP57" s="177"/>
      <c r="UQ57" s="180"/>
      <c r="UR57" s="177"/>
      <c r="US57" s="177"/>
      <c r="UT57" s="177"/>
      <c r="UU57" s="177"/>
      <c r="UV57" s="177"/>
      <c r="UW57" s="179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87"/>
      <c r="BHG57" s="188"/>
      <c r="BHH57" s="188"/>
      <c r="BHI57" s="188"/>
      <c r="BHJ57" s="188"/>
      <c r="BHK57" s="188"/>
      <c r="BHL57" s="188"/>
      <c r="BHM57" s="188"/>
      <c r="BHN57" s="188"/>
      <c r="BHO57" s="188"/>
      <c r="BHP57" s="188"/>
      <c r="BHQ57" s="188"/>
      <c r="BHR57" s="188"/>
      <c r="BHS57" s="188"/>
      <c r="BHT57" s="188"/>
      <c r="BHU57" s="188"/>
      <c r="BHV57" s="188"/>
      <c r="BHW57" s="188"/>
      <c r="BHX57" s="188"/>
      <c r="BHY57" s="188"/>
      <c r="BHZ57" s="188"/>
      <c r="BIA57" s="188"/>
      <c r="BIB57" s="188"/>
      <c r="BIC57" s="188"/>
      <c r="BID57" s="188"/>
      <c r="BIE57" s="188"/>
      <c r="BIF57" s="188"/>
      <c r="BIG57" s="188"/>
      <c r="BIH57" s="188"/>
      <c r="BII57" s="188"/>
      <c r="BIJ57" s="188"/>
      <c r="BIK57" s="188"/>
      <c r="BIL57" s="188"/>
      <c r="BIM57" s="188"/>
      <c r="BIN57" s="188"/>
      <c r="BIO57" s="188"/>
      <c r="BIP57" s="188"/>
    </row>
    <row r="58" spans="1:1602" ht="20.100000000000001" customHeight="1" x14ac:dyDescent="0.3">
      <c r="A58" s="78" t="s">
        <v>50</v>
      </c>
      <c r="B58" s="51"/>
      <c r="C58" s="231"/>
      <c r="D58" s="121" t="str">
        <f t="shared" si="0"/>
        <v/>
      </c>
      <c r="E58" s="30">
        <v>0</v>
      </c>
      <c r="F58" s="195"/>
      <c r="G58" s="196"/>
      <c r="H58" s="196"/>
      <c r="I58" s="196"/>
      <c r="J58" s="196"/>
      <c r="K58" s="197"/>
      <c r="L58" s="196"/>
      <c r="M58" s="196"/>
      <c r="N58" s="196"/>
      <c r="O58" s="196"/>
      <c r="P58" s="196"/>
      <c r="Q58" s="198"/>
      <c r="R58" s="196"/>
      <c r="S58" s="196"/>
      <c r="T58" s="196"/>
      <c r="U58" s="196"/>
      <c r="V58" s="196"/>
      <c r="W58" s="199"/>
      <c r="X58" s="196"/>
      <c r="Y58" s="196"/>
      <c r="Z58" s="196"/>
      <c r="AA58" s="196"/>
      <c r="AB58" s="196"/>
      <c r="AC58" s="198"/>
      <c r="AD58" s="196"/>
      <c r="AE58" s="196"/>
      <c r="AF58" s="196"/>
      <c r="AG58" s="196"/>
      <c r="AH58" s="196"/>
      <c r="AI58" s="199"/>
      <c r="AJ58" s="196"/>
      <c r="AK58" s="196"/>
      <c r="AL58" s="196"/>
      <c r="AM58" s="196"/>
      <c r="AN58" s="196"/>
      <c r="AO58" s="198"/>
      <c r="AP58" s="196"/>
      <c r="AQ58" s="196"/>
      <c r="AR58" s="196"/>
      <c r="AS58" s="196"/>
      <c r="AT58" s="196"/>
      <c r="AU58" s="199"/>
      <c r="AV58" s="196"/>
      <c r="AW58" s="196"/>
      <c r="AX58" s="196"/>
      <c r="AY58" s="196"/>
      <c r="AZ58" s="196"/>
      <c r="BA58" s="198"/>
      <c r="BB58" s="196"/>
      <c r="BC58" s="196"/>
      <c r="BD58" s="196"/>
      <c r="BE58" s="196"/>
      <c r="BF58" s="196"/>
      <c r="BG58" s="199"/>
      <c r="BH58" s="196"/>
      <c r="BI58" s="196"/>
      <c r="BJ58" s="196"/>
      <c r="BK58" s="196"/>
      <c r="BL58" s="196"/>
      <c r="BM58" s="200"/>
      <c r="BN58" s="195"/>
      <c r="BO58" s="196"/>
      <c r="BP58" s="196"/>
      <c r="BQ58" s="196"/>
      <c r="BR58" s="196"/>
      <c r="BS58" s="197"/>
      <c r="BT58" s="196"/>
      <c r="BU58" s="196"/>
      <c r="BV58" s="196"/>
      <c r="BW58" s="196"/>
      <c r="BX58" s="196"/>
      <c r="BY58" s="198"/>
      <c r="BZ58" s="196"/>
      <c r="CA58" s="196"/>
      <c r="CB58" s="196"/>
      <c r="CC58" s="196"/>
      <c r="CD58" s="196"/>
      <c r="CE58" s="199"/>
      <c r="CF58" s="196"/>
      <c r="CG58" s="196"/>
      <c r="CH58" s="196"/>
      <c r="CI58" s="196"/>
      <c r="CJ58" s="196"/>
      <c r="CK58" s="198"/>
      <c r="CL58" s="196"/>
      <c r="CM58" s="196"/>
      <c r="CN58" s="196"/>
      <c r="CO58" s="196"/>
      <c r="CP58" s="196"/>
      <c r="CQ58" s="199"/>
      <c r="CR58" s="196"/>
      <c r="CS58" s="196"/>
      <c r="CT58" s="196"/>
      <c r="CU58" s="196"/>
      <c r="CV58" s="196"/>
      <c r="CW58" s="198"/>
      <c r="CX58" s="196"/>
      <c r="CY58" s="196"/>
      <c r="CZ58" s="196"/>
      <c r="DA58" s="196"/>
      <c r="DB58" s="196"/>
      <c r="DC58" s="199"/>
      <c r="DD58" s="196"/>
      <c r="DE58" s="196"/>
      <c r="DF58" s="196"/>
      <c r="DG58" s="196"/>
      <c r="DH58" s="196"/>
      <c r="DI58" s="198"/>
      <c r="DJ58" s="196"/>
      <c r="DK58" s="196"/>
      <c r="DL58" s="196"/>
      <c r="DM58" s="196"/>
      <c r="DN58" s="196"/>
      <c r="DO58" s="199"/>
      <c r="DP58" s="196"/>
      <c r="DQ58" s="196"/>
      <c r="DR58" s="196"/>
      <c r="DS58" s="196"/>
      <c r="DT58" s="196"/>
      <c r="DU58" s="200"/>
      <c r="DV58" s="195"/>
      <c r="DW58" s="196"/>
      <c r="DX58" s="196"/>
      <c r="DY58" s="196"/>
      <c r="DZ58" s="196"/>
      <c r="EA58" s="197"/>
      <c r="EB58" s="196"/>
      <c r="EC58" s="196"/>
      <c r="ED58" s="196"/>
      <c r="EE58" s="196"/>
      <c r="EF58" s="196"/>
      <c r="EG58" s="198"/>
      <c r="EH58" s="196"/>
      <c r="EI58" s="196"/>
      <c r="EJ58" s="196"/>
      <c r="EK58" s="196"/>
      <c r="EL58" s="196"/>
      <c r="EM58" s="199"/>
      <c r="EN58" s="196"/>
      <c r="EO58" s="196"/>
      <c r="EP58" s="196"/>
      <c r="EQ58" s="196"/>
      <c r="ER58" s="196"/>
      <c r="ES58" s="198"/>
      <c r="ET58" s="196"/>
      <c r="EU58" s="196"/>
      <c r="EV58" s="196"/>
      <c r="EW58" s="196"/>
      <c r="EX58" s="196"/>
      <c r="EY58" s="199"/>
      <c r="EZ58" s="196"/>
      <c r="FA58" s="196"/>
      <c r="FB58" s="196"/>
      <c r="FC58" s="196"/>
      <c r="FD58" s="196"/>
      <c r="FE58" s="198"/>
      <c r="FF58" s="196"/>
      <c r="FG58" s="196"/>
      <c r="FH58" s="196"/>
      <c r="FI58" s="196"/>
      <c r="FJ58" s="196"/>
      <c r="FK58" s="199"/>
      <c r="FL58" s="196"/>
      <c r="FM58" s="196"/>
      <c r="FN58" s="196"/>
      <c r="FO58" s="196"/>
      <c r="FP58" s="196"/>
      <c r="FQ58" s="198"/>
      <c r="FR58" s="196"/>
      <c r="FS58" s="196"/>
      <c r="FT58" s="196"/>
      <c r="FU58" s="196"/>
      <c r="FV58" s="196"/>
      <c r="FW58" s="199"/>
      <c r="FX58" s="196"/>
      <c r="FY58" s="196"/>
      <c r="FZ58" s="196"/>
      <c r="GA58" s="196"/>
      <c r="GB58" s="196"/>
      <c r="GC58" s="200"/>
      <c r="GD58" s="195"/>
      <c r="GE58" s="196"/>
      <c r="GF58" s="196"/>
      <c r="GG58" s="196"/>
      <c r="GH58" s="196"/>
      <c r="GI58" s="197"/>
      <c r="GJ58" s="196"/>
      <c r="GK58" s="196"/>
      <c r="GL58" s="196"/>
      <c r="GM58" s="196"/>
      <c r="GN58" s="196"/>
      <c r="GO58" s="198"/>
      <c r="GP58" s="196"/>
      <c r="GQ58" s="196"/>
      <c r="GR58" s="196"/>
      <c r="GS58" s="196"/>
      <c r="GT58" s="196"/>
      <c r="GU58" s="199"/>
      <c r="GV58" s="196"/>
      <c r="GW58" s="196"/>
      <c r="GX58" s="196"/>
      <c r="GY58" s="196"/>
      <c r="GZ58" s="196"/>
      <c r="HA58" s="198"/>
      <c r="HB58" s="196"/>
      <c r="HC58" s="196"/>
      <c r="HD58" s="196"/>
      <c r="HE58" s="196"/>
      <c r="HF58" s="196"/>
      <c r="HG58" s="199"/>
      <c r="HH58" s="196"/>
      <c r="HI58" s="196"/>
      <c r="HJ58" s="196"/>
      <c r="HK58" s="196"/>
      <c r="HL58" s="196"/>
      <c r="HM58" s="198"/>
      <c r="HN58" s="196"/>
      <c r="HO58" s="196"/>
      <c r="HP58" s="196"/>
      <c r="HQ58" s="196"/>
      <c r="HR58" s="196"/>
      <c r="HS58" s="199"/>
      <c r="HT58" s="196"/>
      <c r="HU58" s="196"/>
      <c r="HV58" s="196"/>
      <c r="HW58" s="196"/>
      <c r="HX58" s="196"/>
      <c r="HY58" s="198"/>
      <c r="HZ58" s="196"/>
      <c r="IA58" s="196"/>
      <c r="IB58" s="196"/>
      <c r="IC58" s="196"/>
      <c r="ID58" s="196"/>
      <c r="IE58" s="199"/>
      <c r="IF58" s="196"/>
      <c r="IG58" s="196"/>
      <c r="IH58" s="196"/>
      <c r="II58" s="196"/>
      <c r="IJ58" s="196"/>
      <c r="IK58" s="200"/>
      <c r="IL58" s="195"/>
      <c r="IM58" s="196"/>
      <c r="IN58" s="196"/>
      <c r="IO58" s="196"/>
      <c r="IP58" s="196"/>
      <c r="IQ58" s="197"/>
      <c r="IR58" s="196"/>
      <c r="IS58" s="196"/>
      <c r="IT58" s="196"/>
      <c r="IU58" s="196"/>
      <c r="IV58" s="196"/>
      <c r="IW58" s="198"/>
      <c r="IX58" s="196"/>
      <c r="IY58" s="196"/>
      <c r="IZ58" s="196"/>
      <c r="JA58" s="196"/>
      <c r="JB58" s="196"/>
      <c r="JC58" s="199"/>
      <c r="JD58" s="196"/>
      <c r="JE58" s="196"/>
      <c r="JF58" s="196"/>
      <c r="JG58" s="196"/>
      <c r="JH58" s="196"/>
      <c r="JI58" s="198"/>
      <c r="JJ58" s="196"/>
      <c r="JK58" s="196"/>
      <c r="JL58" s="196"/>
      <c r="JM58" s="196"/>
      <c r="JN58" s="196"/>
      <c r="JO58" s="199"/>
      <c r="JP58" s="196"/>
      <c r="JQ58" s="196"/>
      <c r="JR58" s="196"/>
      <c r="JS58" s="196"/>
      <c r="JT58" s="196"/>
      <c r="JU58" s="198"/>
      <c r="JV58" s="196"/>
      <c r="JW58" s="196"/>
      <c r="JX58" s="196"/>
      <c r="JY58" s="196"/>
      <c r="JZ58" s="196"/>
      <c r="KA58" s="199"/>
      <c r="KB58" s="196"/>
      <c r="KC58" s="196"/>
      <c r="KD58" s="196"/>
      <c r="KE58" s="196"/>
      <c r="KF58" s="196"/>
      <c r="KG58" s="198"/>
      <c r="KH58" s="196"/>
      <c r="KI58" s="196"/>
      <c r="KJ58" s="196"/>
      <c r="KK58" s="196"/>
      <c r="KL58" s="196"/>
      <c r="KM58" s="199"/>
      <c r="KN58" s="196"/>
      <c r="KO58" s="196"/>
      <c r="KP58" s="196"/>
      <c r="KQ58" s="196"/>
      <c r="KR58" s="196"/>
      <c r="KS58" s="200"/>
      <c r="KT58" s="195"/>
      <c r="KU58" s="196"/>
      <c r="KV58" s="196"/>
      <c r="KW58" s="196"/>
      <c r="KX58" s="196"/>
      <c r="KY58" s="197"/>
      <c r="KZ58" s="196"/>
      <c r="LA58" s="196"/>
      <c r="LB58" s="196"/>
      <c r="LC58" s="196"/>
      <c r="LD58" s="196"/>
      <c r="LE58" s="198"/>
      <c r="LF58" s="196"/>
      <c r="LG58" s="196"/>
      <c r="LH58" s="196"/>
      <c r="LI58" s="196"/>
      <c r="LJ58" s="196"/>
      <c r="LK58" s="199"/>
      <c r="LL58" s="196"/>
      <c r="LM58" s="196"/>
      <c r="LN58" s="196"/>
      <c r="LO58" s="196"/>
      <c r="LP58" s="196"/>
      <c r="LQ58" s="198"/>
      <c r="LR58" s="196"/>
      <c r="LS58" s="196"/>
      <c r="LT58" s="196"/>
      <c r="LU58" s="196"/>
      <c r="LV58" s="196"/>
      <c r="LW58" s="199"/>
      <c r="LX58" s="196"/>
      <c r="LY58" s="196"/>
      <c r="LZ58" s="196"/>
      <c r="MA58" s="196"/>
      <c r="MB58" s="196"/>
      <c r="MC58" s="198"/>
      <c r="MD58" s="196"/>
      <c r="ME58" s="196"/>
      <c r="MF58" s="196"/>
      <c r="MG58" s="196"/>
      <c r="MH58" s="196"/>
      <c r="MI58" s="199"/>
      <c r="MJ58" s="196"/>
      <c r="MK58" s="196"/>
      <c r="ML58" s="196"/>
      <c r="MM58" s="196"/>
      <c r="MN58" s="196"/>
      <c r="MO58" s="198"/>
      <c r="MP58" s="196"/>
      <c r="MQ58" s="196"/>
      <c r="MR58" s="196"/>
      <c r="MS58" s="196"/>
      <c r="MT58" s="196"/>
      <c r="MU58" s="199"/>
      <c r="MV58" s="196"/>
      <c r="MW58" s="196"/>
      <c r="MX58" s="196"/>
      <c r="MY58" s="196"/>
      <c r="MZ58" s="196"/>
      <c r="NA58" s="200"/>
      <c r="NB58" s="195"/>
      <c r="NC58" s="196"/>
      <c r="ND58" s="196"/>
      <c r="NE58" s="196"/>
      <c r="NF58" s="196"/>
      <c r="NG58" s="197"/>
      <c r="NH58" s="196"/>
      <c r="NI58" s="196"/>
      <c r="NJ58" s="196"/>
      <c r="NK58" s="196"/>
      <c r="NL58" s="196"/>
      <c r="NM58" s="198"/>
      <c r="NN58" s="196"/>
      <c r="NO58" s="196"/>
      <c r="NP58" s="196"/>
      <c r="NQ58" s="196"/>
      <c r="NR58" s="196"/>
      <c r="NS58" s="199"/>
      <c r="NT58" s="196"/>
      <c r="NU58" s="196"/>
      <c r="NV58" s="196"/>
      <c r="NW58" s="196"/>
      <c r="NX58" s="196"/>
      <c r="NY58" s="198"/>
      <c r="NZ58" s="196"/>
      <c r="OA58" s="196"/>
      <c r="OB58" s="196"/>
      <c r="OC58" s="196"/>
      <c r="OD58" s="196"/>
      <c r="OE58" s="199"/>
      <c r="OF58" s="196"/>
      <c r="OG58" s="196"/>
      <c r="OH58" s="196"/>
      <c r="OI58" s="196"/>
      <c r="OJ58" s="196"/>
      <c r="OK58" s="198"/>
      <c r="OL58" s="196"/>
      <c r="OM58" s="196"/>
      <c r="ON58" s="196"/>
      <c r="OO58" s="196"/>
      <c r="OP58" s="196"/>
      <c r="OQ58" s="199"/>
      <c r="OR58" s="196"/>
      <c r="OS58" s="196"/>
      <c r="OT58" s="196"/>
      <c r="OU58" s="196"/>
      <c r="OV58" s="196"/>
      <c r="OW58" s="198"/>
      <c r="OX58" s="196"/>
      <c r="OY58" s="196"/>
      <c r="OZ58" s="196"/>
      <c r="PA58" s="196"/>
      <c r="PB58" s="196"/>
      <c r="PC58" s="199"/>
      <c r="PD58" s="196"/>
      <c r="PE58" s="196"/>
      <c r="PF58" s="196"/>
      <c r="PG58" s="196"/>
      <c r="PH58" s="196"/>
      <c r="PI58" s="200"/>
      <c r="PJ58" s="195"/>
      <c r="PK58" s="196"/>
      <c r="PL58" s="196"/>
      <c r="PM58" s="196"/>
      <c r="PN58" s="196"/>
      <c r="PO58" s="197"/>
      <c r="PP58" s="196"/>
      <c r="PQ58" s="196"/>
      <c r="PR58" s="196"/>
      <c r="PS58" s="196"/>
      <c r="PT58" s="196"/>
      <c r="PU58" s="198"/>
      <c r="PV58" s="196"/>
      <c r="PW58" s="196"/>
      <c r="PX58" s="196"/>
      <c r="PY58" s="196"/>
      <c r="PZ58" s="196"/>
      <c r="QA58" s="199"/>
      <c r="QB58" s="196"/>
      <c r="QC58" s="196"/>
      <c r="QD58" s="196"/>
      <c r="QE58" s="196"/>
      <c r="QF58" s="196"/>
      <c r="QG58" s="198"/>
      <c r="QH58" s="196"/>
      <c r="QI58" s="196"/>
      <c r="QJ58" s="196"/>
      <c r="QK58" s="196"/>
      <c r="QL58" s="196"/>
      <c r="QM58" s="199"/>
      <c r="QN58" s="196"/>
      <c r="QO58" s="196"/>
      <c r="QP58" s="196"/>
      <c r="QQ58" s="196"/>
      <c r="QR58" s="196"/>
      <c r="QS58" s="198"/>
      <c r="QT58" s="196"/>
      <c r="QU58" s="196"/>
      <c r="QV58" s="196"/>
      <c r="QW58" s="196"/>
      <c r="QX58" s="196"/>
      <c r="QY58" s="199"/>
      <c r="QZ58" s="196"/>
      <c r="RA58" s="196"/>
      <c r="RB58" s="196"/>
      <c r="RC58" s="196"/>
      <c r="RD58" s="196"/>
      <c r="RE58" s="198"/>
      <c r="RF58" s="196"/>
      <c r="RG58" s="196"/>
      <c r="RH58" s="196"/>
      <c r="RI58" s="196"/>
      <c r="RJ58" s="196"/>
      <c r="RK58" s="199"/>
      <c r="RL58" s="196"/>
      <c r="RM58" s="196"/>
      <c r="RN58" s="196"/>
      <c r="RO58" s="196"/>
      <c r="RP58" s="196"/>
      <c r="RQ58" s="200"/>
      <c r="RR58" s="195"/>
      <c r="RS58" s="196"/>
      <c r="RT58" s="196"/>
      <c r="RU58" s="196"/>
      <c r="RV58" s="196"/>
      <c r="RW58" s="197"/>
      <c r="RX58" s="196"/>
      <c r="RY58" s="196"/>
      <c r="RZ58" s="196"/>
      <c r="SA58" s="196"/>
      <c r="SB58" s="196"/>
      <c r="SC58" s="198"/>
      <c r="SD58" s="196"/>
      <c r="SE58" s="196"/>
      <c r="SF58" s="196"/>
      <c r="SG58" s="196"/>
      <c r="SH58" s="196"/>
      <c r="SI58" s="199"/>
      <c r="SJ58" s="196"/>
      <c r="SK58" s="196"/>
      <c r="SL58" s="196"/>
      <c r="SM58" s="196"/>
      <c r="SN58" s="196"/>
      <c r="SO58" s="198"/>
      <c r="SP58" s="196"/>
      <c r="SQ58" s="196"/>
      <c r="SR58" s="196"/>
      <c r="SS58" s="196"/>
      <c r="ST58" s="196"/>
      <c r="SU58" s="199"/>
      <c r="SV58" s="196"/>
      <c r="SW58" s="196"/>
      <c r="SX58" s="196"/>
      <c r="SY58" s="196"/>
      <c r="SZ58" s="196"/>
      <c r="TA58" s="198"/>
      <c r="TB58" s="196"/>
      <c r="TC58" s="196"/>
      <c r="TD58" s="196"/>
      <c r="TE58" s="196"/>
      <c r="TF58" s="196"/>
      <c r="TG58" s="199"/>
      <c r="TH58" s="196"/>
      <c r="TI58" s="196"/>
      <c r="TJ58" s="196"/>
      <c r="TK58" s="196"/>
      <c r="TL58" s="196"/>
      <c r="TM58" s="198"/>
      <c r="TN58" s="196"/>
      <c r="TO58" s="196"/>
      <c r="TP58" s="196"/>
      <c r="TQ58" s="196"/>
      <c r="TR58" s="196"/>
      <c r="TS58" s="199"/>
      <c r="TT58" s="196"/>
      <c r="TU58" s="196"/>
      <c r="TV58" s="196"/>
      <c r="TW58" s="196"/>
      <c r="TX58" s="196"/>
      <c r="TY58" s="200"/>
      <c r="TZ58" s="195"/>
      <c r="UA58" s="196"/>
      <c r="UB58" s="196"/>
      <c r="UC58" s="196"/>
      <c r="UD58" s="196"/>
      <c r="UE58" s="197"/>
      <c r="UF58" s="196"/>
      <c r="UG58" s="196"/>
      <c r="UH58" s="196"/>
      <c r="UI58" s="196"/>
      <c r="UJ58" s="196"/>
      <c r="UK58" s="198"/>
      <c r="UL58" s="196"/>
      <c r="UM58" s="196"/>
      <c r="UN58" s="196"/>
      <c r="UO58" s="196"/>
      <c r="UP58" s="196"/>
      <c r="UQ58" s="199"/>
      <c r="UR58" s="196"/>
      <c r="US58" s="196"/>
      <c r="UT58" s="196"/>
      <c r="UU58" s="196"/>
      <c r="UV58" s="196"/>
      <c r="UW58" s="198"/>
      <c r="UX58" s="196"/>
      <c r="UY58" s="196"/>
      <c r="UZ58" s="196"/>
      <c r="VA58" s="196"/>
      <c r="VB58" s="196"/>
      <c r="VC58" s="199"/>
      <c r="VD58" s="196"/>
      <c r="VE58" s="196"/>
      <c r="VF58" s="196"/>
      <c r="VG58" s="196"/>
      <c r="VH58" s="196"/>
      <c r="VI58" s="198"/>
      <c r="VJ58" s="196"/>
      <c r="VK58" s="196"/>
      <c r="VL58" s="196"/>
      <c r="VM58" s="196"/>
      <c r="VN58" s="196"/>
      <c r="VO58" s="199"/>
      <c r="VP58" s="196"/>
      <c r="VQ58" s="196"/>
      <c r="VR58" s="196"/>
      <c r="VS58" s="196"/>
      <c r="VT58" s="196"/>
      <c r="VU58" s="198"/>
      <c r="VV58" s="196"/>
      <c r="VW58" s="196"/>
      <c r="VX58" s="196"/>
      <c r="VY58" s="196"/>
      <c r="VZ58" s="196"/>
      <c r="WA58" s="199"/>
      <c r="WB58" s="196"/>
      <c r="WC58" s="196"/>
      <c r="WD58" s="196"/>
      <c r="WE58" s="196"/>
      <c r="WF58" s="196"/>
      <c r="WG58" s="200"/>
      <c r="WH58" s="195"/>
      <c r="WI58" s="196"/>
      <c r="WJ58" s="196"/>
      <c r="WK58" s="196"/>
      <c r="WL58" s="196"/>
      <c r="WM58" s="197"/>
      <c r="WN58" s="196"/>
      <c r="WO58" s="196"/>
      <c r="WP58" s="196"/>
      <c r="WQ58" s="196"/>
      <c r="WR58" s="196"/>
      <c r="WS58" s="198"/>
      <c r="WT58" s="196"/>
      <c r="WU58" s="196"/>
      <c r="WV58" s="196"/>
      <c r="WW58" s="196"/>
      <c r="WX58" s="196"/>
      <c r="WY58" s="199"/>
      <c r="WZ58" s="196"/>
      <c r="XA58" s="196"/>
      <c r="XB58" s="196"/>
      <c r="XC58" s="196"/>
      <c r="XD58" s="196"/>
      <c r="XE58" s="198"/>
      <c r="XF58" s="196"/>
      <c r="XG58" s="196"/>
      <c r="XH58" s="196"/>
      <c r="XI58" s="196"/>
      <c r="XJ58" s="196"/>
      <c r="XK58" s="199"/>
      <c r="XL58" s="196"/>
      <c r="XM58" s="196"/>
      <c r="XN58" s="196"/>
      <c r="XO58" s="196"/>
      <c r="XP58" s="196"/>
      <c r="XQ58" s="198"/>
      <c r="XR58" s="196"/>
      <c r="XS58" s="196"/>
      <c r="XT58" s="196"/>
      <c r="XU58" s="196"/>
      <c r="XV58" s="196"/>
      <c r="XW58" s="199"/>
      <c r="XX58" s="196"/>
      <c r="XY58" s="196"/>
      <c r="XZ58" s="196"/>
      <c r="YA58" s="196"/>
      <c r="YB58" s="196"/>
      <c r="YC58" s="198"/>
      <c r="YD58" s="196"/>
      <c r="YE58" s="196"/>
      <c r="YF58" s="196"/>
      <c r="YG58" s="196"/>
      <c r="YH58" s="196"/>
      <c r="YI58" s="199"/>
      <c r="YJ58" s="196"/>
      <c r="YK58" s="196"/>
      <c r="YL58" s="196"/>
      <c r="YM58" s="196"/>
      <c r="YN58" s="196"/>
      <c r="YO58" s="200"/>
      <c r="YP58" s="195"/>
      <c r="YQ58" s="196"/>
      <c r="YR58" s="196"/>
      <c r="YS58" s="196"/>
      <c r="YT58" s="196"/>
      <c r="YU58" s="197"/>
      <c r="YV58" s="196"/>
      <c r="YW58" s="196"/>
      <c r="YX58" s="196"/>
      <c r="YY58" s="196"/>
      <c r="YZ58" s="196"/>
      <c r="ZA58" s="198"/>
      <c r="ZB58" s="196"/>
      <c r="ZC58" s="196"/>
      <c r="ZD58" s="196"/>
      <c r="ZE58" s="196"/>
      <c r="ZF58" s="196"/>
      <c r="ZG58" s="199"/>
      <c r="ZH58" s="196"/>
      <c r="ZI58" s="196"/>
      <c r="ZJ58" s="196"/>
      <c r="ZK58" s="196"/>
      <c r="ZL58" s="196"/>
      <c r="ZM58" s="198"/>
      <c r="ZN58" s="196"/>
      <c r="ZO58" s="196"/>
      <c r="ZP58" s="196"/>
      <c r="ZQ58" s="196"/>
      <c r="ZR58" s="196"/>
      <c r="ZS58" s="199"/>
      <c r="ZT58" s="196"/>
      <c r="ZU58" s="196"/>
      <c r="ZV58" s="196"/>
      <c r="ZW58" s="196"/>
      <c r="ZX58" s="196"/>
      <c r="ZY58" s="198"/>
      <c r="ZZ58" s="196"/>
      <c r="AAA58" s="196"/>
      <c r="AAB58" s="196"/>
      <c r="AAC58" s="196"/>
      <c r="AAD58" s="196"/>
      <c r="AAE58" s="199"/>
      <c r="AAF58" s="196"/>
      <c r="AAG58" s="196"/>
      <c r="AAH58" s="196"/>
      <c r="AAI58" s="196"/>
      <c r="AAJ58" s="196"/>
      <c r="AAK58" s="198"/>
      <c r="AAL58" s="196"/>
      <c r="AAM58" s="196"/>
      <c r="AAN58" s="196"/>
      <c r="AAO58" s="196"/>
      <c r="AAP58" s="196"/>
      <c r="AAQ58" s="199"/>
      <c r="AAR58" s="196"/>
      <c r="AAS58" s="196"/>
      <c r="AAT58" s="196"/>
      <c r="AAU58" s="196"/>
      <c r="AAV58" s="196"/>
      <c r="AAW58" s="200"/>
      <c r="AAX58" s="195"/>
      <c r="AAY58" s="196"/>
      <c r="AAZ58" s="196"/>
      <c r="ABA58" s="196"/>
      <c r="ABB58" s="196"/>
      <c r="ABC58" s="197"/>
      <c r="ABD58" s="196"/>
      <c r="ABE58" s="196"/>
      <c r="ABF58" s="196"/>
      <c r="ABG58" s="196"/>
      <c r="ABH58" s="196"/>
      <c r="ABI58" s="198"/>
      <c r="ABJ58" s="196"/>
      <c r="ABK58" s="196"/>
      <c r="ABL58" s="196"/>
      <c r="ABM58" s="196"/>
      <c r="ABN58" s="196"/>
      <c r="ABO58" s="199"/>
      <c r="ABP58" s="196"/>
      <c r="ABQ58" s="196"/>
      <c r="ABR58" s="196"/>
      <c r="ABS58" s="196"/>
      <c r="ABT58" s="196"/>
      <c r="ABU58" s="198"/>
      <c r="ABV58" s="196"/>
      <c r="ABW58" s="196"/>
      <c r="ABX58" s="196"/>
      <c r="ABY58" s="196"/>
      <c r="ABZ58" s="196"/>
      <c r="ACA58" s="199"/>
      <c r="ACB58" s="196"/>
      <c r="ACC58" s="196"/>
      <c r="ACD58" s="196"/>
      <c r="ACE58" s="196"/>
      <c r="ACF58" s="196"/>
      <c r="ACG58" s="198"/>
      <c r="ACH58" s="196"/>
      <c r="ACI58" s="196"/>
      <c r="ACJ58" s="196"/>
      <c r="ACK58" s="196"/>
      <c r="ACL58" s="196"/>
      <c r="ACM58" s="199"/>
      <c r="ACN58" s="196"/>
      <c r="ACO58" s="196"/>
      <c r="ACP58" s="196"/>
      <c r="ACQ58" s="196"/>
      <c r="ACR58" s="196"/>
      <c r="ACS58" s="198"/>
      <c r="ACT58" s="196"/>
      <c r="ACU58" s="196"/>
      <c r="ACV58" s="196"/>
      <c r="ACW58" s="196"/>
      <c r="ACX58" s="196"/>
      <c r="ACY58" s="199"/>
      <c r="ACZ58" s="196"/>
      <c r="ADA58" s="196"/>
      <c r="ADB58" s="196"/>
      <c r="ADC58" s="196"/>
      <c r="ADD58" s="196"/>
      <c r="ADE58" s="200"/>
      <c r="ADF58" s="195"/>
      <c r="ADG58" s="196"/>
      <c r="ADH58" s="196"/>
      <c r="ADI58" s="196"/>
      <c r="ADJ58" s="196"/>
      <c r="ADK58" s="197"/>
      <c r="ADL58" s="196"/>
      <c r="ADM58" s="196"/>
      <c r="ADN58" s="196"/>
      <c r="ADO58" s="196"/>
      <c r="ADP58" s="196"/>
      <c r="ADQ58" s="198"/>
      <c r="ADR58" s="196"/>
      <c r="ADS58" s="196"/>
      <c r="ADT58" s="196"/>
      <c r="ADU58" s="196"/>
      <c r="ADV58" s="196"/>
      <c r="ADW58" s="199"/>
      <c r="ADX58" s="196"/>
      <c r="ADY58" s="196"/>
      <c r="ADZ58" s="196"/>
      <c r="AEA58" s="196"/>
      <c r="AEB58" s="196"/>
      <c r="AEC58" s="198"/>
      <c r="AED58" s="196"/>
      <c r="AEE58" s="196"/>
      <c r="AEF58" s="196"/>
      <c r="AEG58" s="196"/>
      <c r="AEH58" s="196"/>
      <c r="AEI58" s="199"/>
      <c r="AEJ58" s="196"/>
      <c r="AEK58" s="196"/>
      <c r="AEL58" s="196"/>
      <c r="AEM58" s="196"/>
      <c r="AEN58" s="196"/>
      <c r="AEO58" s="198"/>
      <c r="AEP58" s="196"/>
      <c r="AEQ58" s="196"/>
      <c r="AER58" s="196"/>
      <c r="AES58" s="196"/>
      <c r="AET58" s="196"/>
      <c r="AEU58" s="199"/>
      <c r="AEV58" s="196"/>
      <c r="AEW58" s="196"/>
      <c r="AEX58" s="196"/>
      <c r="AEY58" s="196"/>
      <c r="AEZ58" s="196"/>
      <c r="AFA58" s="198"/>
      <c r="AFB58" s="196"/>
      <c r="AFC58" s="196"/>
      <c r="AFD58" s="196"/>
      <c r="AFE58" s="196"/>
      <c r="AFF58" s="196"/>
      <c r="AFG58" s="199"/>
      <c r="AFH58" s="196"/>
      <c r="AFI58" s="196"/>
      <c r="AFJ58" s="196"/>
      <c r="AFK58" s="196"/>
      <c r="AFL58" s="196"/>
      <c r="AFM58" s="200"/>
      <c r="AFN58" s="195"/>
      <c r="AFO58" s="196"/>
      <c r="AFP58" s="196"/>
      <c r="AFQ58" s="196"/>
      <c r="AFR58" s="196"/>
      <c r="AFS58" s="197"/>
      <c r="AFT58" s="196"/>
      <c r="AFU58" s="196"/>
      <c r="AFV58" s="196"/>
      <c r="AFW58" s="196"/>
      <c r="AFX58" s="196"/>
      <c r="AFY58" s="198"/>
      <c r="AFZ58" s="196"/>
      <c r="AGA58" s="196"/>
      <c r="AGB58" s="196"/>
      <c r="AGC58" s="196"/>
      <c r="AGD58" s="196"/>
      <c r="AGE58" s="199"/>
      <c r="AGF58" s="196"/>
      <c r="AGG58" s="196"/>
      <c r="AGH58" s="196"/>
      <c r="AGI58" s="196"/>
      <c r="AGJ58" s="196"/>
      <c r="AGK58" s="198"/>
      <c r="AGL58" s="196"/>
      <c r="AGM58" s="196"/>
      <c r="AGN58" s="196"/>
      <c r="AGO58" s="196"/>
      <c r="AGP58" s="196"/>
      <c r="AGQ58" s="199"/>
      <c r="AGR58" s="196"/>
      <c r="AGS58" s="196"/>
      <c r="AGT58" s="196"/>
      <c r="AGU58" s="196"/>
      <c r="AGV58" s="196"/>
      <c r="AGW58" s="198"/>
      <c r="AGX58" s="196"/>
      <c r="AGY58" s="196"/>
      <c r="AGZ58" s="196"/>
      <c r="AHA58" s="196"/>
      <c r="AHB58" s="196"/>
      <c r="AHC58" s="199"/>
      <c r="AHD58" s="196"/>
      <c r="AHE58" s="196"/>
      <c r="AHF58" s="196"/>
      <c r="AHG58" s="196"/>
      <c r="AHH58" s="196"/>
      <c r="AHI58" s="198"/>
      <c r="AHJ58" s="196"/>
      <c r="AHK58" s="196"/>
      <c r="AHL58" s="196"/>
      <c r="AHM58" s="196"/>
      <c r="AHN58" s="196"/>
      <c r="AHO58" s="199"/>
      <c r="AHP58" s="196"/>
      <c r="AHQ58" s="196"/>
      <c r="AHR58" s="196"/>
      <c r="AHS58" s="196"/>
      <c r="AHT58" s="196"/>
      <c r="AHU58" s="200"/>
      <c r="AHV58" s="195"/>
      <c r="AHW58" s="196"/>
      <c r="AHX58" s="196"/>
      <c r="AHY58" s="196"/>
      <c r="AHZ58" s="196"/>
      <c r="AIA58" s="197"/>
      <c r="AIB58" s="196"/>
      <c r="AIC58" s="196"/>
      <c r="AID58" s="196"/>
      <c r="AIE58" s="196"/>
      <c r="AIF58" s="196"/>
      <c r="AIG58" s="198"/>
      <c r="AIH58" s="196"/>
      <c r="AII58" s="196"/>
      <c r="AIJ58" s="196"/>
      <c r="AIK58" s="196"/>
      <c r="AIL58" s="196"/>
      <c r="AIM58" s="199"/>
      <c r="AIN58" s="196"/>
      <c r="AIO58" s="196"/>
      <c r="AIP58" s="196"/>
      <c r="AIQ58" s="196"/>
      <c r="AIR58" s="196"/>
      <c r="AIS58" s="198"/>
      <c r="AIT58" s="196"/>
      <c r="AIU58" s="196"/>
      <c r="AIV58" s="196"/>
      <c r="AIW58" s="196"/>
      <c r="AIX58" s="196"/>
      <c r="AIY58" s="199"/>
      <c r="AIZ58" s="196"/>
      <c r="AJA58" s="196"/>
      <c r="AJB58" s="196"/>
      <c r="AJC58" s="196"/>
      <c r="AJD58" s="196"/>
      <c r="AJE58" s="198"/>
      <c r="AJF58" s="196"/>
      <c r="AJG58" s="196"/>
      <c r="AJH58" s="196"/>
      <c r="AJI58" s="196"/>
      <c r="AJJ58" s="196"/>
      <c r="AJK58" s="199"/>
      <c r="AJL58" s="196"/>
      <c r="AJM58" s="196"/>
      <c r="AJN58" s="196"/>
      <c r="AJO58" s="196"/>
      <c r="AJP58" s="196"/>
      <c r="AJQ58" s="198"/>
      <c r="AJR58" s="196"/>
      <c r="AJS58" s="196"/>
      <c r="AJT58" s="196"/>
      <c r="AJU58" s="196"/>
      <c r="AJV58" s="196"/>
      <c r="AJW58" s="199"/>
      <c r="AJX58" s="196"/>
      <c r="AJY58" s="196"/>
      <c r="AJZ58" s="196"/>
      <c r="AKA58" s="196"/>
      <c r="AKB58" s="196"/>
      <c r="AKC58" s="200"/>
      <c r="AKD58" s="195"/>
      <c r="AKE58" s="196"/>
      <c r="AKF58" s="196"/>
      <c r="AKG58" s="196"/>
      <c r="AKH58" s="196"/>
      <c r="AKI58" s="197"/>
      <c r="AKJ58" s="196"/>
      <c r="AKK58" s="196"/>
      <c r="AKL58" s="196"/>
      <c r="AKM58" s="196"/>
      <c r="AKN58" s="196"/>
      <c r="AKO58" s="198"/>
      <c r="AKP58" s="196"/>
      <c r="AKQ58" s="196"/>
      <c r="AKR58" s="196"/>
      <c r="AKS58" s="196"/>
      <c r="AKT58" s="196"/>
      <c r="AKU58" s="199"/>
      <c r="AKV58" s="196"/>
      <c r="AKW58" s="196"/>
      <c r="AKX58" s="196"/>
      <c r="AKY58" s="196"/>
      <c r="AKZ58" s="196"/>
      <c r="ALA58" s="198"/>
      <c r="ALB58" s="196"/>
      <c r="ALC58" s="196"/>
      <c r="ALD58" s="196"/>
      <c r="ALE58" s="196"/>
      <c r="ALF58" s="196"/>
      <c r="ALG58" s="199"/>
      <c r="ALH58" s="196"/>
      <c r="ALI58" s="196"/>
      <c r="ALJ58" s="196"/>
      <c r="ALK58" s="196"/>
      <c r="ALL58" s="196"/>
      <c r="ALM58" s="198"/>
      <c r="ALN58" s="196"/>
      <c r="ALO58" s="196"/>
      <c r="ALP58" s="196"/>
      <c r="ALQ58" s="196"/>
      <c r="ALR58" s="196"/>
      <c r="ALS58" s="199"/>
      <c r="ALT58" s="196"/>
      <c r="ALU58" s="196"/>
      <c r="ALV58" s="196"/>
      <c r="ALW58" s="196"/>
      <c r="ALX58" s="196"/>
      <c r="ALY58" s="198"/>
      <c r="ALZ58" s="196"/>
      <c r="AMA58" s="196"/>
      <c r="AMB58" s="196"/>
      <c r="AMC58" s="196"/>
      <c r="AMD58" s="196"/>
      <c r="AME58" s="199"/>
      <c r="AMF58" s="196"/>
      <c r="AMG58" s="196"/>
      <c r="AMH58" s="196"/>
      <c r="AMI58" s="196"/>
      <c r="AMJ58" s="196"/>
      <c r="AMK58" s="200"/>
      <c r="AML58" s="195"/>
      <c r="AMM58" s="196"/>
      <c r="AMN58" s="196"/>
      <c r="AMO58" s="196"/>
      <c r="AMP58" s="196"/>
      <c r="AMQ58" s="197"/>
      <c r="AMR58" s="196"/>
      <c r="AMS58" s="196"/>
      <c r="AMT58" s="196"/>
      <c r="AMU58" s="196"/>
      <c r="AMV58" s="196"/>
      <c r="AMW58" s="198"/>
      <c r="AMX58" s="196"/>
      <c r="AMY58" s="196"/>
      <c r="AMZ58" s="196"/>
      <c r="ANA58" s="196"/>
      <c r="ANB58" s="196"/>
      <c r="ANC58" s="199"/>
      <c r="AND58" s="196"/>
      <c r="ANE58" s="196"/>
      <c r="ANF58" s="196"/>
      <c r="ANG58" s="196"/>
      <c r="ANH58" s="196"/>
      <c r="ANI58" s="198"/>
      <c r="ANJ58" s="196"/>
      <c r="ANK58" s="196"/>
      <c r="ANL58" s="196"/>
      <c r="ANM58" s="196"/>
      <c r="ANN58" s="196"/>
      <c r="ANO58" s="199"/>
      <c r="ANP58" s="196"/>
      <c r="ANQ58" s="196"/>
      <c r="ANR58" s="196"/>
      <c r="ANS58" s="196"/>
      <c r="ANT58" s="196"/>
      <c r="ANU58" s="198"/>
      <c r="ANV58" s="196"/>
      <c r="ANW58" s="196"/>
      <c r="ANX58" s="196"/>
      <c r="ANY58" s="196"/>
      <c r="ANZ58" s="196"/>
      <c r="AOA58" s="199"/>
      <c r="AOB58" s="196"/>
      <c r="AOC58" s="196"/>
      <c r="AOD58" s="196"/>
      <c r="AOE58" s="196"/>
      <c r="AOF58" s="196"/>
      <c r="AOG58" s="198"/>
      <c r="AOH58" s="196"/>
      <c r="AOI58" s="196"/>
      <c r="AOJ58" s="196"/>
      <c r="AOK58" s="196"/>
      <c r="AOL58" s="196"/>
      <c r="AOM58" s="199"/>
      <c r="AON58" s="196"/>
      <c r="AOO58" s="196"/>
      <c r="AOP58" s="196"/>
      <c r="AOQ58" s="196"/>
      <c r="AOR58" s="196"/>
      <c r="AOS58" s="200"/>
      <c r="AOT58" s="195"/>
      <c r="AOU58" s="196"/>
      <c r="AOV58" s="196"/>
      <c r="AOW58" s="196"/>
      <c r="AOX58" s="196"/>
      <c r="AOY58" s="197"/>
      <c r="AOZ58" s="196"/>
      <c r="APA58" s="196"/>
      <c r="APB58" s="196"/>
      <c r="APC58" s="196"/>
      <c r="APD58" s="196"/>
      <c r="APE58" s="198"/>
      <c r="APF58" s="196"/>
      <c r="APG58" s="196"/>
      <c r="APH58" s="196"/>
      <c r="API58" s="196"/>
      <c r="APJ58" s="196"/>
      <c r="APK58" s="199"/>
      <c r="APL58" s="196"/>
      <c r="APM58" s="196"/>
      <c r="APN58" s="196"/>
      <c r="APO58" s="196"/>
      <c r="APP58" s="196"/>
      <c r="APQ58" s="198"/>
      <c r="APR58" s="196"/>
      <c r="APS58" s="196"/>
      <c r="APT58" s="196"/>
      <c r="APU58" s="196"/>
      <c r="APV58" s="196"/>
      <c r="APW58" s="199"/>
      <c r="APX58" s="196"/>
      <c r="APY58" s="196"/>
      <c r="APZ58" s="196"/>
      <c r="AQA58" s="196"/>
      <c r="AQB58" s="196"/>
      <c r="AQC58" s="198"/>
      <c r="AQD58" s="196"/>
      <c r="AQE58" s="196"/>
      <c r="AQF58" s="196"/>
      <c r="AQG58" s="196"/>
      <c r="AQH58" s="196"/>
      <c r="AQI58" s="199"/>
      <c r="AQJ58" s="196"/>
      <c r="AQK58" s="196"/>
      <c r="AQL58" s="196"/>
      <c r="AQM58" s="196"/>
      <c r="AQN58" s="196"/>
      <c r="AQO58" s="198"/>
      <c r="AQP58" s="196"/>
      <c r="AQQ58" s="196"/>
      <c r="AQR58" s="196"/>
      <c r="AQS58" s="196"/>
      <c r="AQT58" s="196"/>
      <c r="AQU58" s="199"/>
      <c r="AQV58" s="196"/>
      <c r="AQW58" s="196"/>
      <c r="AQX58" s="196"/>
      <c r="AQY58" s="196"/>
      <c r="AQZ58" s="196"/>
      <c r="ARA58" s="200"/>
      <c r="ARB58" s="195"/>
      <c r="ARC58" s="196"/>
      <c r="ARD58" s="196"/>
      <c r="ARE58" s="196"/>
      <c r="ARF58" s="196"/>
      <c r="ARG58" s="197"/>
      <c r="ARH58" s="196"/>
      <c r="ARI58" s="196"/>
      <c r="ARJ58" s="196"/>
      <c r="ARK58" s="196"/>
      <c r="ARL58" s="196"/>
      <c r="ARM58" s="198"/>
      <c r="ARN58" s="196"/>
      <c r="ARO58" s="196"/>
      <c r="ARP58" s="196"/>
      <c r="ARQ58" s="196"/>
      <c r="ARR58" s="196"/>
      <c r="ARS58" s="199"/>
      <c r="ART58" s="196"/>
      <c r="ARU58" s="196"/>
      <c r="ARV58" s="196"/>
      <c r="ARW58" s="196"/>
      <c r="ARX58" s="196"/>
      <c r="ARY58" s="198"/>
      <c r="ARZ58" s="196"/>
      <c r="ASA58" s="196"/>
      <c r="ASB58" s="196"/>
      <c r="ASC58" s="196"/>
      <c r="ASD58" s="196"/>
      <c r="ASE58" s="199"/>
      <c r="ASF58" s="196"/>
      <c r="ASG58" s="196"/>
      <c r="ASH58" s="196"/>
      <c r="ASI58" s="196"/>
      <c r="ASJ58" s="196"/>
      <c r="ASK58" s="198"/>
      <c r="ASL58" s="196"/>
      <c r="ASM58" s="196"/>
      <c r="ASN58" s="196"/>
      <c r="ASO58" s="196"/>
      <c r="ASP58" s="196"/>
      <c r="ASQ58" s="199"/>
      <c r="ASR58" s="196"/>
      <c r="ASS58" s="196"/>
      <c r="AST58" s="196"/>
      <c r="ASU58" s="196"/>
      <c r="ASV58" s="196"/>
      <c r="ASW58" s="198"/>
      <c r="ASX58" s="196"/>
      <c r="ASY58" s="196"/>
      <c r="ASZ58" s="196"/>
      <c r="ATA58" s="196"/>
      <c r="ATB58" s="196"/>
      <c r="ATC58" s="199"/>
      <c r="ATD58" s="196"/>
      <c r="ATE58" s="196"/>
      <c r="ATF58" s="196"/>
      <c r="ATG58" s="196"/>
      <c r="ATH58" s="196"/>
      <c r="ATI58" s="200"/>
      <c r="ATJ58" s="195"/>
      <c r="ATK58" s="196"/>
      <c r="ATL58" s="196"/>
      <c r="ATM58" s="196"/>
      <c r="ATN58" s="196"/>
      <c r="ATO58" s="197"/>
      <c r="ATP58" s="196"/>
      <c r="ATQ58" s="196"/>
      <c r="ATR58" s="196"/>
      <c r="ATS58" s="196"/>
      <c r="ATT58" s="196"/>
      <c r="ATU58" s="198"/>
      <c r="ATV58" s="196"/>
      <c r="ATW58" s="196"/>
      <c r="ATX58" s="196"/>
      <c r="ATY58" s="196"/>
      <c r="ATZ58" s="196"/>
      <c r="AUA58" s="199"/>
      <c r="AUB58" s="196"/>
      <c r="AUC58" s="196"/>
      <c r="AUD58" s="196"/>
      <c r="AUE58" s="196"/>
      <c r="AUF58" s="196"/>
      <c r="AUG58" s="198"/>
      <c r="AUH58" s="196"/>
      <c r="AUI58" s="196"/>
      <c r="AUJ58" s="196"/>
      <c r="AUK58" s="196"/>
      <c r="AUL58" s="196"/>
      <c r="AUM58" s="199"/>
      <c r="AUN58" s="196"/>
      <c r="AUO58" s="196"/>
      <c r="AUP58" s="196"/>
      <c r="AUQ58" s="196"/>
      <c r="AUR58" s="196"/>
      <c r="AUS58" s="198"/>
      <c r="AUT58" s="196"/>
      <c r="AUU58" s="196"/>
      <c r="AUV58" s="196"/>
      <c r="AUW58" s="196"/>
      <c r="AUX58" s="196"/>
      <c r="AUY58" s="199"/>
      <c r="AUZ58" s="196"/>
      <c r="AVA58" s="196"/>
      <c r="AVB58" s="196"/>
      <c r="AVC58" s="196"/>
      <c r="AVD58" s="196"/>
      <c r="AVE58" s="198"/>
      <c r="AVF58" s="196"/>
      <c r="AVG58" s="196"/>
      <c r="AVH58" s="196"/>
      <c r="AVI58" s="196"/>
      <c r="AVJ58" s="196"/>
      <c r="AVK58" s="199"/>
      <c r="AVL58" s="196"/>
      <c r="AVM58" s="196"/>
      <c r="AVN58" s="196"/>
      <c r="AVO58" s="196"/>
      <c r="AVP58" s="196"/>
      <c r="AVQ58" s="200"/>
      <c r="AVR58" s="195"/>
      <c r="AVS58" s="196"/>
      <c r="AVT58" s="196"/>
      <c r="AVU58" s="196"/>
      <c r="AVV58" s="196"/>
      <c r="AVW58" s="197"/>
      <c r="AVX58" s="196"/>
      <c r="AVY58" s="196"/>
      <c r="AVZ58" s="196"/>
      <c r="AWA58" s="196"/>
      <c r="AWB58" s="196"/>
      <c r="AWC58" s="198"/>
      <c r="AWD58" s="196"/>
      <c r="AWE58" s="196"/>
      <c r="AWF58" s="196"/>
      <c r="AWG58" s="196"/>
      <c r="AWH58" s="196"/>
      <c r="AWI58" s="199"/>
      <c r="AWJ58" s="196"/>
      <c r="AWK58" s="196"/>
      <c r="AWL58" s="196"/>
      <c r="AWM58" s="196"/>
      <c r="AWN58" s="196"/>
      <c r="AWO58" s="198"/>
      <c r="AWP58" s="196"/>
      <c r="AWQ58" s="196"/>
      <c r="AWR58" s="196"/>
      <c r="AWS58" s="196"/>
      <c r="AWT58" s="196"/>
      <c r="AWU58" s="199"/>
      <c r="AWV58" s="196"/>
      <c r="AWW58" s="196"/>
      <c r="AWX58" s="196"/>
      <c r="AWY58" s="196"/>
      <c r="AWZ58" s="196"/>
      <c r="AXA58" s="198"/>
      <c r="AXB58" s="196"/>
      <c r="AXC58" s="196"/>
      <c r="AXD58" s="196"/>
      <c r="AXE58" s="196"/>
      <c r="AXF58" s="196"/>
      <c r="AXG58" s="199"/>
      <c r="AXH58" s="196"/>
      <c r="AXI58" s="196"/>
      <c r="AXJ58" s="196"/>
      <c r="AXK58" s="196"/>
      <c r="AXL58" s="196"/>
      <c r="AXM58" s="198"/>
      <c r="AXN58" s="196"/>
      <c r="AXO58" s="196"/>
      <c r="AXP58" s="196"/>
      <c r="AXQ58" s="196"/>
      <c r="AXR58" s="196"/>
      <c r="AXS58" s="199"/>
      <c r="AXT58" s="196"/>
      <c r="AXU58" s="196"/>
      <c r="AXV58" s="196"/>
      <c r="AXW58" s="196"/>
      <c r="AXX58" s="196"/>
      <c r="AXY58" s="200"/>
      <c r="AXZ58" s="195"/>
      <c r="AYA58" s="196"/>
      <c r="AYB58" s="196"/>
      <c r="AYC58" s="196"/>
      <c r="AYD58" s="196"/>
      <c r="AYE58" s="197"/>
      <c r="AYF58" s="196"/>
      <c r="AYG58" s="196"/>
      <c r="AYH58" s="196"/>
      <c r="AYI58" s="196"/>
      <c r="AYJ58" s="196"/>
      <c r="AYK58" s="198"/>
      <c r="AYL58" s="196"/>
      <c r="AYM58" s="196"/>
      <c r="AYN58" s="196"/>
      <c r="AYO58" s="196"/>
      <c r="AYP58" s="196"/>
      <c r="AYQ58" s="199"/>
      <c r="AYR58" s="196"/>
      <c r="AYS58" s="196"/>
      <c r="AYT58" s="196"/>
      <c r="AYU58" s="196"/>
      <c r="AYV58" s="196"/>
      <c r="AYW58" s="198"/>
      <c r="AYX58" s="196"/>
      <c r="AYY58" s="196"/>
      <c r="AYZ58" s="196"/>
      <c r="AZA58" s="196"/>
      <c r="AZB58" s="196"/>
      <c r="AZC58" s="199"/>
      <c r="AZD58" s="196"/>
      <c r="AZE58" s="196"/>
      <c r="AZF58" s="196"/>
      <c r="AZG58" s="196"/>
      <c r="AZH58" s="196"/>
      <c r="AZI58" s="198"/>
      <c r="AZJ58" s="196"/>
      <c r="AZK58" s="196"/>
      <c r="AZL58" s="196"/>
      <c r="AZM58" s="196"/>
      <c r="AZN58" s="196"/>
      <c r="AZO58" s="199"/>
      <c r="AZP58" s="196"/>
      <c r="AZQ58" s="196"/>
      <c r="AZR58" s="196"/>
      <c r="AZS58" s="196"/>
      <c r="AZT58" s="196"/>
      <c r="AZU58" s="198"/>
      <c r="AZV58" s="196"/>
      <c r="AZW58" s="196"/>
      <c r="AZX58" s="196"/>
      <c r="AZY58" s="196"/>
      <c r="AZZ58" s="196"/>
      <c r="BAA58" s="199"/>
      <c r="BAB58" s="196"/>
      <c r="BAC58" s="196"/>
      <c r="BAD58" s="196"/>
      <c r="BAE58" s="196"/>
      <c r="BAF58" s="196"/>
      <c r="BAG58" s="200"/>
      <c r="BAH58" s="195"/>
      <c r="BAI58" s="196"/>
      <c r="BAJ58" s="196"/>
      <c r="BAK58" s="196"/>
      <c r="BAL58" s="196"/>
      <c r="BAM58" s="197"/>
      <c r="BAN58" s="196"/>
      <c r="BAO58" s="196"/>
      <c r="BAP58" s="196"/>
      <c r="BAQ58" s="196"/>
      <c r="BAR58" s="196"/>
      <c r="BAS58" s="198"/>
      <c r="BAT58" s="196"/>
      <c r="BAU58" s="196"/>
      <c r="BAV58" s="196"/>
      <c r="BAW58" s="196"/>
      <c r="BAX58" s="196"/>
      <c r="BAY58" s="199"/>
      <c r="BAZ58" s="196"/>
      <c r="BBA58" s="196"/>
      <c r="BBB58" s="196"/>
      <c r="BBC58" s="196"/>
      <c r="BBD58" s="196"/>
      <c r="BBE58" s="198"/>
      <c r="BBF58" s="196"/>
      <c r="BBG58" s="196"/>
      <c r="BBH58" s="196"/>
      <c r="BBI58" s="196"/>
      <c r="BBJ58" s="196"/>
      <c r="BBK58" s="199"/>
      <c r="BBL58" s="196"/>
      <c r="BBM58" s="196"/>
      <c r="BBN58" s="196"/>
      <c r="BBO58" s="196"/>
      <c r="BBP58" s="196"/>
      <c r="BBQ58" s="198"/>
      <c r="BBR58" s="196"/>
      <c r="BBS58" s="196"/>
      <c r="BBT58" s="196"/>
      <c r="BBU58" s="196"/>
      <c r="BBV58" s="196"/>
      <c r="BBW58" s="199"/>
      <c r="BBX58" s="196"/>
      <c r="BBY58" s="196"/>
      <c r="BBZ58" s="196"/>
      <c r="BCA58" s="196"/>
      <c r="BCB58" s="196"/>
      <c r="BCC58" s="198"/>
      <c r="BCD58" s="196"/>
      <c r="BCE58" s="196"/>
      <c r="BCF58" s="196"/>
      <c r="BCG58" s="196"/>
      <c r="BCH58" s="196"/>
      <c r="BCI58" s="199"/>
      <c r="BCJ58" s="196"/>
      <c r="BCK58" s="196"/>
      <c r="BCL58" s="196"/>
      <c r="BCM58" s="196"/>
      <c r="BCN58" s="196"/>
      <c r="BCO58" s="200"/>
      <c r="BCP58" s="195"/>
      <c r="BCQ58" s="196"/>
      <c r="BCR58" s="196"/>
      <c r="BCS58" s="196"/>
      <c r="BCT58" s="196"/>
      <c r="BCU58" s="197"/>
      <c r="BCV58" s="196"/>
      <c r="BCW58" s="196"/>
      <c r="BCX58" s="196"/>
      <c r="BCY58" s="196"/>
      <c r="BCZ58" s="196"/>
      <c r="BDA58" s="198"/>
      <c r="BDB58" s="196"/>
      <c r="BDC58" s="196"/>
      <c r="BDD58" s="196"/>
      <c r="BDE58" s="196"/>
      <c r="BDF58" s="196"/>
      <c r="BDG58" s="199"/>
      <c r="BDH58" s="196"/>
      <c r="BDI58" s="196"/>
      <c r="BDJ58" s="196"/>
      <c r="BDK58" s="196"/>
      <c r="BDL58" s="196"/>
      <c r="BDM58" s="198"/>
      <c r="BDN58" s="196"/>
      <c r="BDO58" s="196"/>
      <c r="BDP58" s="196"/>
      <c r="BDQ58" s="196"/>
      <c r="BDR58" s="196"/>
      <c r="BDS58" s="199"/>
      <c r="BDT58" s="196"/>
      <c r="BDU58" s="196"/>
      <c r="BDV58" s="196"/>
      <c r="BDW58" s="196"/>
      <c r="BDX58" s="196"/>
      <c r="BDY58" s="198"/>
      <c r="BDZ58" s="196"/>
      <c r="BEA58" s="196"/>
      <c r="BEB58" s="196"/>
      <c r="BEC58" s="196"/>
      <c r="BED58" s="196"/>
      <c r="BEE58" s="199"/>
      <c r="BEF58" s="196"/>
      <c r="BEG58" s="196"/>
      <c r="BEH58" s="196"/>
      <c r="BEI58" s="196"/>
      <c r="BEJ58" s="196"/>
      <c r="BEK58" s="198"/>
      <c r="BEL58" s="196"/>
      <c r="BEM58" s="196"/>
      <c r="BEN58" s="196"/>
      <c r="BEO58" s="196"/>
      <c r="BEP58" s="196"/>
      <c r="BEQ58" s="199"/>
      <c r="BER58" s="196"/>
      <c r="BES58" s="196"/>
      <c r="BET58" s="196"/>
      <c r="BEU58" s="196"/>
      <c r="BEV58" s="196"/>
      <c r="BEW58" s="200"/>
      <c r="BEX58" s="195"/>
      <c r="BEY58" s="196"/>
      <c r="BEZ58" s="196"/>
      <c r="BFA58" s="196"/>
      <c r="BFB58" s="196"/>
      <c r="BFC58" s="197"/>
      <c r="BFD58" s="196"/>
      <c r="BFE58" s="196"/>
      <c r="BFF58" s="196"/>
      <c r="BFG58" s="196"/>
      <c r="BFH58" s="196"/>
      <c r="BFI58" s="198"/>
      <c r="BFJ58" s="196"/>
      <c r="BFK58" s="196"/>
      <c r="BFL58" s="196"/>
      <c r="BFM58" s="196"/>
      <c r="BFN58" s="196"/>
      <c r="BFO58" s="199"/>
      <c r="BFP58" s="196"/>
      <c r="BFQ58" s="196"/>
      <c r="BFR58" s="196"/>
      <c r="BFS58" s="196"/>
      <c r="BFT58" s="196"/>
      <c r="BFU58" s="198"/>
      <c r="BFV58" s="196"/>
      <c r="BFW58" s="196"/>
      <c r="BFX58" s="196"/>
      <c r="BFY58" s="196"/>
      <c r="BFZ58" s="196"/>
      <c r="BGA58" s="199"/>
      <c r="BGB58" s="196"/>
      <c r="BGC58" s="196"/>
      <c r="BGD58" s="196"/>
      <c r="BGE58" s="196"/>
      <c r="BGF58" s="196"/>
      <c r="BGG58" s="198"/>
      <c r="BGH58" s="196"/>
      <c r="BGI58" s="196"/>
      <c r="BGJ58" s="196"/>
      <c r="BGK58" s="196"/>
      <c r="BGL58" s="196"/>
      <c r="BGM58" s="199"/>
      <c r="BGN58" s="196"/>
      <c r="BGO58" s="196"/>
      <c r="BGP58" s="196"/>
      <c r="BGQ58" s="196"/>
      <c r="BGR58" s="196"/>
      <c r="BGS58" s="198"/>
      <c r="BGT58" s="196"/>
      <c r="BGU58" s="196"/>
      <c r="BGV58" s="196"/>
      <c r="BGW58" s="196"/>
      <c r="BGX58" s="196"/>
      <c r="BGY58" s="199"/>
      <c r="BGZ58" s="196"/>
      <c r="BHA58" s="196"/>
      <c r="BHB58" s="196"/>
      <c r="BHC58" s="196"/>
      <c r="BHD58" s="196"/>
      <c r="BHE58" s="200"/>
      <c r="BHF58" s="187"/>
      <c r="BHG58" s="188"/>
      <c r="BHH58" s="188"/>
      <c r="BHI58" s="188"/>
      <c r="BHJ58" s="188"/>
      <c r="BHK58" s="188"/>
      <c r="BHL58" s="188"/>
      <c r="BHM58" s="188"/>
      <c r="BHN58" s="188"/>
      <c r="BHO58" s="188"/>
      <c r="BHP58" s="188"/>
      <c r="BHQ58" s="188"/>
      <c r="BHR58" s="188"/>
      <c r="BHS58" s="188"/>
      <c r="BHT58" s="188"/>
      <c r="BHU58" s="188"/>
      <c r="BHV58" s="188"/>
      <c r="BHW58" s="188"/>
      <c r="BHX58" s="188"/>
      <c r="BHY58" s="188"/>
      <c r="BHZ58" s="188"/>
      <c r="BIA58" s="188"/>
      <c r="BIB58" s="188"/>
      <c r="BIC58" s="188"/>
      <c r="BID58" s="188"/>
      <c r="BIE58" s="188"/>
      <c r="BIF58" s="188"/>
      <c r="BIG58" s="188"/>
      <c r="BIH58" s="188"/>
      <c r="BII58" s="188"/>
      <c r="BIJ58" s="188"/>
      <c r="BIK58" s="188"/>
      <c r="BIL58" s="188"/>
      <c r="BIM58" s="188"/>
      <c r="BIN58" s="188"/>
      <c r="BIO58" s="188"/>
      <c r="BIP58" s="188"/>
    </row>
    <row r="59" spans="1:1602" ht="20.100000000000001" customHeight="1" x14ac:dyDescent="0.25">
      <c r="A59" s="78" t="s">
        <v>49</v>
      </c>
      <c r="B59" s="51"/>
      <c r="C59" s="230" t="s">
        <v>55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71"/>
      <c r="BAI59" s="172"/>
      <c r="BAJ59" s="172"/>
      <c r="BAK59" s="172"/>
      <c r="BAL59" s="172"/>
      <c r="BAM59" s="173"/>
      <c r="BAN59" s="172"/>
      <c r="BAO59" s="172"/>
      <c r="BAP59" s="172"/>
      <c r="BAQ59" s="172"/>
      <c r="BAR59" s="172"/>
      <c r="BAS59" s="174"/>
      <c r="BAT59" s="172"/>
      <c r="BAU59" s="172"/>
      <c r="BAV59" s="172"/>
      <c r="BAW59" s="172"/>
      <c r="BAX59" s="172"/>
      <c r="BAY59" s="175"/>
      <c r="BAZ59" s="172"/>
      <c r="BBA59" s="172"/>
      <c r="BBB59" s="172"/>
      <c r="BBC59" s="172"/>
      <c r="BBD59" s="172"/>
      <c r="BBE59" s="174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71"/>
      <c r="BCQ59" s="172"/>
      <c r="BCR59" s="172"/>
      <c r="BCS59" s="172"/>
      <c r="BCT59" s="172"/>
      <c r="BCU59" s="173"/>
      <c r="BCV59" s="172"/>
      <c r="BCW59" s="172"/>
      <c r="BCX59" s="172"/>
      <c r="BCY59" s="172"/>
      <c r="BCZ59" s="172"/>
      <c r="BDA59" s="174"/>
      <c r="BDB59" s="172"/>
      <c r="BDC59" s="172"/>
      <c r="BDD59" s="172"/>
      <c r="BDE59" s="172"/>
      <c r="BDF59" s="172"/>
      <c r="BDG59" s="175"/>
      <c r="BDH59" s="172"/>
      <c r="BDI59" s="172"/>
      <c r="BDJ59" s="172"/>
      <c r="BDK59" s="172"/>
      <c r="BDL59" s="172"/>
      <c r="BDM59" s="174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87"/>
      <c r="BHG59" s="188"/>
      <c r="BHH59" s="188"/>
      <c r="BHI59" s="188"/>
      <c r="BHJ59" s="188"/>
      <c r="BHK59" s="188"/>
      <c r="BHL59" s="188"/>
      <c r="BHM59" s="188"/>
      <c r="BHN59" s="188"/>
      <c r="BHO59" s="188"/>
      <c r="BHP59" s="188"/>
      <c r="BHQ59" s="188"/>
      <c r="BHR59" s="188"/>
      <c r="BHS59" s="188"/>
      <c r="BHT59" s="188"/>
      <c r="BHU59" s="188"/>
      <c r="BHV59" s="188"/>
      <c r="BHW59" s="188"/>
      <c r="BHX59" s="188"/>
      <c r="BHY59" s="188"/>
      <c r="BHZ59" s="188"/>
      <c r="BIA59" s="188"/>
      <c r="BIB59" s="188"/>
      <c r="BIC59" s="188"/>
      <c r="BID59" s="188"/>
      <c r="BIE59" s="188"/>
      <c r="BIF59" s="188"/>
      <c r="BIG59" s="188"/>
      <c r="BIH59" s="188"/>
      <c r="BII59" s="188"/>
      <c r="BIJ59" s="188"/>
      <c r="BIK59" s="188"/>
      <c r="BIL59" s="188"/>
      <c r="BIM59" s="188"/>
      <c r="BIN59" s="188"/>
      <c r="BIO59" s="188"/>
      <c r="BIP59" s="188"/>
    </row>
    <row r="60" spans="1:1602" ht="20.100000000000001" customHeight="1" x14ac:dyDescent="0.3">
      <c r="A60" s="78" t="s">
        <v>50</v>
      </c>
      <c r="B60" s="51"/>
      <c r="C60" s="236"/>
      <c r="D60" s="121" t="str">
        <f t="shared" si="0"/>
        <v/>
      </c>
      <c r="E60" s="30">
        <v>0</v>
      </c>
      <c r="F60" s="189"/>
      <c r="G60" s="190"/>
      <c r="H60" s="190"/>
      <c r="I60" s="190"/>
      <c r="J60" s="190"/>
      <c r="K60" s="191"/>
      <c r="L60" s="190"/>
      <c r="M60" s="190"/>
      <c r="N60" s="190"/>
      <c r="O60" s="190"/>
      <c r="P60" s="190"/>
      <c r="Q60" s="192"/>
      <c r="R60" s="190"/>
      <c r="S60" s="190"/>
      <c r="T60" s="190"/>
      <c r="U60" s="190"/>
      <c r="V60" s="190"/>
      <c r="W60" s="193"/>
      <c r="X60" s="190"/>
      <c r="Y60" s="190"/>
      <c r="Z60" s="190"/>
      <c r="AA60" s="190"/>
      <c r="AB60" s="190"/>
      <c r="AC60" s="192"/>
      <c r="AD60" s="190"/>
      <c r="AE60" s="190"/>
      <c r="AF60" s="190"/>
      <c r="AG60" s="190"/>
      <c r="AH60" s="190"/>
      <c r="AI60" s="193"/>
      <c r="AJ60" s="190"/>
      <c r="AK60" s="190"/>
      <c r="AL60" s="190"/>
      <c r="AM60" s="190"/>
      <c r="AN60" s="190"/>
      <c r="AO60" s="192"/>
      <c r="AP60" s="190"/>
      <c r="AQ60" s="190"/>
      <c r="AR60" s="190"/>
      <c r="AS60" s="190"/>
      <c r="AT60" s="190"/>
      <c r="AU60" s="193"/>
      <c r="AV60" s="190"/>
      <c r="AW60" s="190"/>
      <c r="AX60" s="190"/>
      <c r="AY60" s="190"/>
      <c r="AZ60" s="190"/>
      <c r="BA60" s="192"/>
      <c r="BB60" s="190"/>
      <c r="BC60" s="190"/>
      <c r="BD60" s="190"/>
      <c r="BE60" s="190"/>
      <c r="BF60" s="190"/>
      <c r="BG60" s="193"/>
      <c r="BH60" s="190"/>
      <c r="BI60" s="190"/>
      <c r="BJ60" s="190"/>
      <c r="BK60" s="190"/>
      <c r="BL60" s="190"/>
      <c r="BM60" s="194"/>
      <c r="BN60" s="189"/>
      <c r="BO60" s="190"/>
      <c r="BP60" s="190"/>
      <c r="BQ60" s="190"/>
      <c r="BR60" s="190"/>
      <c r="BS60" s="191"/>
      <c r="BT60" s="190"/>
      <c r="BU60" s="190"/>
      <c r="BV60" s="190"/>
      <c r="BW60" s="190"/>
      <c r="BX60" s="190"/>
      <c r="BY60" s="192"/>
      <c r="BZ60" s="190"/>
      <c r="CA60" s="190"/>
      <c r="CB60" s="190"/>
      <c r="CC60" s="190"/>
      <c r="CD60" s="190"/>
      <c r="CE60" s="193"/>
      <c r="CF60" s="190"/>
      <c r="CG60" s="190"/>
      <c r="CH60" s="190"/>
      <c r="CI60" s="190"/>
      <c r="CJ60" s="190"/>
      <c r="CK60" s="192"/>
      <c r="CL60" s="190"/>
      <c r="CM60" s="190"/>
      <c r="CN60" s="190"/>
      <c r="CO60" s="190"/>
      <c r="CP60" s="190"/>
      <c r="CQ60" s="193"/>
      <c r="CR60" s="190"/>
      <c r="CS60" s="190"/>
      <c r="CT60" s="190"/>
      <c r="CU60" s="190"/>
      <c r="CV60" s="190"/>
      <c r="CW60" s="192"/>
      <c r="CX60" s="190"/>
      <c r="CY60" s="190"/>
      <c r="CZ60" s="190"/>
      <c r="DA60" s="190"/>
      <c r="DB60" s="190"/>
      <c r="DC60" s="193"/>
      <c r="DD60" s="190"/>
      <c r="DE60" s="190"/>
      <c r="DF60" s="190"/>
      <c r="DG60" s="190"/>
      <c r="DH60" s="190"/>
      <c r="DI60" s="192"/>
      <c r="DJ60" s="190"/>
      <c r="DK60" s="190"/>
      <c r="DL60" s="190"/>
      <c r="DM60" s="190"/>
      <c r="DN60" s="190"/>
      <c r="DO60" s="193"/>
      <c r="DP60" s="190"/>
      <c r="DQ60" s="190"/>
      <c r="DR60" s="190"/>
      <c r="DS60" s="190"/>
      <c r="DT60" s="190"/>
      <c r="DU60" s="194"/>
      <c r="DV60" s="189"/>
      <c r="DW60" s="190"/>
      <c r="DX60" s="190"/>
      <c r="DY60" s="190"/>
      <c r="DZ60" s="190"/>
      <c r="EA60" s="191"/>
      <c r="EB60" s="190"/>
      <c r="EC60" s="190"/>
      <c r="ED60" s="190"/>
      <c r="EE60" s="190"/>
      <c r="EF60" s="190"/>
      <c r="EG60" s="192"/>
      <c r="EH60" s="190"/>
      <c r="EI60" s="190"/>
      <c r="EJ60" s="190"/>
      <c r="EK60" s="190"/>
      <c r="EL60" s="190"/>
      <c r="EM60" s="193"/>
      <c r="EN60" s="190"/>
      <c r="EO60" s="190"/>
      <c r="EP60" s="190"/>
      <c r="EQ60" s="190"/>
      <c r="ER60" s="190"/>
      <c r="ES60" s="192"/>
      <c r="ET60" s="190"/>
      <c r="EU60" s="190"/>
      <c r="EV60" s="190"/>
      <c r="EW60" s="190"/>
      <c r="EX60" s="190"/>
      <c r="EY60" s="193"/>
      <c r="EZ60" s="190"/>
      <c r="FA60" s="190"/>
      <c r="FB60" s="190"/>
      <c r="FC60" s="190"/>
      <c r="FD60" s="190"/>
      <c r="FE60" s="192"/>
      <c r="FF60" s="190"/>
      <c r="FG60" s="190"/>
      <c r="FH60" s="190"/>
      <c r="FI60" s="190"/>
      <c r="FJ60" s="190"/>
      <c r="FK60" s="193"/>
      <c r="FL60" s="190"/>
      <c r="FM60" s="190"/>
      <c r="FN60" s="190"/>
      <c r="FO60" s="190"/>
      <c r="FP60" s="190"/>
      <c r="FQ60" s="192"/>
      <c r="FR60" s="190"/>
      <c r="FS60" s="190"/>
      <c r="FT60" s="190"/>
      <c r="FU60" s="190"/>
      <c r="FV60" s="190"/>
      <c r="FW60" s="193"/>
      <c r="FX60" s="190"/>
      <c r="FY60" s="190"/>
      <c r="FZ60" s="190"/>
      <c r="GA60" s="190"/>
      <c r="GB60" s="190"/>
      <c r="GC60" s="194"/>
      <c r="GD60" s="189"/>
      <c r="GE60" s="190"/>
      <c r="GF60" s="190"/>
      <c r="GG60" s="190"/>
      <c r="GH60" s="190"/>
      <c r="GI60" s="191"/>
      <c r="GJ60" s="190"/>
      <c r="GK60" s="190"/>
      <c r="GL60" s="190"/>
      <c r="GM60" s="190"/>
      <c r="GN60" s="190"/>
      <c r="GO60" s="192"/>
      <c r="GP60" s="190"/>
      <c r="GQ60" s="190"/>
      <c r="GR60" s="190"/>
      <c r="GS60" s="190"/>
      <c r="GT60" s="190"/>
      <c r="GU60" s="193"/>
      <c r="GV60" s="190"/>
      <c r="GW60" s="190"/>
      <c r="GX60" s="190"/>
      <c r="GY60" s="190"/>
      <c r="GZ60" s="190"/>
      <c r="HA60" s="192"/>
      <c r="HB60" s="190"/>
      <c r="HC60" s="190"/>
      <c r="HD60" s="190"/>
      <c r="HE60" s="190"/>
      <c r="HF60" s="190"/>
      <c r="HG60" s="193"/>
      <c r="HH60" s="190"/>
      <c r="HI60" s="190"/>
      <c r="HJ60" s="190"/>
      <c r="HK60" s="190"/>
      <c r="HL60" s="190"/>
      <c r="HM60" s="192"/>
      <c r="HN60" s="190"/>
      <c r="HO60" s="190"/>
      <c r="HP60" s="190"/>
      <c r="HQ60" s="190"/>
      <c r="HR60" s="190"/>
      <c r="HS60" s="193"/>
      <c r="HT60" s="190"/>
      <c r="HU60" s="190"/>
      <c r="HV60" s="190"/>
      <c r="HW60" s="190"/>
      <c r="HX60" s="190"/>
      <c r="HY60" s="192"/>
      <c r="HZ60" s="190"/>
      <c r="IA60" s="190"/>
      <c r="IB60" s="190"/>
      <c r="IC60" s="190"/>
      <c r="ID60" s="190"/>
      <c r="IE60" s="193"/>
      <c r="IF60" s="190"/>
      <c r="IG60" s="190"/>
      <c r="IH60" s="190"/>
      <c r="II60" s="190"/>
      <c r="IJ60" s="190"/>
      <c r="IK60" s="194"/>
      <c r="IL60" s="189"/>
      <c r="IM60" s="190"/>
      <c r="IN60" s="190"/>
      <c r="IO60" s="190"/>
      <c r="IP60" s="190"/>
      <c r="IQ60" s="191"/>
      <c r="IR60" s="190"/>
      <c r="IS60" s="190"/>
      <c r="IT60" s="190"/>
      <c r="IU60" s="190"/>
      <c r="IV60" s="190"/>
      <c r="IW60" s="192"/>
      <c r="IX60" s="190"/>
      <c r="IY60" s="190"/>
      <c r="IZ60" s="190"/>
      <c r="JA60" s="190"/>
      <c r="JB60" s="190"/>
      <c r="JC60" s="193"/>
      <c r="JD60" s="190"/>
      <c r="JE60" s="190"/>
      <c r="JF60" s="190"/>
      <c r="JG60" s="190"/>
      <c r="JH60" s="190"/>
      <c r="JI60" s="192"/>
      <c r="JJ60" s="190"/>
      <c r="JK60" s="190"/>
      <c r="JL60" s="190"/>
      <c r="JM60" s="190"/>
      <c r="JN60" s="190"/>
      <c r="JO60" s="193"/>
      <c r="JP60" s="190"/>
      <c r="JQ60" s="190"/>
      <c r="JR60" s="190"/>
      <c r="JS60" s="190"/>
      <c r="JT60" s="190"/>
      <c r="JU60" s="192"/>
      <c r="JV60" s="190"/>
      <c r="JW60" s="190"/>
      <c r="JX60" s="190"/>
      <c r="JY60" s="190"/>
      <c r="JZ60" s="190"/>
      <c r="KA60" s="193"/>
      <c r="KB60" s="190"/>
      <c r="KC60" s="190"/>
      <c r="KD60" s="190"/>
      <c r="KE60" s="190"/>
      <c r="KF60" s="190"/>
      <c r="KG60" s="192"/>
      <c r="KH60" s="190"/>
      <c r="KI60" s="190"/>
      <c r="KJ60" s="190"/>
      <c r="KK60" s="190"/>
      <c r="KL60" s="190"/>
      <c r="KM60" s="193"/>
      <c r="KN60" s="190"/>
      <c r="KO60" s="190"/>
      <c r="KP60" s="190"/>
      <c r="KQ60" s="190"/>
      <c r="KR60" s="190"/>
      <c r="KS60" s="194"/>
      <c r="KT60" s="189"/>
      <c r="KU60" s="190"/>
      <c r="KV60" s="190"/>
      <c r="KW60" s="190"/>
      <c r="KX60" s="190"/>
      <c r="KY60" s="191"/>
      <c r="KZ60" s="190"/>
      <c r="LA60" s="190"/>
      <c r="LB60" s="190"/>
      <c r="LC60" s="190"/>
      <c r="LD60" s="190"/>
      <c r="LE60" s="192"/>
      <c r="LF60" s="190"/>
      <c r="LG60" s="190"/>
      <c r="LH60" s="190"/>
      <c r="LI60" s="190"/>
      <c r="LJ60" s="190"/>
      <c r="LK60" s="193"/>
      <c r="LL60" s="190"/>
      <c r="LM60" s="190"/>
      <c r="LN60" s="190"/>
      <c r="LO60" s="190"/>
      <c r="LP60" s="190"/>
      <c r="LQ60" s="192"/>
      <c r="LR60" s="190"/>
      <c r="LS60" s="190"/>
      <c r="LT60" s="190"/>
      <c r="LU60" s="190"/>
      <c r="LV60" s="190"/>
      <c r="LW60" s="193"/>
      <c r="LX60" s="190"/>
      <c r="LY60" s="190"/>
      <c r="LZ60" s="190"/>
      <c r="MA60" s="190"/>
      <c r="MB60" s="190"/>
      <c r="MC60" s="192"/>
      <c r="MD60" s="190"/>
      <c r="ME60" s="190"/>
      <c r="MF60" s="190"/>
      <c r="MG60" s="190"/>
      <c r="MH60" s="190"/>
      <c r="MI60" s="193"/>
      <c r="MJ60" s="190"/>
      <c r="MK60" s="190"/>
      <c r="ML60" s="190"/>
      <c r="MM60" s="190"/>
      <c r="MN60" s="190"/>
      <c r="MO60" s="192"/>
      <c r="MP60" s="190"/>
      <c r="MQ60" s="190"/>
      <c r="MR60" s="190"/>
      <c r="MS60" s="190"/>
      <c r="MT60" s="190"/>
      <c r="MU60" s="193"/>
      <c r="MV60" s="190"/>
      <c r="MW60" s="190"/>
      <c r="MX60" s="190"/>
      <c r="MY60" s="190"/>
      <c r="MZ60" s="190"/>
      <c r="NA60" s="194"/>
      <c r="NB60" s="189"/>
      <c r="NC60" s="190"/>
      <c r="ND60" s="190"/>
      <c r="NE60" s="190"/>
      <c r="NF60" s="190"/>
      <c r="NG60" s="191"/>
      <c r="NH60" s="190"/>
      <c r="NI60" s="190"/>
      <c r="NJ60" s="190"/>
      <c r="NK60" s="190"/>
      <c r="NL60" s="190"/>
      <c r="NM60" s="192"/>
      <c r="NN60" s="190"/>
      <c r="NO60" s="190"/>
      <c r="NP60" s="190"/>
      <c r="NQ60" s="190"/>
      <c r="NR60" s="190"/>
      <c r="NS60" s="193"/>
      <c r="NT60" s="190"/>
      <c r="NU60" s="190"/>
      <c r="NV60" s="190"/>
      <c r="NW60" s="190"/>
      <c r="NX60" s="190"/>
      <c r="NY60" s="192"/>
      <c r="NZ60" s="190"/>
      <c r="OA60" s="190"/>
      <c r="OB60" s="190"/>
      <c r="OC60" s="190"/>
      <c r="OD60" s="190"/>
      <c r="OE60" s="193"/>
      <c r="OF60" s="190"/>
      <c r="OG60" s="190"/>
      <c r="OH60" s="190"/>
      <c r="OI60" s="190"/>
      <c r="OJ60" s="190"/>
      <c r="OK60" s="192"/>
      <c r="OL60" s="190"/>
      <c r="OM60" s="190"/>
      <c r="ON60" s="190"/>
      <c r="OO60" s="190"/>
      <c r="OP60" s="190"/>
      <c r="OQ60" s="193"/>
      <c r="OR60" s="190"/>
      <c r="OS60" s="190"/>
      <c r="OT60" s="190"/>
      <c r="OU60" s="190"/>
      <c r="OV60" s="190"/>
      <c r="OW60" s="192"/>
      <c r="OX60" s="190"/>
      <c r="OY60" s="190"/>
      <c r="OZ60" s="190"/>
      <c r="PA60" s="190"/>
      <c r="PB60" s="190"/>
      <c r="PC60" s="193"/>
      <c r="PD60" s="190"/>
      <c r="PE60" s="190"/>
      <c r="PF60" s="190"/>
      <c r="PG60" s="190"/>
      <c r="PH60" s="190"/>
      <c r="PI60" s="194"/>
      <c r="PJ60" s="189"/>
      <c r="PK60" s="190"/>
      <c r="PL60" s="190"/>
      <c r="PM60" s="190"/>
      <c r="PN60" s="190"/>
      <c r="PO60" s="191"/>
      <c r="PP60" s="190"/>
      <c r="PQ60" s="190"/>
      <c r="PR60" s="190"/>
      <c r="PS60" s="190"/>
      <c r="PT60" s="190"/>
      <c r="PU60" s="192"/>
      <c r="PV60" s="190"/>
      <c r="PW60" s="190"/>
      <c r="PX60" s="190"/>
      <c r="PY60" s="190"/>
      <c r="PZ60" s="190"/>
      <c r="QA60" s="193"/>
      <c r="QB60" s="190"/>
      <c r="QC60" s="190"/>
      <c r="QD60" s="190"/>
      <c r="QE60" s="190"/>
      <c r="QF60" s="190"/>
      <c r="QG60" s="192"/>
      <c r="QH60" s="190"/>
      <c r="QI60" s="190"/>
      <c r="QJ60" s="190"/>
      <c r="QK60" s="190"/>
      <c r="QL60" s="190"/>
      <c r="QM60" s="193"/>
      <c r="QN60" s="190"/>
      <c r="QO60" s="190"/>
      <c r="QP60" s="190"/>
      <c r="QQ60" s="190"/>
      <c r="QR60" s="190"/>
      <c r="QS60" s="192"/>
      <c r="QT60" s="190"/>
      <c r="QU60" s="190"/>
      <c r="QV60" s="190"/>
      <c r="QW60" s="190"/>
      <c r="QX60" s="190"/>
      <c r="QY60" s="193"/>
      <c r="QZ60" s="190"/>
      <c r="RA60" s="190"/>
      <c r="RB60" s="190"/>
      <c r="RC60" s="190"/>
      <c r="RD60" s="190"/>
      <c r="RE60" s="192"/>
      <c r="RF60" s="190"/>
      <c r="RG60" s="190"/>
      <c r="RH60" s="190"/>
      <c r="RI60" s="190"/>
      <c r="RJ60" s="190"/>
      <c r="RK60" s="193"/>
      <c r="RL60" s="190"/>
      <c r="RM60" s="190"/>
      <c r="RN60" s="190"/>
      <c r="RO60" s="190"/>
      <c r="RP60" s="190"/>
      <c r="RQ60" s="194"/>
      <c r="RR60" s="189"/>
      <c r="RS60" s="190"/>
      <c r="RT60" s="190"/>
      <c r="RU60" s="190"/>
      <c r="RV60" s="190"/>
      <c r="RW60" s="191"/>
      <c r="RX60" s="190"/>
      <c r="RY60" s="190"/>
      <c r="RZ60" s="190"/>
      <c r="SA60" s="190"/>
      <c r="SB60" s="190"/>
      <c r="SC60" s="192"/>
      <c r="SD60" s="190"/>
      <c r="SE60" s="190"/>
      <c r="SF60" s="190"/>
      <c r="SG60" s="190"/>
      <c r="SH60" s="190"/>
      <c r="SI60" s="193"/>
      <c r="SJ60" s="190"/>
      <c r="SK60" s="190"/>
      <c r="SL60" s="190"/>
      <c r="SM60" s="190"/>
      <c r="SN60" s="190"/>
      <c r="SO60" s="192"/>
      <c r="SP60" s="190"/>
      <c r="SQ60" s="190"/>
      <c r="SR60" s="190"/>
      <c r="SS60" s="190"/>
      <c r="ST60" s="190"/>
      <c r="SU60" s="193"/>
      <c r="SV60" s="190"/>
      <c r="SW60" s="190"/>
      <c r="SX60" s="190"/>
      <c r="SY60" s="190"/>
      <c r="SZ60" s="190"/>
      <c r="TA60" s="192"/>
      <c r="TB60" s="190"/>
      <c r="TC60" s="190"/>
      <c r="TD60" s="190"/>
      <c r="TE60" s="190"/>
      <c r="TF60" s="190"/>
      <c r="TG60" s="193"/>
      <c r="TH60" s="190"/>
      <c r="TI60" s="190"/>
      <c r="TJ60" s="190"/>
      <c r="TK60" s="190"/>
      <c r="TL60" s="190"/>
      <c r="TM60" s="192"/>
      <c r="TN60" s="190"/>
      <c r="TO60" s="190"/>
      <c r="TP60" s="190"/>
      <c r="TQ60" s="190"/>
      <c r="TR60" s="190"/>
      <c r="TS60" s="193"/>
      <c r="TT60" s="190"/>
      <c r="TU60" s="190"/>
      <c r="TV60" s="190"/>
      <c r="TW60" s="190"/>
      <c r="TX60" s="190"/>
      <c r="TY60" s="194"/>
      <c r="TZ60" s="189"/>
      <c r="UA60" s="190"/>
      <c r="UB60" s="190"/>
      <c r="UC60" s="190"/>
      <c r="UD60" s="190"/>
      <c r="UE60" s="191"/>
      <c r="UF60" s="190"/>
      <c r="UG60" s="190"/>
      <c r="UH60" s="190"/>
      <c r="UI60" s="190"/>
      <c r="UJ60" s="190"/>
      <c r="UK60" s="192"/>
      <c r="UL60" s="190"/>
      <c r="UM60" s="190"/>
      <c r="UN60" s="190"/>
      <c r="UO60" s="190"/>
      <c r="UP60" s="190"/>
      <c r="UQ60" s="193"/>
      <c r="UR60" s="190"/>
      <c r="US60" s="190"/>
      <c r="UT60" s="190"/>
      <c r="UU60" s="190"/>
      <c r="UV60" s="190"/>
      <c r="UW60" s="192"/>
      <c r="UX60" s="190"/>
      <c r="UY60" s="190"/>
      <c r="UZ60" s="190"/>
      <c r="VA60" s="190"/>
      <c r="VB60" s="190"/>
      <c r="VC60" s="193"/>
      <c r="VD60" s="190"/>
      <c r="VE60" s="190"/>
      <c r="VF60" s="190"/>
      <c r="VG60" s="190"/>
      <c r="VH60" s="190"/>
      <c r="VI60" s="192"/>
      <c r="VJ60" s="190"/>
      <c r="VK60" s="190"/>
      <c r="VL60" s="190"/>
      <c r="VM60" s="190"/>
      <c r="VN60" s="190"/>
      <c r="VO60" s="193"/>
      <c r="VP60" s="190"/>
      <c r="VQ60" s="190"/>
      <c r="VR60" s="190"/>
      <c r="VS60" s="190"/>
      <c r="VT60" s="190"/>
      <c r="VU60" s="192"/>
      <c r="VV60" s="190"/>
      <c r="VW60" s="190"/>
      <c r="VX60" s="190"/>
      <c r="VY60" s="190"/>
      <c r="VZ60" s="190"/>
      <c r="WA60" s="193"/>
      <c r="WB60" s="190"/>
      <c r="WC60" s="190"/>
      <c r="WD60" s="190"/>
      <c r="WE60" s="190"/>
      <c r="WF60" s="190"/>
      <c r="WG60" s="194"/>
      <c r="WH60" s="189"/>
      <c r="WI60" s="190"/>
      <c r="WJ60" s="190"/>
      <c r="WK60" s="190"/>
      <c r="WL60" s="190"/>
      <c r="WM60" s="191"/>
      <c r="WN60" s="190"/>
      <c r="WO60" s="190"/>
      <c r="WP60" s="190"/>
      <c r="WQ60" s="190"/>
      <c r="WR60" s="190"/>
      <c r="WS60" s="192"/>
      <c r="WT60" s="190"/>
      <c r="WU60" s="190"/>
      <c r="WV60" s="190"/>
      <c r="WW60" s="190"/>
      <c r="WX60" s="190"/>
      <c r="WY60" s="193"/>
      <c r="WZ60" s="190"/>
      <c r="XA60" s="190"/>
      <c r="XB60" s="190"/>
      <c r="XC60" s="190"/>
      <c r="XD60" s="190"/>
      <c r="XE60" s="192"/>
      <c r="XF60" s="190"/>
      <c r="XG60" s="190"/>
      <c r="XH60" s="190"/>
      <c r="XI60" s="190"/>
      <c r="XJ60" s="190"/>
      <c r="XK60" s="193"/>
      <c r="XL60" s="190"/>
      <c r="XM60" s="190"/>
      <c r="XN60" s="190"/>
      <c r="XO60" s="190"/>
      <c r="XP60" s="190"/>
      <c r="XQ60" s="192"/>
      <c r="XR60" s="190"/>
      <c r="XS60" s="190"/>
      <c r="XT60" s="190"/>
      <c r="XU60" s="190"/>
      <c r="XV60" s="190"/>
      <c r="XW60" s="193"/>
      <c r="XX60" s="190"/>
      <c r="XY60" s="190"/>
      <c r="XZ60" s="190"/>
      <c r="YA60" s="190"/>
      <c r="YB60" s="190"/>
      <c r="YC60" s="192"/>
      <c r="YD60" s="190"/>
      <c r="YE60" s="190"/>
      <c r="YF60" s="190"/>
      <c r="YG60" s="190"/>
      <c r="YH60" s="190"/>
      <c r="YI60" s="193"/>
      <c r="YJ60" s="190"/>
      <c r="YK60" s="190"/>
      <c r="YL60" s="190"/>
      <c r="YM60" s="190"/>
      <c r="YN60" s="190"/>
      <c r="YO60" s="194"/>
      <c r="YP60" s="189"/>
      <c r="YQ60" s="190"/>
      <c r="YR60" s="190"/>
      <c r="YS60" s="190"/>
      <c r="YT60" s="190"/>
      <c r="YU60" s="191"/>
      <c r="YV60" s="190"/>
      <c r="YW60" s="190"/>
      <c r="YX60" s="190"/>
      <c r="YY60" s="190"/>
      <c r="YZ60" s="190"/>
      <c r="ZA60" s="192"/>
      <c r="ZB60" s="190"/>
      <c r="ZC60" s="190"/>
      <c r="ZD60" s="190"/>
      <c r="ZE60" s="190"/>
      <c r="ZF60" s="190"/>
      <c r="ZG60" s="193"/>
      <c r="ZH60" s="190"/>
      <c r="ZI60" s="190"/>
      <c r="ZJ60" s="190"/>
      <c r="ZK60" s="190"/>
      <c r="ZL60" s="190"/>
      <c r="ZM60" s="192"/>
      <c r="ZN60" s="190"/>
      <c r="ZO60" s="190"/>
      <c r="ZP60" s="190"/>
      <c r="ZQ60" s="190"/>
      <c r="ZR60" s="190"/>
      <c r="ZS60" s="193"/>
      <c r="ZT60" s="190"/>
      <c r="ZU60" s="190"/>
      <c r="ZV60" s="190"/>
      <c r="ZW60" s="190"/>
      <c r="ZX60" s="190"/>
      <c r="ZY60" s="192"/>
      <c r="ZZ60" s="190"/>
      <c r="AAA60" s="190"/>
      <c r="AAB60" s="190"/>
      <c r="AAC60" s="190"/>
      <c r="AAD60" s="190"/>
      <c r="AAE60" s="193"/>
      <c r="AAF60" s="190"/>
      <c r="AAG60" s="190"/>
      <c r="AAH60" s="190"/>
      <c r="AAI60" s="190"/>
      <c r="AAJ60" s="190"/>
      <c r="AAK60" s="192"/>
      <c r="AAL60" s="190"/>
      <c r="AAM60" s="190"/>
      <c r="AAN60" s="190"/>
      <c r="AAO60" s="190"/>
      <c r="AAP60" s="190"/>
      <c r="AAQ60" s="193"/>
      <c r="AAR60" s="190"/>
      <c r="AAS60" s="190"/>
      <c r="AAT60" s="190"/>
      <c r="AAU60" s="190"/>
      <c r="AAV60" s="190"/>
      <c r="AAW60" s="194"/>
      <c r="AAX60" s="189"/>
      <c r="AAY60" s="190"/>
      <c r="AAZ60" s="190"/>
      <c r="ABA60" s="190"/>
      <c r="ABB60" s="190"/>
      <c r="ABC60" s="191"/>
      <c r="ABD60" s="190"/>
      <c r="ABE60" s="190"/>
      <c r="ABF60" s="190"/>
      <c r="ABG60" s="190"/>
      <c r="ABH60" s="190"/>
      <c r="ABI60" s="192"/>
      <c r="ABJ60" s="190"/>
      <c r="ABK60" s="190"/>
      <c r="ABL60" s="190"/>
      <c r="ABM60" s="190"/>
      <c r="ABN60" s="190"/>
      <c r="ABO60" s="193"/>
      <c r="ABP60" s="190"/>
      <c r="ABQ60" s="190"/>
      <c r="ABR60" s="190"/>
      <c r="ABS60" s="190"/>
      <c r="ABT60" s="190"/>
      <c r="ABU60" s="192"/>
      <c r="ABV60" s="190"/>
      <c r="ABW60" s="190"/>
      <c r="ABX60" s="190"/>
      <c r="ABY60" s="190"/>
      <c r="ABZ60" s="190"/>
      <c r="ACA60" s="193"/>
      <c r="ACB60" s="190"/>
      <c r="ACC60" s="190"/>
      <c r="ACD60" s="190"/>
      <c r="ACE60" s="190"/>
      <c r="ACF60" s="190"/>
      <c r="ACG60" s="192"/>
      <c r="ACH60" s="190"/>
      <c r="ACI60" s="190"/>
      <c r="ACJ60" s="190"/>
      <c r="ACK60" s="190"/>
      <c r="ACL60" s="190"/>
      <c r="ACM60" s="193"/>
      <c r="ACN60" s="190"/>
      <c r="ACO60" s="190"/>
      <c r="ACP60" s="190"/>
      <c r="ACQ60" s="190"/>
      <c r="ACR60" s="190"/>
      <c r="ACS60" s="192"/>
      <c r="ACT60" s="190"/>
      <c r="ACU60" s="190"/>
      <c r="ACV60" s="190"/>
      <c r="ACW60" s="190"/>
      <c r="ACX60" s="190"/>
      <c r="ACY60" s="193"/>
      <c r="ACZ60" s="190"/>
      <c r="ADA60" s="190"/>
      <c r="ADB60" s="190"/>
      <c r="ADC60" s="190"/>
      <c r="ADD60" s="190"/>
      <c r="ADE60" s="194"/>
      <c r="ADF60" s="189"/>
      <c r="ADG60" s="190"/>
      <c r="ADH60" s="190"/>
      <c r="ADI60" s="190"/>
      <c r="ADJ60" s="190"/>
      <c r="ADK60" s="191"/>
      <c r="ADL60" s="190"/>
      <c r="ADM60" s="190"/>
      <c r="ADN60" s="190"/>
      <c r="ADO60" s="190"/>
      <c r="ADP60" s="190"/>
      <c r="ADQ60" s="192"/>
      <c r="ADR60" s="190"/>
      <c r="ADS60" s="190"/>
      <c r="ADT60" s="190"/>
      <c r="ADU60" s="190"/>
      <c r="ADV60" s="190"/>
      <c r="ADW60" s="193"/>
      <c r="ADX60" s="190"/>
      <c r="ADY60" s="190"/>
      <c r="ADZ60" s="190"/>
      <c r="AEA60" s="190"/>
      <c r="AEB60" s="190"/>
      <c r="AEC60" s="192"/>
      <c r="AED60" s="190"/>
      <c r="AEE60" s="190"/>
      <c r="AEF60" s="190"/>
      <c r="AEG60" s="190"/>
      <c r="AEH60" s="190"/>
      <c r="AEI60" s="193"/>
      <c r="AEJ60" s="190"/>
      <c r="AEK60" s="190"/>
      <c r="AEL60" s="190"/>
      <c r="AEM60" s="190"/>
      <c r="AEN60" s="190"/>
      <c r="AEO60" s="192"/>
      <c r="AEP60" s="190"/>
      <c r="AEQ60" s="190"/>
      <c r="AER60" s="190"/>
      <c r="AES60" s="190"/>
      <c r="AET60" s="190"/>
      <c r="AEU60" s="193"/>
      <c r="AEV60" s="190"/>
      <c r="AEW60" s="190"/>
      <c r="AEX60" s="190"/>
      <c r="AEY60" s="190"/>
      <c r="AEZ60" s="190"/>
      <c r="AFA60" s="192"/>
      <c r="AFB60" s="190"/>
      <c r="AFC60" s="190"/>
      <c r="AFD60" s="190"/>
      <c r="AFE60" s="190"/>
      <c r="AFF60" s="190"/>
      <c r="AFG60" s="193"/>
      <c r="AFH60" s="190"/>
      <c r="AFI60" s="190"/>
      <c r="AFJ60" s="190"/>
      <c r="AFK60" s="190"/>
      <c r="AFL60" s="190"/>
      <c r="AFM60" s="194"/>
      <c r="AFN60" s="189"/>
      <c r="AFO60" s="190"/>
      <c r="AFP60" s="190"/>
      <c r="AFQ60" s="190"/>
      <c r="AFR60" s="190"/>
      <c r="AFS60" s="191"/>
      <c r="AFT60" s="190"/>
      <c r="AFU60" s="190"/>
      <c r="AFV60" s="190"/>
      <c r="AFW60" s="190"/>
      <c r="AFX60" s="190"/>
      <c r="AFY60" s="192"/>
      <c r="AFZ60" s="190"/>
      <c r="AGA60" s="190"/>
      <c r="AGB60" s="190"/>
      <c r="AGC60" s="190"/>
      <c r="AGD60" s="190"/>
      <c r="AGE60" s="193"/>
      <c r="AGF60" s="190"/>
      <c r="AGG60" s="190"/>
      <c r="AGH60" s="190"/>
      <c r="AGI60" s="190"/>
      <c r="AGJ60" s="190"/>
      <c r="AGK60" s="192"/>
      <c r="AGL60" s="190"/>
      <c r="AGM60" s="190"/>
      <c r="AGN60" s="190"/>
      <c r="AGO60" s="190"/>
      <c r="AGP60" s="190"/>
      <c r="AGQ60" s="193"/>
      <c r="AGR60" s="190"/>
      <c r="AGS60" s="190"/>
      <c r="AGT60" s="190"/>
      <c r="AGU60" s="190"/>
      <c r="AGV60" s="190"/>
      <c r="AGW60" s="192"/>
      <c r="AGX60" s="190"/>
      <c r="AGY60" s="190"/>
      <c r="AGZ60" s="190"/>
      <c r="AHA60" s="190"/>
      <c r="AHB60" s="190"/>
      <c r="AHC60" s="193"/>
      <c r="AHD60" s="190"/>
      <c r="AHE60" s="190"/>
      <c r="AHF60" s="190"/>
      <c r="AHG60" s="190"/>
      <c r="AHH60" s="190"/>
      <c r="AHI60" s="192"/>
      <c r="AHJ60" s="190"/>
      <c r="AHK60" s="190"/>
      <c r="AHL60" s="190"/>
      <c r="AHM60" s="190"/>
      <c r="AHN60" s="190"/>
      <c r="AHO60" s="193"/>
      <c r="AHP60" s="190"/>
      <c r="AHQ60" s="190"/>
      <c r="AHR60" s="190"/>
      <c r="AHS60" s="190"/>
      <c r="AHT60" s="190"/>
      <c r="AHU60" s="194"/>
      <c r="AHV60" s="189"/>
      <c r="AHW60" s="190"/>
      <c r="AHX60" s="190"/>
      <c r="AHY60" s="190"/>
      <c r="AHZ60" s="190"/>
      <c r="AIA60" s="191"/>
      <c r="AIB60" s="190"/>
      <c r="AIC60" s="190"/>
      <c r="AID60" s="190"/>
      <c r="AIE60" s="190"/>
      <c r="AIF60" s="190"/>
      <c r="AIG60" s="192"/>
      <c r="AIH60" s="190"/>
      <c r="AII60" s="190"/>
      <c r="AIJ60" s="190"/>
      <c r="AIK60" s="190"/>
      <c r="AIL60" s="190"/>
      <c r="AIM60" s="193"/>
      <c r="AIN60" s="190"/>
      <c r="AIO60" s="190"/>
      <c r="AIP60" s="190"/>
      <c r="AIQ60" s="190"/>
      <c r="AIR60" s="190"/>
      <c r="AIS60" s="192"/>
      <c r="AIT60" s="190"/>
      <c r="AIU60" s="190"/>
      <c r="AIV60" s="190"/>
      <c r="AIW60" s="190"/>
      <c r="AIX60" s="190"/>
      <c r="AIY60" s="193"/>
      <c r="AIZ60" s="190"/>
      <c r="AJA60" s="190"/>
      <c r="AJB60" s="190"/>
      <c r="AJC60" s="190"/>
      <c r="AJD60" s="190"/>
      <c r="AJE60" s="192"/>
      <c r="AJF60" s="190"/>
      <c r="AJG60" s="190"/>
      <c r="AJH60" s="190"/>
      <c r="AJI60" s="190"/>
      <c r="AJJ60" s="190"/>
      <c r="AJK60" s="193"/>
      <c r="AJL60" s="190"/>
      <c r="AJM60" s="190"/>
      <c r="AJN60" s="190"/>
      <c r="AJO60" s="190"/>
      <c r="AJP60" s="190"/>
      <c r="AJQ60" s="192"/>
      <c r="AJR60" s="190"/>
      <c r="AJS60" s="190"/>
      <c r="AJT60" s="190"/>
      <c r="AJU60" s="190"/>
      <c r="AJV60" s="190"/>
      <c r="AJW60" s="193"/>
      <c r="AJX60" s="190"/>
      <c r="AJY60" s="190"/>
      <c r="AJZ60" s="190"/>
      <c r="AKA60" s="190"/>
      <c r="AKB60" s="190"/>
      <c r="AKC60" s="194"/>
      <c r="AKD60" s="189"/>
      <c r="AKE60" s="190"/>
      <c r="AKF60" s="190"/>
      <c r="AKG60" s="190"/>
      <c r="AKH60" s="190"/>
      <c r="AKI60" s="191"/>
      <c r="AKJ60" s="190"/>
      <c r="AKK60" s="190"/>
      <c r="AKL60" s="190"/>
      <c r="AKM60" s="190"/>
      <c r="AKN60" s="190"/>
      <c r="AKO60" s="192"/>
      <c r="AKP60" s="190"/>
      <c r="AKQ60" s="190"/>
      <c r="AKR60" s="190"/>
      <c r="AKS60" s="190"/>
      <c r="AKT60" s="190"/>
      <c r="AKU60" s="193"/>
      <c r="AKV60" s="190"/>
      <c r="AKW60" s="190"/>
      <c r="AKX60" s="190"/>
      <c r="AKY60" s="190"/>
      <c r="AKZ60" s="190"/>
      <c r="ALA60" s="192"/>
      <c r="ALB60" s="190"/>
      <c r="ALC60" s="190"/>
      <c r="ALD60" s="190"/>
      <c r="ALE60" s="190"/>
      <c r="ALF60" s="190"/>
      <c r="ALG60" s="193"/>
      <c r="ALH60" s="190"/>
      <c r="ALI60" s="190"/>
      <c r="ALJ60" s="190"/>
      <c r="ALK60" s="190"/>
      <c r="ALL60" s="190"/>
      <c r="ALM60" s="192"/>
      <c r="ALN60" s="190"/>
      <c r="ALO60" s="190"/>
      <c r="ALP60" s="190"/>
      <c r="ALQ60" s="190"/>
      <c r="ALR60" s="190"/>
      <c r="ALS60" s="193"/>
      <c r="ALT60" s="190"/>
      <c r="ALU60" s="190"/>
      <c r="ALV60" s="190"/>
      <c r="ALW60" s="190"/>
      <c r="ALX60" s="190"/>
      <c r="ALY60" s="192"/>
      <c r="ALZ60" s="190"/>
      <c r="AMA60" s="190"/>
      <c r="AMB60" s="190"/>
      <c r="AMC60" s="190"/>
      <c r="AMD60" s="190"/>
      <c r="AME60" s="193"/>
      <c r="AMF60" s="190"/>
      <c r="AMG60" s="190"/>
      <c r="AMH60" s="190"/>
      <c r="AMI60" s="190"/>
      <c r="AMJ60" s="190"/>
      <c r="AMK60" s="194"/>
      <c r="AML60" s="189"/>
      <c r="AMM60" s="190"/>
      <c r="AMN60" s="190"/>
      <c r="AMO60" s="190"/>
      <c r="AMP60" s="190"/>
      <c r="AMQ60" s="191"/>
      <c r="AMR60" s="190"/>
      <c r="AMS60" s="190"/>
      <c r="AMT60" s="190"/>
      <c r="AMU60" s="190"/>
      <c r="AMV60" s="190"/>
      <c r="AMW60" s="192"/>
      <c r="AMX60" s="190"/>
      <c r="AMY60" s="190"/>
      <c r="AMZ60" s="190"/>
      <c r="ANA60" s="190"/>
      <c r="ANB60" s="190"/>
      <c r="ANC60" s="193"/>
      <c r="AND60" s="190"/>
      <c r="ANE60" s="190"/>
      <c r="ANF60" s="190"/>
      <c r="ANG60" s="190"/>
      <c r="ANH60" s="190"/>
      <c r="ANI60" s="192"/>
      <c r="ANJ60" s="190"/>
      <c r="ANK60" s="190"/>
      <c r="ANL60" s="190"/>
      <c r="ANM60" s="190"/>
      <c r="ANN60" s="190"/>
      <c r="ANO60" s="193"/>
      <c r="ANP60" s="190"/>
      <c r="ANQ60" s="190"/>
      <c r="ANR60" s="190"/>
      <c r="ANS60" s="190"/>
      <c r="ANT60" s="190"/>
      <c r="ANU60" s="192"/>
      <c r="ANV60" s="190"/>
      <c r="ANW60" s="190"/>
      <c r="ANX60" s="190"/>
      <c r="ANY60" s="190"/>
      <c r="ANZ60" s="190"/>
      <c r="AOA60" s="193"/>
      <c r="AOB60" s="190"/>
      <c r="AOC60" s="190"/>
      <c r="AOD60" s="190"/>
      <c r="AOE60" s="190"/>
      <c r="AOF60" s="190"/>
      <c r="AOG60" s="192"/>
      <c r="AOH60" s="190"/>
      <c r="AOI60" s="190"/>
      <c r="AOJ60" s="190"/>
      <c r="AOK60" s="190"/>
      <c r="AOL60" s="190"/>
      <c r="AOM60" s="193"/>
      <c r="AON60" s="190"/>
      <c r="AOO60" s="190"/>
      <c r="AOP60" s="190"/>
      <c r="AOQ60" s="190"/>
      <c r="AOR60" s="190"/>
      <c r="AOS60" s="194"/>
      <c r="AOT60" s="189"/>
      <c r="AOU60" s="190"/>
      <c r="AOV60" s="190"/>
      <c r="AOW60" s="190"/>
      <c r="AOX60" s="190"/>
      <c r="AOY60" s="191"/>
      <c r="AOZ60" s="190"/>
      <c r="APA60" s="190"/>
      <c r="APB60" s="190"/>
      <c r="APC60" s="190"/>
      <c r="APD60" s="190"/>
      <c r="APE60" s="192"/>
      <c r="APF60" s="190"/>
      <c r="APG60" s="190"/>
      <c r="APH60" s="190"/>
      <c r="API60" s="190"/>
      <c r="APJ60" s="190"/>
      <c r="APK60" s="193"/>
      <c r="APL60" s="190"/>
      <c r="APM60" s="190"/>
      <c r="APN60" s="190"/>
      <c r="APO60" s="190"/>
      <c r="APP60" s="190"/>
      <c r="APQ60" s="192"/>
      <c r="APR60" s="190"/>
      <c r="APS60" s="190"/>
      <c r="APT60" s="190"/>
      <c r="APU60" s="190"/>
      <c r="APV60" s="190"/>
      <c r="APW60" s="193"/>
      <c r="APX60" s="190"/>
      <c r="APY60" s="190"/>
      <c r="APZ60" s="190"/>
      <c r="AQA60" s="190"/>
      <c r="AQB60" s="190"/>
      <c r="AQC60" s="192"/>
      <c r="AQD60" s="190"/>
      <c r="AQE60" s="190"/>
      <c r="AQF60" s="190"/>
      <c r="AQG60" s="190"/>
      <c r="AQH60" s="190"/>
      <c r="AQI60" s="193"/>
      <c r="AQJ60" s="190"/>
      <c r="AQK60" s="190"/>
      <c r="AQL60" s="190"/>
      <c r="AQM60" s="190"/>
      <c r="AQN60" s="190"/>
      <c r="AQO60" s="192"/>
      <c r="AQP60" s="190"/>
      <c r="AQQ60" s="190"/>
      <c r="AQR60" s="190"/>
      <c r="AQS60" s="190"/>
      <c r="AQT60" s="190"/>
      <c r="AQU60" s="193"/>
      <c r="AQV60" s="190"/>
      <c r="AQW60" s="190"/>
      <c r="AQX60" s="190"/>
      <c r="AQY60" s="190"/>
      <c r="AQZ60" s="190"/>
      <c r="ARA60" s="194"/>
      <c r="ARB60" s="189"/>
      <c r="ARC60" s="190"/>
      <c r="ARD60" s="190"/>
      <c r="ARE60" s="190"/>
      <c r="ARF60" s="190"/>
      <c r="ARG60" s="191"/>
      <c r="ARH60" s="190"/>
      <c r="ARI60" s="190"/>
      <c r="ARJ60" s="190"/>
      <c r="ARK60" s="190"/>
      <c r="ARL60" s="190"/>
      <c r="ARM60" s="192"/>
      <c r="ARN60" s="190"/>
      <c r="ARO60" s="190"/>
      <c r="ARP60" s="190"/>
      <c r="ARQ60" s="190"/>
      <c r="ARR60" s="190"/>
      <c r="ARS60" s="193"/>
      <c r="ART60" s="190"/>
      <c r="ARU60" s="190"/>
      <c r="ARV60" s="190"/>
      <c r="ARW60" s="190"/>
      <c r="ARX60" s="190"/>
      <c r="ARY60" s="192"/>
      <c r="ARZ60" s="190"/>
      <c r="ASA60" s="190"/>
      <c r="ASB60" s="190"/>
      <c r="ASC60" s="190"/>
      <c r="ASD60" s="190"/>
      <c r="ASE60" s="193"/>
      <c r="ASF60" s="190"/>
      <c r="ASG60" s="190"/>
      <c r="ASH60" s="190"/>
      <c r="ASI60" s="190"/>
      <c r="ASJ60" s="190"/>
      <c r="ASK60" s="192"/>
      <c r="ASL60" s="190"/>
      <c r="ASM60" s="190"/>
      <c r="ASN60" s="190"/>
      <c r="ASO60" s="190"/>
      <c r="ASP60" s="190"/>
      <c r="ASQ60" s="193"/>
      <c r="ASR60" s="190"/>
      <c r="ASS60" s="190"/>
      <c r="AST60" s="190"/>
      <c r="ASU60" s="190"/>
      <c r="ASV60" s="190"/>
      <c r="ASW60" s="192"/>
      <c r="ASX60" s="190"/>
      <c r="ASY60" s="190"/>
      <c r="ASZ60" s="190"/>
      <c r="ATA60" s="190"/>
      <c r="ATB60" s="190"/>
      <c r="ATC60" s="193"/>
      <c r="ATD60" s="190"/>
      <c r="ATE60" s="190"/>
      <c r="ATF60" s="190"/>
      <c r="ATG60" s="190"/>
      <c r="ATH60" s="190"/>
      <c r="ATI60" s="194"/>
      <c r="ATJ60" s="189"/>
      <c r="ATK60" s="190"/>
      <c r="ATL60" s="190"/>
      <c r="ATM60" s="190"/>
      <c r="ATN60" s="190"/>
      <c r="ATO60" s="191"/>
      <c r="ATP60" s="190"/>
      <c r="ATQ60" s="190"/>
      <c r="ATR60" s="190"/>
      <c r="ATS60" s="190"/>
      <c r="ATT60" s="190"/>
      <c r="ATU60" s="192"/>
      <c r="ATV60" s="190"/>
      <c r="ATW60" s="190"/>
      <c r="ATX60" s="190"/>
      <c r="ATY60" s="190"/>
      <c r="ATZ60" s="190"/>
      <c r="AUA60" s="193"/>
      <c r="AUB60" s="190"/>
      <c r="AUC60" s="190"/>
      <c r="AUD60" s="190"/>
      <c r="AUE60" s="190"/>
      <c r="AUF60" s="190"/>
      <c r="AUG60" s="192"/>
      <c r="AUH60" s="190"/>
      <c r="AUI60" s="190"/>
      <c r="AUJ60" s="190"/>
      <c r="AUK60" s="190"/>
      <c r="AUL60" s="190"/>
      <c r="AUM60" s="193"/>
      <c r="AUN60" s="190"/>
      <c r="AUO60" s="190"/>
      <c r="AUP60" s="190"/>
      <c r="AUQ60" s="190"/>
      <c r="AUR60" s="190"/>
      <c r="AUS60" s="192"/>
      <c r="AUT60" s="190"/>
      <c r="AUU60" s="190"/>
      <c r="AUV60" s="190"/>
      <c r="AUW60" s="190"/>
      <c r="AUX60" s="190"/>
      <c r="AUY60" s="193"/>
      <c r="AUZ60" s="190"/>
      <c r="AVA60" s="190"/>
      <c r="AVB60" s="190"/>
      <c r="AVC60" s="190"/>
      <c r="AVD60" s="190"/>
      <c r="AVE60" s="192"/>
      <c r="AVF60" s="190"/>
      <c r="AVG60" s="190"/>
      <c r="AVH60" s="190"/>
      <c r="AVI60" s="190"/>
      <c r="AVJ60" s="190"/>
      <c r="AVK60" s="193"/>
      <c r="AVL60" s="190"/>
      <c r="AVM60" s="190"/>
      <c r="AVN60" s="190"/>
      <c r="AVO60" s="190"/>
      <c r="AVP60" s="190"/>
      <c r="AVQ60" s="194"/>
      <c r="AVR60" s="189"/>
      <c r="AVS60" s="190"/>
      <c r="AVT60" s="190"/>
      <c r="AVU60" s="190"/>
      <c r="AVV60" s="190"/>
      <c r="AVW60" s="191"/>
      <c r="AVX60" s="190"/>
      <c r="AVY60" s="190"/>
      <c r="AVZ60" s="190"/>
      <c r="AWA60" s="190"/>
      <c r="AWB60" s="190"/>
      <c r="AWC60" s="192"/>
      <c r="AWD60" s="190"/>
      <c r="AWE60" s="190"/>
      <c r="AWF60" s="190"/>
      <c r="AWG60" s="190"/>
      <c r="AWH60" s="190"/>
      <c r="AWI60" s="193"/>
      <c r="AWJ60" s="190"/>
      <c r="AWK60" s="190"/>
      <c r="AWL60" s="190"/>
      <c r="AWM60" s="190"/>
      <c r="AWN60" s="190"/>
      <c r="AWO60" s="192"/>
      <c r="AWP60" s="190"/>
      <c r="AWQ60" s="190"/>
      <c r="AWR60" s="190"/>
      <c r="AWS60" s="190"/>
      <c r="AWT60" s="190"/>
      <c r="AWU60" s="193"/>
      <c r="AWV60" s="190"/>
      <c r="AWW60" s="190"/>
      <c r="AWX60" s="190"/>
      <c r="AWY60" s="190"/>
      <c r="AWZ60" s="190"/>
      <c r="AXA60" s="192"/>
      <c r="AXB60" s="190"/>
      <c r="AXC60" s="190"/>
      <c r="AXD60" s="190"/>
      <c r="AXE60" s="190"/>
      <c r="AXF60" s="190"/>
      <c r="AXG60" s="193"/>
      <c r="AXH60" s="190"/>
      <c r="AXI60" s="190"/>
      <c r="AXJ60" s="190"/>
      <c r="AXK60" s="190"/>
      <c r="AXL60" s="190"/>
      <c r="AXM60" s="192"/>
      <c r="AXN60" s="190"/>
      <c r="AXO60" s="190"/>
      <c r="AXP60" s="190"/>
      <c r="AXQ60" s="190"/>
      <c r="AXR60" s="190"/>
      <c r="AXS60" s="193"/>
      <c r="AXT60" s="190"/>
      <c r="AXU60" s="190"/>
      <c r="AXV60" s="190"/>
      <c r="AXW60" s="190"/>
      <c r="AXX60" s="190"/>
      <c r="AXY60" s="194"/>
      <c r="AXZ60" s="189"/>
      <c r="AYA60" s="190"/>
      <c r="AYB60" s="190"/>
      <c r="AYC60" s="190"/>
      <c r="AYD60" s="190"/>
      <c r="AYE60" s="191"/>
      <c r="AYF60" s="190"/>
      <c r="AYG60" s="190"/>
      <c r="AYH60" s="190"/>
      <c r="AYI60" s="190"/>
      <c r="AYJ60" s="190"/>
      <c r="AYK60" s="192"/>
      <c r="AYL60" s="190"/>
      <c r="AYM60" s="190"/>
      <c r="AYN60" s="190"/>
      <c r="AYO60" s="190"/>
      <c r="AYP60" s="190"/>
      <c r="AYQ60" s="193"/>
      <c r="AYR60" s="190"/>
      <c r="AYS60" s="190"/>
      <c r="AYT60" s="190"/>
      <c r="AYU60" s="190"/>
      <c r="AYV60" s="190"/>
      <c r="AYW60" s="192"/>
      <c r="AYX60" s="190"/>
      <c r="AYY60" s="190"/>
      <c r="AYZ60" s="190"/>
      <c r="AZA60" s="190"/>
      <c r="AZB60" s="190"/>
      <c r="AZC60" s="193"/>
      <c r="AZD60" s="190"/>
      <c r="AZE60" s="190"/>
      <c r="AZF60" s="190"/>
      <c r="AZG60" s="190"/>
      <c r="AZH60" s="190"/>
      <c r="AZI60" s="192"/>
      <c r="AZJ60" s="190"/>
      <c r="AZK60" s="190"/>
      <c r="AZL60" s="190"/>
      <c r="AZM60" s="190"/>
      <c r="AZN60" s="190"/>
      <c r="AZO60" s="193"/>
      <c r="AZP60" s="190"/>
      <c r="AZQ60" s="190"/>
      <c r="AZR60" s="190"/>
      <c r="AZS60" s="190"/>
      <c r="AZT60" s="190"/>
      <c r="AZU60" s="192"/>
      <c r="AZV60" s="190"/>
      <c r="AZW60" s="190"/>
      <c r="AZX60" s="190"/>
      <c r="AZY60" s="190"/>
      <c r="AZZ60" s="190"/>
      <c r="BAA60" s="193"/>
      <c r="BAB60" s="190"/>
      <c r="BAC60" s="190"/>
      <c r="BAD60" s="190"/>
      <c r="BAE60" s="190"/>
      <c r="BAF60" s="190"/>
      <c r="BAG60" s="194"/>
      <c r="BAH60" s="189"/>
      <c r="BAI60" s="190"/>
      <c r="BAJ60" s="190"/>
      <c r="BAK60" s="190"/>
      <c r="BAL60" s="190"/>
      <c r="BAM60" s="191"/>
      <c r="BAN60" s="190"/>
      <c r="BAO60" s="190"/>
      <c r="BAP60" s="190"/>
      <c r="BAQ60" s="190"/>
      <c r="BAR60" s="190"/>
      <c r="BAS60" s="192"/>
      <c r="BAT60" s="190"/>
      <c r="BAU60" s="190"/>
      <c r="BAV60" s="190"/>
      <c r="BAW60" s="190"/>
      <c r="BAX60" s="190"/>
      <c r="BAY60" s="193"/>
      <c r="BAZ60" s="190"/>
      <c r="BBA60" s="190"/>
      <c r="BBB60" s="190"/>
      <c r="BBC60" s="190"/>
      <c r="BBD60" s="190"/>
      <c r="BBE60" s="192"/>
      <c r="BBF60" s="190"/>
      <c r="BBG60" s="190"/>
      <c r="BBH60" s="190"/>
      <c r="BBI60" s="190"/>
      <c r="BBJ60" s="190"/>
      <c r="BBK60" s="193"/>
      <c r="BBL60" s="190"/>
      <c r="BBM60" s="190"/>
      <c r="BBN60" s="190"/>
      <c r="BBO60" s="190"/>
      <c r="BBP60" s="190"/>
      <c r="BBQ60" s="192"/>
      <c r="BBR60" s="190"/>
      <c r="BBS60" s="190"/>
      <c r="BBT60" s="190"/>
      <c r="BBU60" s="190"/>
      <c r="BBV60" s="190"/>
      <c r="BBW60" s="193"/>
      <c r="BBX60" s="190"/>
      <c r="BBY60" s="190"/>
      <c r="BBZ60" s="190"/>
      <c r="BCA60" s="190"/>
      <c r="BCB60" s="190"/>
      <c r="BCC60" s="192"/>
      <c r="BCD60" s="190"/>
      <c r="BCE60" s="190"/>
      <c r="BCF60" s="190"/>
      <c r="BCG60" s="190"/>
      <c r="BCH60" s="190"/>
      <c r="BCI60" s="193"/>
      <c r="BCJ60" s="190"/>
      <c r="BCK60" s="190"/>
      <c r="BCL60" s="190"/>
      <c r="BCM60" s="190"/>
      <c r="BCN60" s="190"/>
      <c r="BCO60" s="194"/>
      <c r="BCP60" s="189"/>
      <c r="BCQ60" s="190"/>
      <c r="BCR60" s="190"/>
      <c r="BCS60" s="190"/>
      <c r="BCT60" s="190"/>
      <c r="BCU60" s="191"/>
      <c r="BCV60" s="190"/>
      <c r="BCW60" s="190"/>
      <c r="BCX60" s="190"/>
      <c r="BCY60" s="190"/>
      <c r="BCZ60" s="190"/>
      <c r="BDA60" s="192"/>
      <c r="BDB60" s="190"/>
      <c r="BDC60" s="190"/>
      <c r="BDD60" s="190"/>
      <c r="BDE60" s="190"/>
      <c r="BDF60" s="190"/>
      <c r="BDG60" s="193"/>
      <c r="BDH60" s="190"/>
      <c r="BDI60" s="190"/>
      <c r="BDJ60" s="190"/>
      <c r="BDK60" s="190"/>
      <c r="BDL60" s="190"/>
      <c r="BDM60" s="192"/>
      <c r="BDN60" s="190"/>
      <c r="BDO60" s="190"/>
      <c r="BDP60" s="190"/>
      <c r="BDQ60" s="190"/>
      <c r="BDR60" s="190"/>
      <c r="BDS60" s="193"/>
      <c r="BDT60" s="190"/>
      <c r="BDU60" s="190"/>
      <c r="BDV60" s="190"/>
      <c r="BDW60" s="190"/>
      <c r="BDX60" s="190"/>
      <c r="BDY60" s="192"/>
      <c r="BDZ60" s="190"/>
      <c r="BEA60" s="190"/>
      <c r="BEB60" s="190"/>
      <c r="BEC60" s="190"/>
      <c r="BED60" s="190"/>
      <c r="BEE60" s="193"/>
      <c r="BEF60" s="190"/>
      <c r="BEG60" s="190"/>
      <c r="BEH60" s="190"/>
      <c r="BEI60" s="190"/>
      <c r="BEJ60" s="190"/>
      <c r="BEK60" s="192"/>
      <c r="BEL60" s="190"/>
      <c r="BEM60" s="190"/>
      <c r="BEN60" s="190"/>
      <c r="BEO60" s="190"/>
      <c r="BEP60" s="190"/>
      <c r="BEQ60" s="193"/>
      <c r="BER60" s="190"/>
      <c r="BES60" s="190"/>
      <c r="BET60" s="190"/>
      <c r="BEU60" s="190"/>
      <c r="BEV60" s="190"/>
      <c r="BEW60" s="194"/>
      <c r="BEX60" s="189"/>
      <c r="BEY60" s="190"/>
      <c r="BEZ60" s="190"/>
      <c r="BFA60" s="190"/>
      <c r="BFB60" s="190"/>
      <c r="BFC60" s="191"/>
      <c r="BFD60" s="190"/>
      <c r="BFE60" s="190"/>
      <c r="BFF60" s="190"/>
      <c r="BFG60" s="190"/>
      <c r="BFH60" s="190"/>
      <c r="BFI60" s="192"/>
      <c r="BFJ60" s="190"/>
      <c r="BFK60" s="190"/>
      <c r="BFL60" s="190"/>
      <c r="BFM60" s="190"/>
      <c r="BFN60" s="190"/>
      <c r="BFO60" s="193"/>
      <c r="BFP60" s="190"/>
      <c r="BFQ60" s="190"/>
      <c r="BFR60" s="190"/>
      <c r="BFS60" s="190"/>
      <c r="BFT60" s="190"/>
      <c r="BFU60" s="192"/>
      <c r="BFV60" s="190"/>
      <c r="BFW60" s="190"/>
      <c r="BFX60" s="190"/>
      <c r="BFY60" s="190"/>
      <c r="BFZ60" s="190"/>
      <c r="BGA60" s="193"/>
      <c r="BGB60" s="190"/>
      <c r="BGC60" s="190"/>
      <c r="BGD60" s="190"/>
      <c r="BGE60" s="190"/>
      <c r="BGF60" s="190"/>
      <c r="BGG60" s="192"/>
      <c r="BGH60" s="190"/>
      <c r="BGI60" s="190"/>
      <c r="BGJ60" s="190"/>
      <c r="BGK60" s="190"/>
      <c r="BGL60" s="190"/>
      <c r="BGM60" s="193"/>
      <c r="BGN60" s="190"/>
      <c r="BGO60" s="190"/>
      <c r="BGP60" s="190"/>
      <c r="BGQ60" s="190"/>
      <c r="BGR60" s="190"/>
      <c r="BGS60" s="192"/>
      <c r="BGT60" s="190"/>
      <c r="BGU60" s="190"/>
      <c r="BGV60" s="190"/>
      <c r="BGW60" s="190"/>
      <c r="BGX60" s="190"/>
      <c r="BGY60" s="193"/>
      <c r="BGZ60" s="190"/>
      <c r="BHA60" s="190"/>
      <c r="BHB60" s="190"/>
      <c r="BHC60" s="190"/>
      <c r="BHD60" s="190"/>
      <c r="BHE60" s="194"/>
      <c r="BHF60" s="187"/>
      <c r="BHG60" s="188"/>
      <c r="BHH60" s="188"/>
      <c r="BHI60" s="188"/>
      <c r="BHJ60" s="188"/>
      <c r="BHK60" s="188"/>
      <c r="BHL60" s="188"/>
      <c r="BHM60" s="188"/>
      <c r="BHN60" s="188"/>
      <c r="BHO60" s="188"/>
      <c r="BHP60" s="188"/>
      <c r="BHQ60" s="188"/>
      <c r="BHR60" s="188"/>
      <c r="BHS60" s="188"/>
      <c r="BHT60" s="188"/>
      <c r="BHU60" s="188"/>
      <c r="BHV60" s="188"/>
      <c r="BHW60" s="188"/>
      <c r="BHX60" s="188"/>
      <c r="BHY60" s="188"/>
      <c r="BHZ60" s="188"/>
      <c r="BIA60" s="188"/>
      <c r="BIB60" s="188"/>
      <c r="BIC60" s="188"/>
      <c r="BID60" s="188"/>
      <c r="BIE60" s="188"/>
      <c r="BIF60" s="188"/>
      <c r="BIG60" s="188"/>
      <c r="BIH60" s="188"/>
      <c r="BII60" s="188"/>
      <c r="BIJ60" s="188"/>
      <c r="BIK60" s="188"/>
      <c r="BIL60" s="188"/>
      <c r="BIM60" s="188"/>
      <c r="BIN60" s="188"/>
      <c r="BIO60" s="188"/>
      <c r="BIP60" s="188"/>
    </row>
    <row r="61" spans="1:1602" ht="20.100000000000001" customHeight="1" x14ac:dyDescent="0.25">
      <c r="A61" s="78" t="s">
        <v>49</v>
      </c>
      <c r="B61" s="51"/>
      <c r="C61" s="230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87"/>
      <c r="BHG61" s="188"/>
      <c r="BHH61" s="188"/>
      <c r="BHI61" s="188"/>
      <c r="BHJ61" s="188"/>
      <c r="BHK61" s="188"/>
      <c r="BHL61" s="188"/>
      <c r="BHM61" s="188"/>
      <c r="BHN61" s="188"/>
      <c r="BHO61" s="188"/>
      <c r="BHP61" s="188"/>
      <c r="BHQ61" s="188"/>
      <c r="BHR61" s="188"/>
      <c r="BHS61" s="188"/>
      <c r="BHT61" s="188"/>
      <c r="BHU61" s="188"/>
      <c r="BHV61" s="188"/>
      <c r="BHW61" s="188"/>
      <c r="BHX61" s="188"/>
      <c r="BHY61" s="188"/>
      <c r="BHZ61" s="188"/>
      <c r="BIA61" s="188"/>
      <c r="BIB61" s="188"/>
      <c r="BIC61" s="188"/>
      <c r="BID61" s="188"/>
      <c r="BIE61" s="188"/>
      <c r="BIF61" s="188"/>
      <c r="BIG61" s="188"/>
      <c r="BIH61" s="188"/>
      <c r="BII61" s="188"/>
      <c r="BIJ61" s="188"/>
      <c r="BIK61" s="188"/>
      <c r="BIL61" s="188"/>
      <c r="BIM61" s="188"/>
      <c r="BIN61" s="188"/>
      <c r="BIO61" s="188"/>
      <c r="BIP61" s="188"/>
    </row>
    <row r="62" spans="1:1602" ht="20.100000000000001" customHeight="1" x14ac:dyDescent="0.25">
      <c r="A62" s="78" t="s">
        <v>50</v>
      </c>
      <c r="B62" s="51"/>
      <c r="C62" s="236"/>
      <c r="D62" s="120" t="str">
        <f t="shared" si="0"/>
        <v/>
      </c>
      <c r="E62" s="80">
        <v>0</v>
      </c>
      <c r="F62" s="195"/>
      <c r="G62" s="196"/>
      <c r="H62" s="196"/>
      <c r="I62" s="196"/>
      <c r="J62" s="196"/>
      <c r="K62" s="197"/>
      <c r="L62" s="196"/>
      <c r="M62" s="196"/>
      <c r="N62" s="196"/>
      <c r="O62" s="196"/>
      <c r="P62" s="196"/>
      <c r="Q62" s="198"/>
      <c r="R62" s="196"/>
      <c r="S62" s="196"/>
      <c r="T62" s="196"/>
      <c r="U62" s="196"/>
      <c r="V62" s="196"/>
      <c r="W62" s="199"/>
      <c r="X62" s="196"/>
      <c r="Y62" s="196"/>
      <c r="Z62" s="196"/>
      <c r="AA62" s="196"/>
      <c r="AB62" s="196"/>
      <c r="AC62" s="198"/>
      <c r="AD62" s="196"/>
      <c r="AE62" s="196"/>
      <c r="AF62" s="196"/>
      <c r="AG62" s="196"/>
      <c r="AH62" s="196"/>
      <c r="AI62" s="199"/>
      <c r="AJ62" s="196"/>
      <c r="AK62" s="196"/>
      <c r="AL62" s="196"/>
      <c r="AM62" s="196"/>
      <c r="AN62" s="196"/>
      <c r="AO62" s="198"/>
      <c r="AP62" s="196"/>
      <c r="AQ62" s="196"/>
      <c r="AR62" s="196"/>
      <c r="AS62" s="196"/>
      <c r="AT62" s="196"/>
      <c r="AU62" s="199"/>
      <c r="AV62" s="196"/>
      <c r="AW62" s="196"/>
      <c r="AX62" s="196"/>
      <c r="AY62" s="196"/>
      <c r="AZ62" s="196"/>
      <c r="BA62" s="198"/>
      <c r="BB62" s="196"/>
      <c r="BC62" s="196"/>
      <c r="BD62" s="196"/>
      <c r="BE62" s="196"/>
      <c r="BF62" s="196"/>
      <c r="BG62" s="199"/>
      <c r="BH62" s="196"/>
      <c r="BI62" s="196"/>
      <c r="BJ62" s="196"/>
      <c r="BK62" s="196"/>
      <c r="BL62" s="196"/>
      <c r="BM62" s="200"/>
      <c r="BN62" s="195"/>
      <c r="BO62" s="196"/>
      <c r="BP62" s="196"/>
      <c r="BQ62" s="196"/>
      <c r="BR62" s="196"/>
      <c r="BS62" s="197"/>
      <c r="BT62" s="196"/>
      <c r="BU62" s="196"/>
      <c r="BV62" s="196"/>
      <c r="BW62" s="196"/>
      <c r="BX62" s="196"/>
      <c r="BY62" s="198"/>
      <c r="BZ62" s="196"/>
      <c r="CA62" s="196"/>
      <c r="CB62" s="196"/>
      <c r="CC62" s="196"/>
      <c r="CD62" s="196"/>
      <c r="CE62" s="199"/>
      <c r="CF62" s="196"/>
      <c r="CG62" s="196"/>
      <c r="CH62" s="196"/>
      <c r="CI62" s="196"/>
      <c r="CJ62" s="196"/>
      <c r="CK62" s="198"/>
      <c r="CL62" s="196"/>
      <c r="CM62" s="196"/>
      <c r="CN62" s="196"/>
      <c r="CO62" s="196"/>
      <c r="CP62" s="196"/>
      <c r="CQ62" s="199"/>
      <c r="CR62" s="196"/>
      <c r="CS62" s="196"/>
      <c r="CT62" s="196"/>
      <c r="CU62" s="196"/>
      <c r="CV62" s="196"/>
      <c r="CW62" s="198"/>
      <c r="CX62" s="196"/>
      <c r="CY62" s="196"/>
      <c r="CZ62" s="196"/>
      <c r="DA62" s="196"/>
      <c r="DB62" s="196"/>
      <c r="DC62" s="199"/>
      <c r="DD62" s="196"/>
      <c r="DE62" s="196"/>
      <c r="DF62" s="196"/>
      <c r="DG62" s="196"/>
      <c r="DH62" s="196"/>
      <c r="DI62" s="198"/>
      <c r="DJ62" s="196"/>
      <c r="DK62" s="196"/>
      <c r="DL62" s="196"/>
      <c r="DM62" s="196"/>
      <c r="DN62" s="196"/>
      <c r="DO62" s="199"/>
      <c r="DP62" s="196"/>
      <c r="DQ62" s="196"/>
      <c r="DR62" s="196"/>
      <c r="DS62" s="196"/>
      <c r="DT62" s="196"/>
      <c r="DU62" s="200"/>
      <c r="DV62" s="195"/>
      <c r="DW62" s="196"/>
      <c r="DX62" s="196"/>
      <c r="DY62" s="196"/>
      <c r="DZ62" s="196"/>
      <c r="EA62" s="197"/>
      <c r="EB62" s="196"/>
      <c r="EC62" s="196"/>
      <c r="ED62" s="196"/>
      <c r="EE62" s="196"/>
      <c r="EF62" s="196"/>
      <c r="EG62" s="198"/>
      <c r="EH62" s="196"/>
      <c r="EI62" s="196"/>
      <c r="EJ62" s="196"/>
      <c r="EK62" s="196"/>
      <c r="EL62" s="196"/>
      <c r="EM62" s="199"/>
      <c r="EN62" s="196"/>
      <c r="EO62" s="196"/>
      <c r="EP62" s="196"/>
      <c r="EQ62" s="196"/>
      <c r="ER62" s="196"/>
      <c r="ES62" s="198"/>
      <c r="ET62" s="196"/>
      <c r="EU62" s="196"/>
      <c r="EV62" s="196"/>
      <c r="EW62" s="196"/>
      <c r="EX62" s="196"/>
      <c r="EY62" s="199"/>
      <c r="EZ62" s="196"/>
      <c r="FA62" s="196"/>
      <c r="FB62" s="196"/>
      <c r="FC62" s="196"/>
      <c r="FD62" s="196"/>
      <c r="FE62" s="198"/>
      <c r="FF62" s="196"/>
      <c r="FG62" s="196"/>
      <c r="FH62" s="196"/>
      <c r="FI62" s="196"/>
      <c r="FJ62" s="196"/>
      <c r="FK62" s="199"/>
      <c r="FL62" s="196"/>
      <c r="FM62" s="196"/>
      <c r="FN62" s="196"/>
      <c r="FO62" s="196"/>
      <c r="FP62" s="196"/>
      <c r="FQ62" s="198"/>
      <c r="FR62" s="196"/>
      <c r="FS62" s="196"/>
      <c r="FT62" s="196"/>
      <c r="FU62" s="196"/>
      <c r="FV62" s="196"/>
      <c r="FW62" s="199"/>
      <c r="FX62" s="196"/>
      <c r="FY62" s="196"/>
      <c r="FZ62" s="196"/>
      <c r="GA62" s="196"/>
      <c r="GB62" s="196"/>
      <c r="GC62" s="200"/>
      <c r="GD62" s="195"/>
      <c r="GE62" s="196"/>
      <c r="GF62" s="196"/>
      <c r="GG62" s="196"/>
      <c r="GH62" s="196"/>
      <c r="GI62" s="197"/>
      <c r="GJ62" s="196"/>
      <c r="GK62" s="196"/>
      <c r="GL62" s="196"/>
      <c r="GM62" s="196"/>
      <c r="GN62" s="196"/>
      <c r="GO62" s="198"/>
      <c r="GP62" s="196"/>
      <c r="GQ62" s="196"/>
      <c r="GR62" s="196"/>
      <c r="GS62" s="196"/>
      <c r="GT62" s="196"/>
      <c r="GU62" s="199"/>
      <c r="GV62" s="196"/>
      <c r="GW62" s="196"/>
      <c r="GX62" s="196"/>
      <c r="GY62" s="196"/>
      <c r="GZ62" s="196"/>
      <c r="HA62" s="198"/>
      <c r="HB62" s="196"/>
      <c r="HC62" s="196"/>
      <c r="HD62" s="196"/>
      <c r="HE62" s="196"/>
      <c r="HF62" s="196"/>
      <c r="HG62" s="199"/>
      <c r="HH62" s="196"/>
      <c r="HI62" s="196"/>
      <c r="HJ62" s="196"/>
      <c r="HK62" s="196"/>
      <c r="HL62" s="196"/>
      <c r="HM62" s="198"/>
      <c r="HN62" s="196"/>
      <c r="HO62" s="196"/>
      <c r="HP62" s="196"/>
      <c r="HQ62" s="196"/>
      <c r="HR62" s="196"/>
      <c r="HS62" s="199"/>
      <c r="HT62" s="196"/>
      <c r="HU62" s="196"/>
      <c r="HV62" s="196"/>
      <c r="HW62" s="196"/>
      <c r="HX62" s="196"/>
      <c r="HY62" s="198"/>
      <c r="HZ62" s="196"/>
      <c r="IA62" s="196"/>
      <c r="IB62" s="196"/>
      <c r="IC62" s="196"/>
      <c r="ID62" s="196"/>
      <c r="IE62" s="199"/>
      <c r="IF62" s="196"/>
      <c r="IG62" s="196"/>
      <c r="IH62" s="196"/>
      <c r="II62" s="196"/>
      <c r="IJ62" s="196"/>
      <c r="IK62" s="200"/>
      <c r="IL62" s="195"/>
      <c r="IM62" s="196"/>
      <c r="IN62" s="196"/>
      <c r="IO62" s="196"/>
      <c r="IP62" s="196"/>
      <c r="IQ62" s="197"/>
      <c r="IR62" s="196"/>
      <c r="IS62" s="196"/>
      <c r="IT62" s="196"/>
      <c r="IU62" s="196"/>
      <c r="IV62" s="196"/>
      <c r="IW62" s="198"/>
      <c r="IX62" s="196"/>
      <c r="IY62" s="196"/>
      <c r="IZ62" s="196"/>
      <c r="JA62" s="196"/>
      <c r="JB62" s="196"/>
      <c r="JC62" s="199"/>
      <c r="JD62" s="196"/>
      <c r="JE62" s="196"/>
      <c r="JF62" s="196"/>
      <c r="JG62" s="196"/>
      <c r="JH62" s="196"/>
      <c r="JI62" s="198"/>
      <c r="JJ62" s="196"/>
      <c r="JK62" s="196"/>
      <c r="JL62" s="196"/>
      <c r="JM62" s="196"/>
      <c r="JN62" s="196"/>
      <c r="JO62" s="199"/>
      <c r="JP62" s="196"/>
      <c r="JQ62" s="196"/>
      <c r="JR62" s="196"/>
      <c r="JS62" s="196"/>
      <c r="JT62" s="196"/>
      <c r="JU62" s="198"/>
      <c r="JV62" s="196"/>
      <c r="JW62" s="196"/>
      <c r="JX62" s="196"/>
      <c r="JY62" s="196"/>
      <c r="JZ62" s="196"/>
      <c r="KA62" s="199"/>
      <c r="KB62" s="196"/>
      <c r="KC62" s="196"/>
      <c r="KD62" s="196"/>
      <c r="KE62" s="196"/>
      <c r="KF62" s="196"/>
      <c r="KG62" s="198"/>
      <c r="KH62" s="196"/>
      <c r="KI62" s="196"/>
      <c r="KJ62" s="196"/>
      <c r="KK62" s="196"/>
      <c r="KL62" s="196"/>
      <c r="KM62" s="199"/>
      <c r="KN62" s="196"/>
      <c r="KO62" s="196"/>
      <c r="KP62" s="196"/>
      <c r="KQ62" s="196"/>
      <c r="KR62" s="196"/>
      <c r="KS62" s="200"/>
      <c r="KT62" s="195"/>
      <c r="KU62" s="196"/>
      <c r="KV62" s="196"/>
      <c r="KW62" s="196"/>
      <c r="KX62" s="196"/>
      <c r="KY62" s="197"/>
      <c r="KZ62" s="196"/>
      <c r="LA62" s="196"/>
      <c r="LB62" s="196"/>
      <c r="LC62" s="196"/>
      <c r="LD62" s="196"/>
      <c r="LE62" s="198"/>
      <c r="LF62" s="196"/>
      <c r="LG62" s="196"/>
      <c r="LH62" s="196"/>
      <c r="LI62" s="196"/>
      <c r="LJ62" s="196"/>
      <c r="LK62" s="199"/>
      <c r="LL62" s="196"/>
      <c r="LM62" s="196"/>
      <c r="LN62" s="196"/>
      <c r="LO62" s="196"/>
      <c r="LP62" s="196"/>
      <c r="LQ62" s="198"/>
      <c r="LR62" s="196"/>
      <c r="LS62" s="196"/>
      <c r="LT62" s="196"/>
      <c r="LU62" s="196"/>
      <c r="LV62" s="196"/>
      <c r="LW62" s="199"/>
      <c r="LX62" s="196"/>
      <c r="LY62" s="196"/>
      <c r="LZ62" s="196"/>
      <c r="MA62" s="196"/>
      <c r="MB62" s="196"/>
      <c r="MC62" s="198"/>
      <c r="MD62" s="196"/>
      <c r="ME62" s="196"/>
      <c r="MF62" s="196"/>
      <c r="MG62" s="196"/>
      <c r="MH62" s="196"/>
      <c r="MI62" s="199"/>
      <c r="MJ62" s="196"/>
      <c r="MK62" s="196"/>
      <c r="ML62" s="196"/>
      <c r="MM62" s="196"/>
      <c r="MN62" s="196"/>
      <c r="MO62" s="198"/>
      <c r="MP62" s="196"/>
      <c r="MQ62" s="196"/>
      <c r="MR62" s="196"/>
      <c r="MS62" s="196"/>
      <c r="MT62" s="196"/>
      <c r="MU62" s="199"/>
      <c r="MV62" s="196"/>
      <c r="MW62" s="196"/>
      <c r="MX62" s="196"/>
      <c r="MY62" s="196"/>
      <c r="MZ62" s="196"/>
      <c r="NA62" s="200"/>
      <c r="NB62" s="195"/>
      <c r="NC62" s="196"/>
      <c r="ND62" s="196"/>
      <c r="NE62" s="196"/>
      <c r="NF62" s="196"/>
      <c r="NG62" s="197"/>
      <c r="NH62" s="196"/>
      <c r="NI62" s="196"/>
      <c r="NJ62" s="196"/>
      <c r="NK62" s="196"/>
      <c r="NL62" s="196"/>
      <c r="NM62" s="198"/>
      <c r="NN62" s="196"/>
      <c r="NO62" s="196"/>
      <c r="NP62" s="196"/>
      <c r="NQ62" s="196"/>
      <c r="NR62" s="196"/>
      <c r="NS62" s="199"/>
      <c r="NT62" s="196"/>
      <c r="NU62" s="196"/>
      <c r="NV62" s="196"/>
      <c r="NW62" s="196"/>
      <c r="NX62" s="196"/>
      <c r="NY62" s="198"/>
      <c r="NZ62" s="196"/>
      <c r="OA62" s="196"/>
      <c r="OB62" s="196"/>
      <c r="OC62" s="196"/>
      <c r="OD62" s="196"/>
      <c r="OE62" s="199"/>
      <c r="OF62" s="196"/>
      <c r="OG62" s="196"/>
      <c r="OH62" s="196"/>
      <c r="OI62" s="196"/>
      <c r="OJ62" s="196"/>
      <c r="OK62" s="198"/>
      <c r="OL62" s="196"/>
      <c r="OM62" s="196"/>
      <c r="ON62" s="196"/>
      <c r="OO62" s="196"/>
      <c r="OP62" s="196"/>
      <c r="OQ62" s="199"/>
      <c r="OR62" s="196"/>
      <c r="OS62" s="196"/>
      <c r="OT62" s="196"/>
      <c r="OU62" s="196"/>
      <c r="OV62" s="196"/>
      <c r="OW62" s="198"/>
      <c r="OX62" s="196"/>
      <c r="OY62" s="196"/>
      <c r="OZ62" s="196"/>
      <c r="PA62" s="196"/>
      <c r="PB62" s="196"/>
      <c r="PC62" s="199"/>
      <c r="PD62" s="196"/>
      <c r="PE62" s="196"/>
      <c r="PF62" s="196"/>
      <c r="PG62" s="196"/>
      <c r="PH62" s="196"/>
      <c r="PI62" s="200"/>
      <c r="PJ62" s="195"/>
      <c r="PK62" s="196"/>
      <c r="PL62" s="196"/>
      <c r="PM62" s="196"/>
      <c r="PN62" s="196"/>
      <c r="PO62" s="197"/>
      <c r="PP62" s="196"/>
      <c r="PQ62" s="196"/>
      <c r="PR62" s="196"/>
      <c r="PS62" s="196"/>
      <c r="PT62" s="196"/>
      <c r="PU62" s="198"/>
      <c r="PV62" s="196"/>
      <c r="PW62" s="196"/>
      <c r="PX62" s="196"/>
      <c r="PY62" s="196"/>
      <c r="PZ62" s="196"/>
      <c r="QA62" s="199"/>
      <c r="QB62" s="196"/>
      <c r="QC62" s="196"/>
      <c r="QD62" s="196"/>
      <c r="QE62" s="196"/>
      <c r="QF62" s="196"/>
      <c r="QG62" s="198"/>
      <c r="QH62" s="196"/>
      <c r="QI62" s="196"/>
      <c r="QJ62" s="196"/>
      <c r="QK62" s="196"/>
      <c r="QL62" s="196"/>
      <c r="QM62" s="199"/>
      <c r="QN62" s="196"/>
      <c r="QO62" s="196"/>
      <c r="QP62" s="196"/>
      <c r="QQ62" s="196"/>
      <c r="QR62" s="196"/>
      <c r="QS62" s="198"/>
      <c r="QT62" s="196"/>
      <c r="QU62" s="196"/>
      <c r="QV62" s="196"/>
      <c r="QW62" s="196"/>
      <c r="QX62" s="196"/>
      <c r="QY62" s="199"/>
      <c r="QZ62" s="196"/>
      <c r="RA62" s="196"/>
      <c r="RB62" s="196"/>
      <c r="RC62" s="196"/>
      <c r="RD62" s="196"/>
      <c r="RE62" s="198"/>
      <c r="RF62" s="196"/>
      <c r="RG62" s="196"/>
      <c r="RH62" s="196"/>
      <c r="RI62" s="196"/>
      <c r="RJ62" s="196"/>
      <c r="RK62" s="199"/>
      <c r="RL62" s="196"/>
      <c r="RM62" s="196"/>
      <c r="RN62" s="196"/>
      <c r="RO62" s="196"/>
      <c r="RP62" s="196"/>
      <c r="RQ62" s="200"/>
      <c r="RR62" s="195"/>
      <c r="RS62" s="196"/>
      <c r="RT62" s="196"/>
      <c r="RU62" s="196"/>
      <c r="RV62" s="196"/>
      <c r="RW62" s="197"/>
      <c r="RX62" s="196"/>
      <c r="RY62" s="196"/>
      <c r="RZ62" s="196"/>
      <c r="SA62" s="196"/>
      <c r="SB62" s="196"/>
      <c r="SC62" s="198"/>
      <c r="SD62" s="196"/>
      <c r="SE62" s="196"/>
      <c r="SF62" s="196"/>
      <c r="SG62" s="196"/>
      <c r="SH62" s="196"/>
      <c r="SI62" s="199"/>
      <c r="SJ62" s="196"/>
      <c r="SK62" s="196"/>
      <c r="SL62" s="196"/>
      <c r="SM62" s="196"/>
      <c r="SN62" s="196"/>
      <c r="SO62" s="198"/>
      <c r="SP62" s="196"/>
      <c r="SQ62" s="196"/>
      <c r="SR62" s="196"/>
      <c r="SS62" s="196"/>
      <c r="ST62" s="196"/>
      <c r="SU62" s="199"/>
      <c r="SV62" s="196"/>
      <c r="SW62" s="196"/>
      <c r="SX62" s="196"/>
      <c r="SY62" s="196"/>
      <c r="SZ62" s="196"/>
      <c r="TA62" s="198"/>
      <c r="TB62" s="196"/>
      <c r="TC62" s="196"/>
      <c r="TD62" s="196"/>
      <c r="TE62" s="196"/>
      <c r="TF62" s="196"/>
      <c r="TG62" s="199"/>
      <c r="TH62" s="196"/>
      <c r="TI62" s="196"/>
      <c r="TJ62" s="196"/>
      <c r="TK62" s="196"/>
      <c r="TL62" s="196"/>
      <c r="TM62" s="198"/>
      <c r="TN62" s="196"/>
      <c r="TO62" s="196"/>
      <c r="TP62" s="196"/>
      <c r="TQ62" s="196"/>
      <c r="TR62" s="196"/>
      <c r="TS62" s="199"/>
      <c r="TT62" s="196"/>
      <c r="TU62" s="196"/>
      <c r="TV62" s="196"/>
      <c r="TW62" s="196"/>
      <c r="TX62" s="196"/>
      <c r="TY62" s="200"/>
      <c r="TZ62" s="195"/>
      <c r="UA62" s="196"/>
      <c r="UB62" s="196"/>
      <c r="UC62" s="196"/>
      <c r="UD62" s="196"/>
      <c r="UE62" s="197"/>
      <c r="UF62" s="196"/>
      <c r="UG62" s="196"/>
      <c r="UH62" s="196"/>
      <c r="UI62" s="196"/>
      <c r="UJ62" s="196"/>
      <c r="UK62" s="198"/>
      <c r="UL62" s="196"/>
      <c r="UM62" s="196"/>
      <c r="UN62" s="196"/>
      <c r="UO62" s="196"/>
      <c r="UP62" s="196"/>
      <c r="UQ62" s="199"/>
      <c r="UR62" s="196"/>
      <c r="US62" s="196"/>
      <c r="UT62" s="196"/>
      <c r="UU62" s="196"/>
      <c r="UV62" s="196"/>
      <c r="UW62" s="198"/>
      <c r="UX62" s="196"/>
      <c r="UY62" s="196"/>
      <c r="UZ62" s="196"/>
      <c r="VA62" s="196"/>
      <c r="VB62" s="196"/>
      <c r="VC62" s="199"/>
      <c r="VD62" s="196"/>
      <c r="VE62" s="196"/>
      <c r="VF62" s="196"/>
      <c r="VG62" s="196"/>
      <c r="VH62" s="196"/>
      <c r="VI62" s="198"/>
      <c r="VJ62" s="196"/>
      <c r="VK62" s="196"/>
      <c r="VL62" s="196"/>
      <c r="VM62" s="196"/>
      <c r="VN62" s="196"/>
      <c r="VO62" s="199"/>
      <c r="VP62" s="196"/>
      <c r="VQ62" s="196"/>
      <c r="VR62" s="196"/>
      <c r="VS62" s="196"/>
      <c r="VT62" s="196"/>
      <c r="VU62" s="198"/>
      <c r="VV62" s="196"/>
      <c r="VW62" s="196"/>
      <c r="VX62" s="196"/>
      <c r="VY62" s="196"/>
      <c r="VZ62" s="196"/>
      <c r="WA62" s="199"/>
      <c r="WB62" s="196"/>
      <c r="WC62" s="196"/>
      <c r="WD62" s="196"/>
      <c r="WE62" s="196"/>
      <c r="WF62" s="196"/>
      <c r="WG62" s="200"/>
      <c r="WH62" s="195"/>
      <c r="WI62" s="196"/>
      <c r="WJ62" s="196"/>
      <c r="WK62" s="196"/>
      <c r="WL62" s="196"/>
      <c r="WM62" s="197"/>
      <c r="WN62" s="196"/>
      <c r="WO62" s="196"/>
      <c r="WP62" s="196"/>
      <c r="WQ62" s="196"/>
      <c r="WR62" s="196"/>
      <c r="WS62" s="198"/>
      <c r="WT62" s="196"/>
      <c r="WU62" s="196"/>
      <c r="WV62" s="196"/>
      <c r="WW62" s="196"/>
      <c r="WX62" s="196"/>
      <c r="WY62" s="199"/>
      <c r="WZ62" s="196"/>
      <c r="XA62" s="196"/>
      <c r="XB62" s="196"/>
      <c r="XC62" s="196"/>
      <c r="XD62" s="196"/>
      <c r="XE62" s="198"/>
      <c r="XF62" s="196"/>
      <c r="XG62" s="196"/>
      <c r="XH62" s="196"/>
      <c r="XI62" s="196"/>
      <c r="XJ62" s="196"/>
      <c r="XK62" s="199"/>
      <c r="XL62" s="196"/>
      <c r="XM62" s="196"/>
      <c r="XN62" s="196"/>
      <c r="XO62" s="196"/>
      <c r="XP62" s="196"/>
      <c r="XQ62" s="198"/>
      <c r="XR62" s="196"/>
      <c r="XS62" s="196"/>
      <c r="XT62" s="196"/>
      <c r="XU62" s="196"/>
      <c r="XV62" s="196"/>
      <c r="XW62" s="199"/>
      <c r="XX62" s="196"/>
      <c r="XY62" s="196"/>
      <c r="XZ62" s="196"/>
      <c r="YA62" s="196"/>
      <c r="YB62" s="196"/>
      <c r="YC62" s="198"/>
      <c r="YD62" s="196"/>
      <c r="YE62" s="196"/>
      <c r="YF62" s="196"/>
      <c r="YG62" s="196"/>
      <c r="YH62" s="196"/>
      <c r="YI62" s="199"/>
      <c r="YJ62" s="196"/>
      <c r="YK62" s="196"/>
      <c r="YL62" s="196"/>
      <c r="YM62" s="196"/>
      <c r="YN62" s="196"/>
      <c r="YO62" s="200"/>
      <c r="YP62" s="195"/>
      <c r="YQ62" s="196"/>
      <c r="YR62" s="196"/>
      <c r="YS62" s="196"/>
      <c r="YT62" s="196"/>
      <c r="YU62" s="197"/>
      <c r="YV62" s="196"/>
      <c r="YW62" s="196"/>
      <c r="YX62" s="196"/>
      <c r="YY62" s="196"/>
      <c r="YZ62" s="196"/>
      <c r="ZA62" s="198"/>
      <c r="ZB62" s="196"/>
      <c r="ZC62" s="196"/>
      <c r="ZD62" s="196"/>
      <c r="ZE62" s="196"/>
      <c r="ZF62" s="196"/>
      <c r="ZG62" s="199"/>
      <c r="ZH62" s="196"/>
      <c r="ZI62" s="196"/>
      <c r="ZJ62" s="196"/>
      <c r="ZK62" s="196"/>
      <c r="ZL62" s="196"/>
      <c r="ZM62" s="198"/>
      <c r="ZN62" s="196"/>
      <c r="ZO62" s="196"/>
      <c r="ZP62" s="196"/>
      <c r="ZQ62" s="196"/>
      <c r="ZR62" s="196"/>
      <c r="ZS62" s="199"/>
      <c r="ZT62" s="196"/>
      <c r="ZU62" s="196"/>
      <c r="ZV62" s="196"/>
      <c r="ZW62" s="196"/>
      <c r="ZX62" s="196"/>
      <c r="ZY62" s="198"/>
      <c r="ZZ62" s="196"/>
      <c r="AAA62" s="196"/>
      <c r="AAB62" s="196"/>
      <c r="AAC62" s="196"/>
      <c r="AAD62" s="196"/>
      <c r="AAE62" s="199"/>
      <c r="AAF62" s="196"/>
      <c r="AAG62" s="196"/>
      <c r="AAH62" s="196"/>
      <c r="AAI62" s="196"/>
      <c r="AAJ62" s="196"/>
      <c r="AAK62" s="198"/>
      <c r="AAL62" s="196"/>
      <c r="AAM62" s="196"/>
      <c r="AAN62" s="196"/>
      <c r="AAO62" s="196"/>
      <c r="AAP62" s="196"/>
      <c r="AAQ62" s="199"/>
      <c r="AAR62" s="196"/>
      <c r="AAS62" s="196"/>
      <c r="AAT62" s="196"/>
      <c r="AAU62" s="196"/>
      <c r="AAV62" s="196"/>
      <c r="AAW62" s="200"/>
      <c r="AAX62" s="195"/>
      <c r="AAY62" s="196"/>
      <c r="AAZ62" s="196"/>
      <c r="ABA62" s="196"/>
      <c r="ABB62" s="196"/>
      <c r="ABC62" s="197"/>
      <c r="ABD62" s="196"/>
      <c r="ABE62" s="196"/>
      <c r="ABF62" s="196"/>
      <c r="ABG62" s="196"/>
      <c r="ABH62" s="196"/>
      <c r="ABI62" s="198"/>
      <c r="ABJ62" s="196"/>
      <c r="ABK62" s="196"/>
      <c r="ABL62" s="196"/>
      <c r="ABM62" s="196"/>
      <c r="ABN62" s="196"/>
      <c r="ABO62" s="199"/>
      <c r="ABP62" s="196"/>
      <c r="ABQ62" s="196"/>
      <c r="ABR62" s="196"/>
      <c r="ABS62" s="196"/>
      <c r="ABT62" s="196"/>
      <c r="ABU62" s="198"/>
      <c r="ABV62" s="196"/>
      <c r="ABW62" s="196"/>
      <c r="ABX62" s="196"/>
      <c r="ABY62" s="196"/>
      <c r="ABZ62" s="196"/>
      <c r="ACA62" s="199"/>
      <c r="ACB62" s="196"/>
      <c r="ACC62" s="196"/>
      <c r="ACD62" s="196"/>
      <c r="ACE62" s="196"/>
      <c r="ACF62" s="196"/>
      <c r="ACG62" s="198"/>
      <c r="ACH62" s="196"/>
      <c r="ACI62" s="196"/>
      <c r="ACJ62" s="196"/>
      <c r="ACK62" s="196"/>
      <c r="ACL62" s="196"/>
      <c r="ACM62" s="199"/>
      <c r="ACN62" s="196"/>
      <c r="ACO62" s="196"/>
      <c r="ACP62" s="196"/>
      <c r="ACQ62" s="196"/>
      <c r="ACR62" s="196"/>
      <c r="ACS62" s="198"/>
      <c r="ACT62" s="196"/>
      <c r="ACU62" s="196"/>
      <c r="ACV62" s="196"/>
      <c r="ACW62" s="196"/>
      <c r="ACX62" s="196"/>
      <c r="ACY62" s="199"/>
      <c r="ACZ62" s="196"/>
      <c r="ADA62" s="196"/>
      <c r="ADB62" s="196"/>
      <c r="ADC62" s="196"/>
      <c r="ADD62" s="196"/>
      <c r="ADE62" s="200"/>
      <c r="ADF62" s="195"/>
      <c r="ADG62" s="196"/>
      <c r="ADH62" s="196"/>
      <c r="ADI62" s="196"/>
      <c r="ADJ62" s="196"/>
      <c r="ADK62" s="197"/>
      <c r="ADL62" s="196"/>
      <c r="ADM62" s="196"/>
      <c r="ADN62" s="196"/>
      <c r="ADO62" s="196"/>
      <c r="ADP62" s="196"/>
      <c r="ADQ62" s="198"/>
      <c r="ADR62" s="196"/>
      <c r="ADS62" s="196"/>
      <c r="ADT62" s="196"/>
      <c r="ADU62" s="196"/>
      <c r="ADV62" s="196"/>
      <c r="ADW62" s="199"/>
      <c r="ADX62" s="196"/>
      <c r="ADY62" s="196"/>
      <c r="ADZ62" s="196"/>
      <c r="AEA62" s="196"/>
      <c r="AEB62" s="196"/>
      <c r="AEC62" s="198"/>
      <c r="AED62" s="196"/>
      <c r="AEE62" s="196"/>
      <c r="AEF62" s="196"/>
      <c r="AEG62" s="196"/>
      <c r="AEH62" s="196"/>
      <c r="AEI62" s="199"/>
      <c r="AEJ62" s="196"/>
      <c r="AEK62" s="196"/>
      <c r="AEL62" s="196"/>
      <c r="AEM62" s="196"/>
      <c r="AEN62" s="196"/>
      <c r="AEO62" s="198"/>
      <c r="AEP62" s="196"/>
      <c r="AEQ62" s="196"/>
      <c r="AER62" s="196"/>
      <c r="AES62" s="196"/>
      <c r="AET62" s="196"/>
      <c r="AEU62" s="199"/>
      <c r="AEV62" s="196"/>
      <c r="AEW62" s="196"/>
      <c r="AEX62" s="196"/>
      <c r="AEY62" s="196"/>
      <c r="AEZ62" s="196"/>
      <c r="AFA62" s="198"/>
      <c r="AFB62" s="196"/>
      <c r="AFC62" s="196"/>
      <c r="AFD62" s="196"/>
      <c r="AFE62" s="196"/>
      <c r="AFF62" s="196"/>
      <c r="AFG62" s="199"/>
      <c r="AFH62" s="196"/>
      <c r="AFI62" s="196"/>
      <c r="AFJ62" s="196"/>
      <c r="AFK62" s="196"/>
      <c r="AFL62" s="196"/>
      <c r="AFM62" s="200"/>
      <c r="AFN62" s="195"/>
      <c r="AFO62" s="196"/>
      <c r="AFP62" s="196"/>
      <c r="AFQ62" s="196"/>
      <c r="AFR62" s="196"/>
      <c r="AFS62" s="197"/>
      <c r="AFT62" s="196"/>
      <c r="AFU62" s="196"/>
      <c r="AFV62" s="196"/>
      <c r="AFW62" s="196"/>
      <c r="AFX62" s="196"/>
      <c r="AFY62" s="198"/>
      <c r="AFZ62" s="196"/>
      <c r="AGA62" s="196"/>
      <c r="AGB62" s="196"/>
      <c r="AGC62" s="196"/>
      <c r="AGD62" s="196"/>
      <c r="AGE62" s="199"/>
      <c r="AGF62" s="196"/>
      <c r="AGG62" s="196"/>
      <c r="AGH62" s="196"/>
      <c r="AGI62" s="196"/>
      <c r="AGJ62" s="196"/>
      <c r="AGK62" s="198"/>
      <c r="AGL62" s="196"/>
      <c r="AGM62" s="196"/>
      <c r="AGN62" s="196"/>
      <c r="AGO62" s="196"/>
      <c r="AGP62" s="196"/>
      <c r="AGQ62" s="199"/>
      <c r="AGR62" s="196"/>
      <c r="AGS62" s="196"/>
      <c r="AGT62" s="196"/>
      <c r="AGU62" s="196"/>
      <c r="AGV62" s="196"/>
      <c r="AGW62" s="198"/>
      <c r="AGX62" s="196"/>
      <c r="AGY62" s="196"/>
      <c r="AGZ62" s="196"/>
      <c r="AHA62" s="196"/>
      <c r="AHB62" s="196"/>
      <c r="AHC62" s="199"/>
      <c r="AHD62" s="196"/>
      <c r="AHE62" s="196"/>
      <c r="AHF62" s="196"/>
      <c r="AHG62" s="196"/>
      <c r="AHH62" s="196"/>
      <c r="AHI62" s="198"/>
      <c r="AHJ62" s="196"/>
      <c r="AHK62" s="196"/>
      <c r="AHL62" s="196"/>
      <c r="AHM62" s="196"/>
      <c r="AHN62" s="196"/>
      <c r="AHO62" s="199"/>
      <c r="AHP62" s="196"/>
      <c r="AHQ62" s="196"/>
      <c r="AHR62" s="196"/>
      <c r="AHS62" s="196"/>
      <c r="AHT62" s="196"/>
      <c r="AHU62" s="200"/>
      <c r="AHV62" s="195"/>
      <c r="AHW62" s="196"/>
      <c r="AHX62" s="196"/>
      <c r="AHY62" s="196"/>
      <c r="AHZ62" s="196"/>
      <c r="AIA62" s="197"/>
      <c r="AIB62" s="196"/>
      <c r="AIC62" s="196"/>
      <c r="AID62" s="196"/>
      <c r="AIE62" s="196"/>
      <c r="AIF62" s="196"/>
      <c r="AIG62" s="198"/>
      <c r="AIH62" s="196"/>
      <c r="AII62" s="196"/>
      <c r="AIJ62" s="196"/>
      <c r="AIK62" s="196"/>
      <c r="AIL62" s="196"/>
      <c r="AIM62" s="199"/>
      <c r="AIN62" s="196"/>
      <c r="AIO62" s="196"/>
      <c r="AIP62" s="196"/>
      <c r="AIQ62" s="196"/>
      <c r="AIR62" s="196"/>
      <c r="AIS62" s="198"/>
      <c r="AIT62" s="196"/>
      <c r="AIU62" s="196"/>
      <c r="AIV62" s="196"/>
      <c r="AIW62" s="196"/>
      <c r="AIX62" s="196"/>
      <c r="AIY62" s="199"/>
      <c r="AIZ62" s="196"/>
      <c r="AJA62" s="196"/>
      <c r="AJB62" s="196"/>
      <c r="AJC62" s="196"/>
      <c r="AJD62" s="196"/>
      <c r="AJE62" s="198"/>
      <c r="AJF62" s="196"/>
      <c r="AJG62" s="196"/>
      <c r="AJH62" s="196"/>
      <c r="AJI62" s="196"/>
      <c r="AJJ62" s="196"/>
      <c r="AJK62" s="199"/>
      <c r="AJL62" s="196"/>
      <c r="AJM62" s="196"/>
      <c r="AJN62" s="196"/>
      <c r="AJO62" s="196"/>
      <c r="AJP62" s="196"/>
      <c r="AJQ62" s="198"/>
      <c r="AJR62" s="196"/>
      <c r="AJS62" s="196"/>
      <c r="AJT62" s="196"/>
      <c r="AJU62" s="196"/>
      <c r="AJV62" s="196"/>
      <c r="AJW62" s="199"/>
      <c r="AJX62" s="196"/>
      <c r="AJY62" s="196"/>
      <c r="AJZ62" s="196"/>
      <c r="AKA62" s="196"/>
      <c r="AKB62" s="196"/>
      <c r="AKC62" s="200"/>
      <c r="AKD62" s="195"/>
      <c r="AKE62" s="196"/>
      <c r="AKF62" s="196"/>
      <c r="AKG62" s="196"/>
      <c r="AKH62" s="196"/>
      <c r="AKI62" s="197"/>
      <c r="AKJ62" s="196"/>
      <c r="AKK62" s="196"/>
      <c r="AKL62" s="196"/>
      <c r="AKM62" s="196"/>
      <c r="AKN62" s="196"/>
      <c r="AKO62" s="198"/>
      <c r="AKP62" s="196"/>
      <c r="AKQ62" s="196"/>
      <c r="AKR62" s="196"/>
      <c r="AKS62" s="196"/>
      <c r="AKT62" s="196"/>
      <c r="AKU62" s="199"/>
      <c r="AKV62" s="196"/>
      <c r="AKW62" s="196"/>
      <c r="AKX62" s="196"/>
      <c r="AKY62" s="196"/>
      <c r="AKZ62" s="196"/>
      <c r="ALA62" s="198"/>
      <c r="ALB62" s="196"/>
      <c r="ALC62" s="196"/>
      <c r="ALD62" s="196"/>
      <c r="ALE62" s="196"/>
      <c r="ALF62" s="196"/>
      <c r="ALG62" s="199"/>
      <c r="ALH62" s="196"/>
      <c r="ALI62" s="196"/>
      <c r="ALJ62" s="196"/>
      <c r="ALK62" s="196"/>
      <c r="ALL62" s="196"/>
      <c r="ALM62" s="198"/>
      <c r="ALN62" s="196"/>
      <c r="ALO62" s="196"/>
      <c r="ALP62" s="196"/>
      <c r="ALQ62" s="196"/>
      <c r="ALR62" s="196"/>
      <c r="ALS62" s="199"/>
      <c r="ALT62" s="196"/>
      <c r="ALU62" s="196"/>
      <c r="ALV62" s="196"/>
      <c r="ALW62" s="196"/>
      <c r="ALX62" s="196"/>
      <c r="ALY62" s="198"/>
      <c r="ALZ62" s="196"/>
      <c r="AMA62" s="196"/>
      <c r="AMB62" s="196"/>
      <c r="AMC62" s="196"/>
      <c r="AMD62" s="196"/>
      <c r="AME62" s="199"/>
      <c r="AMF62" s="196"/>
      <c r="AMG62" s="196"/>
      <c r="AMH62" s="196"/>
      <c r="AMI62" s="196"/>
      <c r="AMJ62" s="196"/>
      <c r="AMK62" s="200"/>
      <c r="AML62" s="195"/>
      <c r="AMM62" s="196"/>
      <c r="AMN62" s="196"/>
      <c r="AMO62" s="196"/>
      <c r="AMP62" s="196"/>
      <c r="AMQ62" s="197"/>
      <c r="AMR62" s="196"/>
      <c r="AMS62" s="196"/>
      <c r="AMT62" s="196"/>
      <c r="AMU62" s="196"/>
      <c r="AMV62" s="196"/>
      <c r="AMW62" s="198"/>
      <c r="AMX62" s="196"/>
      <c r="AMY62" s="196"/>
      <c r="AMZ62" s="196"/>
      <c r="ANA62" s="196"/>
      <c r="ANB62" s="196"/>
      <c r="ANC62" s="199"/>
      <c r="AND62" s="196"/>
      <c r="ANE62" s="196"/>
      <c r="ANF62" s="196"/>
      <c r="ANG62" s="196"/>
      <c r="ANH62" s="196"/>
      <c r="ANI62" s="198"/>
      <c r="ANJ62" s="196"/>
      <c r="ANK62" s="196"/>
      <c r="ANL62" s="196"/>
      <c r="ANM62" s="196"/>
      <c r="ANN62" s="196"/>
      <c r="ANO62" s="199"/>
      <c r="ANP62" s="196"/>
      <c r="ANQ62" s="196"/>
      <c r="ANR62" s="196"/>
      <c r="ANS62" s="196"/>
      <c r="ANT62" s="196"/>
      <c r="ANU62" s="198"/>
      <c r="ANV62" s="196"/>
      <c r="ANW62" s="196"/>
      <c r="ANX62" s="196"/>
      <c r="ANY62" s="196"/>
      <c r="ANZ62" s="196"/>
      <c r="AOA62" s="199"/>
      <c r="AOB62" s="196"/>
      <c r="AOC62" s="196"/>
      <c r="AOD62" s="196"/>
      <c r="AOE62" s="196"/>
      <c r="AOF62" s="196"/>
      <c r="AOG62" s="198"/>
      <c r="AOH62" s="196"/>
      <c r="AOI62" s="196"/>
      <c r="AOJ62" s="196"/>
      <c r="AOK62" s="196"/>
      <c r="AOL62" s="196"/>
      <c r="AOM62" s="199"/>
      <c r="AON62" s="196"/>
      <c r="AOO62" s="196"/>
      <c r="AOP62" s="196"/>
      <c r="AOQ62" s="196"/>
      <c r="AOR62" s="196"/>
      <c r="AOS62" s="200"/>
      <c r="AOT62" s="195"/>
      <c r="AOU62" s="196"/>
      <c r="AOV62" s="196"/>
      <c r="AOW62" s="196"/>
      <c r="AOX62" s="196"/>
      <c r="AOY62" s="197"/>
      <c r="AOZ62" s="196"/>
      <c r="APA62" s="196"/>
      <c r="APB62" s="196"/>
      <c r="APC62" s="196"/>
      <c r="APD62" s="196"/>
      <c r="APE62" s="198"/>
      <c r="APF62" s="196"/>
      <c r="APG62" s="196"/>
      <c r="APH62" s="196"/>
      <c r="API62" s="196"/>
      <c r="APJ62" s="196"/>
      <c r="APK62" s="199"/>
      <c r="APL62" s="196"/>
      <c r="APM62" s="196"/>
      <c r="APN62" s="196"/>
      <c r="APO62" s="196"/>
      <c r="APP62" s="196"/>
      <c r="APQ62" s="198"/>
      <c r="APR62" s="196"/>
      <c r="APS62" s="196"/>
      <c r="APT62" s="196"/>
      <c r="APU62" s="196"/>
      <c r="APV62" s="196"/>
      <c r="APW62" s="199"/>
      <c r="APX62" s="196"/>
      <c r="APY62" s="196"/>
      <c r="APZ62" s="196"/>
      <c r="AQA62" s="196"/>
      <c r="AQB62" s="196"/>
      <c r="AQC62" s="198"/>
      <c r="AQD62" s="196"/>
      <c r="AQE62" s="196"/>
      <c r="AQF62" s="196"/>
      <c r="AQG62" s="196"/>
      <c r="AQH62" s="196"/>
      <c r="AQI62" s="199"/>
      <c r="AQJ62" s="196"/>
      <c r="AQK62" s="196"/>
      <c r="AQL62" s="196"/>
      <c r="AQM62" s="196"/>
      <c r="AQN62" s="196"/>
      <c r="AQO62" s="198"/>
      <c r="AQP62" s="196"/>
      <c r="AQQ62" s="196"/>
      <c r="AQR62" s="196"/>
      <c r="AQS62" s="196"/>
      <c r="AQT62" s="196"/>
      <c r="AQU62" s="199"/>
      <c r="AQV62" s="196"/>
      <c r="AQW62" s="196"/>
      <c r="AQX62" s="196"/>
      <c r="AQY62" s="196"/>
      <c r="AQZ62" s="196"/>
      <c r="ARA62" s="200"/>
      <c r="ARB62" s="195"/>
      <c r="ARC62" s="196"/>
      <c r="ARD62" s="196"/>
      <c r="ARE62" s="196"/>
      <c r="ARF62" s="196"/>
      <c r="ARG62" s="197"/>
      <c r="ARH62" s="196"/>
      <c r="ARI62" s="196"/>
      <c r="ARJ62" s="196"/>
      <c r="ARK62" s="196"/>
      <c r="ARL62" s="196"/>
      <c r="ARM62" s="198"/>
      <c r="ARN62" s="196"/>
      <c r="ARO62" s="196"/>
      <c r="ARP62" s="196"/>
      <c r="ARQ62" s="196"/>
      <c r="ARR62" s="196"/>
      <c r="ARS62" s="199"/>
      <c r="ART62" s="196"/>
      <c r="ARU62" s="196"/>
      <c r="ARV62" s="196"/>
      <c r="ARW62" s="196"/>
      <c r="ARX62" s="196"/>
      <c r="ARY62" s="198"/>
      <c r="ARZ62" s="196"/>
      <c r="ASA62" s="196"/>
      <c r="ASB62" s="196"/>
      <c r="ASC62" s="196"/>
      <c r="ASD62" s="196"/>
      <c r="ASE62" s="199"/>
      <c r="ASF62" s="196"/>
      <c r="ASG62" s="196"/>
      <c r="ASH62" s="196"/>
      <c r="ASI62" s="196"/>
      <c r="ASJ62" s="196"/>
      <c r="ASK62" s="198"/>
      <c r="ASL62" s="196"/>
      <c r="ASM62" s="196"/>
      <c r="ASN62" s="196"/>
      <c r="ASO62" s="196"/>
      <c r="ASP62" s="196"/>
      <c r="ASQ62" s="199"/>
      <c r="ASR62" s="196"/>
      <c r="ASS62" s="196"/>
      <c r="AST62" s="196"/>
      <c r="ASU62" s="196"/>
      <c r="ASV62" s="196"/>
      <c r="ASW62" s="198"/>
      <c r="ASX62" s="196"/>
      <c r="ASY62" s="196"/>
      <c r="ASZ62" s="196"/>
      <c r="ATA62" s="196"/>
      <c r="ATB62" s="196"/>
      <c r="ATC62" s="199"/>
      <c r="ATD62" s="196"/>
      <c r="ATE62" s="196"/>
      <c r="ATF62" s="196"/>
      <c r="ATG62" s="196"/>
      <c r="ATH62" s="196"/>
      <c r="ATI62" s="200"/>
      <c r="ATJ62" s="195"/>
      <c r="ATK62" s="196"/>
      <c r="ATL62" s="196"/>
      <c r="ATM62" s="196"/>
      <c r="ATN62" s="196"/>
      <c r="ATO62" s="197"/>
      <c r="ATP62" s="196"/>
      <c r="ATQ62" s="196"/>
      <c r="ATR62" s="196"/>
      <c r="ATS62" s="196"/>
      <c r="ATT62" s="196"/>
      <c r="ATU62" s="198"/>
      <c r="ATV62" s="196"/>
      <c r="ATW62" s="196"/>
      <c r="ATX62" s="196"/>
      <c r="ATY62" s="196"/>
      <c r="ATZ62" s="196"/>
      <c r="AUA62" s="199"/>
      <c r="AUB62" s="196"/>
      <c r="AUC62" s="196"/>
      <c r="AUD62" s="196"/>
      <c r="AUE62" s="196"/>
      <c r="AUF62" s="196"/>
      <c r="AUG62" s="198"/>
      <c r="AUH62" s="196"/>
      <c r="AUI62" s="196"/>
      <c r="AUJ62" s="196"/>
      <c r="AUK62" s="196"/>
      <c r="AUL62" s="196"/>
      <c r="AUM62" s="199"/>
      <c r="AUN62" s="196"/>
      <c r="AUO62" s="196"/>
      <c r="AUP62" s="196"/>
      <c r="AUQ62" s="196"/>
      <c r="AUR62" s="196"/>
      <c r="AUS62" s="198"/>
      <c r="AUT62" s="196"/>
      <c r="AUU62" s="196"/>
      <c r="AUV62" s="196"/>
      <c r="AUW62" s="196"/>
      <c r="AUX62" s="196"/>
      <c r="AUY62" s="199"/>
      <c r="AUZ62" s="196"/>
      <c r="AVA62" s="196"/>
      <c r="AVB62" s="196"/>
      <c r="AVC62" s="196"/>
      <c r="AVD62" s="196"/>
      <c r="AVE62" s="198"/>
      <c r="AVF62" s="196"/>
      <c r="AVG62" s="196"/>
      <c r="AVH62" s="196"/>
      <c r="AVI62" s="196"/>
      <c r="AVJ62" s="196"/>
      <c r="AVK62" s="199"/>
      <c r="AVL62" s="196"/>
      <c r="AVM62" s="196"/>
      <c r="AVN62" s="196"/>
      <c r="AVO62" s="196"/>
      <c r="AVP62" s="196"/>
      <c r="AVQ62" s="200"/>
      <c r="AVR62" s="195"/>
      <c r="AVS62" s="196"/>
      <c r="AVT62" s="196"/>
      <c r="AVU62" s="196"/>
      <c r="AVV62" s="196"/>
      <c r="AVW62" s="197"/>
      <c r="AVX62" s="196"/>
      <c r="AVY62" s="196"/>
      <c r="AVZ62" s="196"/>
      <c r="AWA62" s="196"/>
      <c r="AWB62" s="196"/>
      <c r="AWC62" s="198"/>
      <c r="AWD62" s="196"/>
      <c r="AWE62" s="196"/>
      <c r="AWF62" s="196"/>
      <c r="AWG62" s="196"/>
      <c r="AWH62" s="196"/>
      <c r="AWI62" s="199"/>
      <c r="AWJ62" s="196"/>
      <c r="AWK62" s="196"/>
      <c r="AWL62" s="196"/>
      <c r="AWM62" s="196"/>
      <c r="AWN62" s="196"/>
      <c r="AWO62" s="198"/>
      <c r="AWP62" s="196"/>
      <c r="AWQ62" s="196"/>
      <c r="AWR62" s="196"/>
      <c r="AWS62" s="196"/>
      <c r="AWT62" s="196"/>
      <c r="AWU62" s="199"/>
      <c r="AWV62" s="196"/>
      <c r="AWW62" s="196"/>
      <c r="AWX62" s="196"/>
      <c r="AWY62" s="196"/>
      <c r="AWZ62" s="196"/>
      <c r="AXA62" s="198"/>
      <c r="AXB62" s="196"/>
      <c r="AXC62" s="196"/>
      <c r="AXD62" s="196"/>
      <c r="AXE62" s="196"/>
      <c r="AXF62" s="196"/>
      <c r="AXG62" s="199"/>
      <c r="AXH62" s="196"/>
      <c r="AXI62" s="196"/>
      <c r="AXJ62" s="196"/>
      <c r="AXK62" s="196"/>
      <c r="AXL62" s="196"/>
      <c r="AXM62" s="198"/>
      <c r="AXN62" s="196"/>
      <c r="AXO62" s="196"/>
      <c r="AXP62" s="196"/>
      <c r="AXQ62" s="196"/>
      <c r="AXR62" s="196"/>
      <c r="AXS62" s="199"/>
      <c r="AXT62" s="196"/>
      <c r="AXU62" s="196"/>
      <c r="AXV62" s="196"/>
      <c r="AXW62" s="196"/>
      <c r="AXX62" s="196"/>
      <c r="AXY62" s="200"/>
      <c r="AXZ62" s="195"/>
      <c r="AYA62" s="196"/>
      <c r="AYB62" s="196"/>
      <c r="AYC62" s="196"/>
      <c r="AYD62" s="196"/>
      <c r="AYE62" s="197"/>
      <c r="AYF62" s="196"/>
      <c r="AYG62" s="196"/>
      <c r="AYH62" s="196"/>
      <c r="AYI62" s="196"/>
      <c r="AYJ62" s="196"/>
      <c r="AYK62" s="198"/>
      <c r="AYL62" s="196"/>
      <c r="AYM62" s="196"/>
      <c r="AYN62" s="196"/>
      <c r="AYO62" s="196"/>
      <c r="AYP62" s="196"/>
      <c r="AYQ62" s="199"/>
      <c r="AYR62" s="196"/>
      <c r="AYS62" s="196"/>
      <c r="AYT62" s="196"/>
      <c r="AYU62" s="196"/>
      <c r="AYV62" s="196"/>
      <c r="AYW62" s="198"/>
      <c r="AYX62" s="196"/>
      <c r="AYY62" s="196"/>
      <c r="AYZ62" s="196"/>
      <c r="AZA62" s="196"/>
      <c r="AZB62" s="196"/>
      <c r="AZC62" s="199"/>
      <c r="AZD62" s="196"/>
      <c r="AZE62" s="196"/>
      <c r="AZF62" s="196"/>
      <c r="AZG62" s="196"/>
      <c r="AZH62" s="196"/>
      <c r="AZI62" s="198"/>
      <c r="AZJ62" s="196"/>
      <c r="AZK62" s="196"/>
      <c r="AZL62" s="196"/>
      <c r="AZM62" s="196"/>
      <c r="AZN62" s="196"/>
      <c r="AZO62" s="199"/>
      <c r="AZP62" s="196"/>
      <c r="AZQ62" s="196"/>
      <c r="AZR62" s="196"/>
      <c r="AZS62" s="196"/>
      <c r="AZT62" s="196"/>
      <c r="AZU62" s="198"/>
      <c r="AZV62" s="196"/>
      <c r="AZW62" s="196"/>
      <c r="AZX62" s="196"/>
      <c r="AZY62" s="196"/>
      <c r="AZZ62" s="196"/>
      <c r="BAA62" s="199"/>
      <c r="BAB62" s="196"/>
      <c r="BAC62" s="196"/>
      <c r="BAD62" s="196"/>
      <c r="BAE62" s="196"/>
      <c r="BAF62" s="196"/>
      <c r="BAG62" s="200"/>
      <c r="BAH62" s="195"/>
      <c r="BAI62" s="196"/>
      <c r="BAJ62" s="196"/>
      <c r="BAK62" s="196"/>
      <c r="BAL62" s="196"/>
      <c r="BAM62" s="197"/>
      <c r="BAN62" s="196"/>
      <c r="BAO62" s="196"/>
      <c r="BAP62" s="196"/>
      <c r="BAQ62" s="196"/>
      <c r="BAR62" s="196"/>
      <c r="BAS62" s="198"/>
      <c r="BAT62" s="196"/>
      <c r="BAU62" s="196"/>
      <c r="BAV62" s="196"/>
      <c r="BAW62" s="196"/>
      <c r="BAX62" s="196"/>
      <c r="BAY62" s="199"/>
      <c r="BAZ62" s="196"/>
      <c r="BBA62" s="196"/>
      <c r="BBB62" s="196"/>
      <c r="BBC62" s="196"/>
      <c r="BBD62" s="196"/>
      <c r="BBE62" s="198"/>
      <c r="BBF62" s="196"/>
      <c r="BBG62" s="196"/>
      <c r="BBH62" s="196"/>
      <c r="BBI62" s="196"/>
      <c r="BBJ62" s="196"/>
      <c r="BBK62" s="199"/>
      <c r="BBL62" s="196"/>
      <c r="BBM62" s="196"/>
      <c r="BBN62" s="196"/>
      <c r="BBO62" s="196"/>
      <c r="BBP62" s="196"/>
      <c r="BBQ62" s="198"/>
      <c r="BBR62" s="196"/>
      <c r="BBS62" s="196"/>
      <c r="BBT62" s="196"/>
      <c r="BBU62" s="196"/>
      <c r="BBV62" s="196"/>
      <c r="BBW62" s="199"/>
      <c r="BBX62" s="196"/>
      <c r="BBY62" s="196"/>
      <c r="BBZ62" s="196"/>
      <c r="BCA62" s="196"/>
      <c r="BCB62" s="196"/>
      <c r="BCC62" s="198"/>
      <c r="BCD62" s="196"/>
      <c r="BCE62" s="196"/>
      <c r="BCF62" s="196"/>
      <c r="BCG62" s="196"/>
      <c r="BCH62" s="196"/>
      <c r="BCI62" s="199"/>
      <c r="BCJ62" s="196"/>
      <c r="BCK62" s="196"/>
      <c r="BCL62" s="196"/>
      <c r="BCM62" s="196"/>
      <c r="BCN62" s="196"/>
      <c r="BCO62" s="200"/>
      <c r="BCP62" s="195"/>
      <c r="BCQ62" s="196"/>
      <c r="BCR62" s="196"/>
      <c r="BCS62" s="196"/>
      <c r="BCT62" s="196"/>
      <c r="BCU62" s="197"/>
      <c r="BCV62" s="196"/>
      <c r="BCW62" s="196"/>
      <c r="BCX62" s="196"/>
      <c r="BCY62" s="196"/>
      <c r="BCZ62" s="196"/>
      <c r="BDA62" s="198"/>
      <c r="BDB62" s="196"/>
      <c r="BDC62" s="196"/>
      <c r="BDD62" s="196"/>
      <c r="BDE62" s="196"/>
      <c r="BDF62" s="196"/>
      <c r="BDG62" s="199"/>
      <c r="BDH62" s="196"/>
      <c r="BDI62" s="196"/>
      <c r="BDJ62" s="196"/>
      <c r="BDK62" s="196"/>
      <c r="BDL62" s="196"/>
      <c r="BDM62" s="198"/>
      <c r="BDN62" s="196"/>
      <c r="BDO62" s="196"/>
      <c r="BDP62" s="196"/>
      <c r="BDQ62" s="196"/>
      <c r="BDR62" s="196"/>
      <c r="BDS62" s="199"/>
      <c r="BDT62" s="196"/>
      <c r="BDU62" s="196"/>
      <c r="BDV62" s="196"/>
      <c r="BDW62" s="196"/>
      <c r="BDX62" s="196"/>
      <c r="BDY62" s="198"/>
      <c r="BDZ62" s="196"/>
      <c r="BEA62" s="196"/>
      <c r="BEB62" s="196"/>
      <c r="BEC62" s="196"/>
      <c r="BED62" s="196"/>
      <c r="BEE62" s="199"/>
      <c r="BEF62" s="196"/>
      <c r="BEG62" s="196"/>
      <c r="BEH62" s="196"/>
      <c r="BEI62" s="196"/>
      <c r="BEJ62" s="196"/>
      <c r="BEK62" s="198"/>
      <c r="BEL62" s="196"/>
      <c r="BEM62" s="196"/>
      <c r="BEN62" s="196"/>
      <c r="BEO62" s="196"/>
      <c r="BEP62" s="196"/>
      <c r="BEQ62" s="199"/>
      <c r="BER62" s="196"/>
      <c r="BES62" s="196"/>
      <c r="BET62" s="196"/>
      <c r="BEU62" s="196"/>
      <c r="BEV62" s="196"/>
      <c r="BEW62" s="200"/>
      <c r="BEX62" s="195"/>
      <c r="BEY62" s="196"/>
      <c r="BEZ62" s="196"/>
      <c r="BFA62" s="196"/>
      <c r="BFB62" s="196"/>
      <c r="BFC62" s="197"/>
      <c r="BFD62" s="196"/>
      <c r="BFE62" s="196"/>
      <c r="BFF62" s="196"/>
      <c r="BFG62" s="196"/>
      <c r="BFH62" s="196"/>
      <c r="BFI62" s="198"/>
      <c r="BFJ62" s="196"/>
      <c r="BFK62" s="196"/>
      <c r="BFL62" s="196"/>
      <c r="BFM62" s="196"/>
      <c r="BFN62" s="196"/>
      <c r="BFO62" s="199"/>
      <c r="BFP62" s="196"/>
      <c r="BFQ62" s="196"/>
      <c r="BFR62" s="196"/>
      <c r="BFS62" s="196"/>
      <c r="BFT62" s="196"/>
      <c r="BFU62" s="198"/>
      <c r="BFV62" s="196"/>
      <c r="BFW62" s="196"/>
      <c r="BFX62" s="196"/>
      <c r="BFY62" s="196"/>
      <c r="BFZ62" s="196"/>
      <c r="BGA62" s="199"/>
      <c r="BGB62" s="196"/>
      <c r="BGC62" s="196"/>
      <c r="BGD62" s="196"/>
      <c r="BGE62" s="196"/>
      <c r="BGF62" s="196"/>
      <c r="BGG62" s="198"/>
      <c r="BGH62" s="196"/>
      <c r="BGI62" s="196"/>
      <c r="BGJ62" s="196"/>
      <c r="BGK62" s="196"/>
      <c r="BGL62" s="196"/>
      <c r="BGM62" s="199"/>
      <c r="BGN62" s="196"/>
      <c r="BGO62" s="196"/>
      <c r="BGP62" s="196"/>
      <c r="BGQ62" s="196"/>
      <c r="BGR62" s="196"/>
      <c r="BGS62" s="198"/>
      <c r="BGT62" s="196"/>
      <c r="BGU62" s="196"/>
      <c r="BGV62" s="196"/>
      <c r="BGW62" s="196"/>
      <c r="BGX62" s="196"/>
      <c r="BGY62" s="199"/>
      <c r="BGZ62" s="196"/>
      <c r="BHA62" s="196"/>
      <c r="BHB62" s="196"/>
      <c r="BHC62" s="196"/>
      <c r="BHD62" s="196"/>
      <c r="BHE62" s="200"/>
      <c r="BHF62" s="187"/>
      <c r="BHG62" s="188"/>
      <c r="BHH62" s="188"/>
      <c r="BHI62" s="188"/>
      <c r="BHJ62" s="188"/>
      <c r="BHK62" s="188"/>
      <c r="BHL62" s="188"/>
      <c r="BHM62" s="188"/>
      <c r="BHN62" s="188"/>
      <c r="BHO62" s="188"/>
      <c r="BHP62" s="188"/>
      <c r="BHQ62" s="188"/>
      <c r="BHR62" s="188"/>
      <c r="BHS62" s="188"/>
      <c r="BHT62" s="188"/>
      <c r="BHU62" s="188"/>
      <c r="BHV62" s="188"/>
      <c r="BHW62" s="188"/>
      <c r="BHX62" s="188"/>
      <c r="BHY62" s="188"/>
      <c r="BHZ62" s="188"/>
      <c r="BIA62" s="188"/>
      <c r="BIB62" s="188"/>
      <c r="BIC62" s="188"/>
      <c r="BID62" s="188"/>
      <c r="BIE62" s="188"/>
      <c r="BIF62" s="188"/>
      <c r="BIG62" s="188"/>
      <c r="BIH62" s="188"/>
      <c r="BII62" s="188"/>
      <c r="BIJ62" s="188"/>
      <c r="BIK62" s="188"/>
      <c r="BIL62" s="188"/>
      <c r="BIM62" s="188"/>
      <c r="BIN62" s="188"/>
      <c r="BIO62" s="188"/>
      <c r="BIP62" s="188"/>
    </row>
    <row r="63" spans="1:1602" ht="20.100000000000001" customHeight="1" x14ac:dyDescent="0.25">
      <c r="A63" s="78" t="s">
        <v>49</v>
      </c>
      <c r="B63" s="51"/>
      <c r="C63" s="230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87"/>
      <c r="BHG63" s="188"/>
      <c r="BHH63" s="188"/>
      <c r="BHI63" s="188"/>
      <c r="BHJ63" s="188"/>
      <c r="BHK63" s="188"/>
      <c r="BHL63" s="188"/>
      <c r="BHM63" s="188"/>
      <c r="BHN63" s="188"/>
      <c r="BHO63" s="188"/>
      <c r="BHP63" s="188"/>
      <c r="BHQ63" s="188"/>
      <c r="BHR63" s="188"/>
      <c r="BHS63" s="188"/>
      <c r="BHT63" s="188"/>
      <c r="BHU63" s="188"/>
      <c r="BHV63" s="188"/>
      <c r="BHW63" s="188"/>
      <c r="BHX63" s="188"/>
      <c r="BHY63" s="188"/>
      <c r="BHZ63" s="188"/>
      <c r="BIA63" s="188"/>
      <c r="BIB63" s="188"/>
      <c r="BIC63" s="188"/>
      <c r="BID63" s="188"/>
      <c r="BIE63" s="188"/>
      <c r="BIF63" s="188"/>
      <c r="BIG63" s="188"/>
      <c r="BIH63" s="188"/>
      <c r="BII63" s="188"/>
      <c r="BIJ63" s="188"/>
      <c r="BIK63" s="188"/>
      <c r="BIL63" s="188"/>
      <c r="BIM63" s="188"/>
      <c r="BIN63" s="188"/>
      <c r="BIO63" s="188"/>
      <c r="BIP63" s="188"/>
    </row>
    <row r="64" spans="1:1602" ht="20.100000000000001" customHeight="1" x14ac:dyDescent="0.3">
      <c r="A64" s="78" t="s">
        <v>50</v>
      </c>
      <c r="B64" s="51"/>
      <c r="C64" s="231"/>
      <c r="D64" s="121" t="str">
        <f t="shared" si="0"/>
        <v/>
      </c>
      <c r="E64" s="22">
        <v>0</v>
      </c>
      <c r="F64" s="189"/>
      <c r="G64" s="190"/>
      <c r="H64" s="190"/>
      <c r="I64" s="190"/>
      <c r="J64" s="190"/>
      <c r="K64" s="191"/>
      <c r="L64" s="190"/>
      <c r="M64" s="190"/>
      <c r="N64" s="190"/>
      <c r="O64" s="190"/>
      <c r="P64" s="190"/>
      <c r="Q64" s="192"/>
      <c r="R64" s="190"/>
      <c r="S64" s="190"/>
      <c r="T64" s="190"/>
      <c r="U64" s="190"/>
      <c r="V64" s="190"/>
      <c r="W64" s="193"/>
      <c r="X64" s="190"/>
      <c r="Y64" s="190"/>
      <c r="Z64" s="190"/>
      <c r="AA64" s="190"/>
      <c r="AB64" s="190"/>
      <c r="AC64" s="192"/>
      <c r="AD64" s="190"/>
      <c r="AE64" s="190"/>
      <c r="AF64" s="190"/>
      <c r="AG64" s="190"/>
      <c r="AH64" s="190"/>
      <c r="AI64" s="193"/>
      <c r="AJ64" s="190"/>
      <c r="AK64" s="190"/>
      <c r="AL64" s="190"/>
      <c r="AM64" s="190"/>
      <c r="AN64" s="190"/>
      <c r="AO64" s="192"/>
      <c r="AP64" s="190"/>
      <c r="AQ64" s="190"/>
      <c r="AR64" s="190"/>
      <c r="AS64" s="190"/>
      <c r="AT64" s="190"/>
      <c r="AU64" s="193"/>
      <c r="AV64" s="190"/>
      <c r="AW64" s="190"/>
      <c r="AX64" s="190"/>
      <c r="AY64" s="190"/>
      <c r="AZ64" s="190"/>
      <c r="BA64" s="192"/>
      <c r="BB64" s="190"/>
      <c r="BC64" s="190"/>
      <c r="BD64" s="190"/>
      <c r="BE64" s="190"/>
      <c r="BF64" s="190"/>
      <c r="BG64" s="193"/>
      <c r="BH64" s="190"/>
      <c r="BI64" s="190"/>
      <c r="BJ64" s="190"/>
      <c r="BK64" s="190"/>
      <c r="BL64" s="190"/>
      <c r="BM64" s="194"/>
      <c r="BN64" s="189"/>
      <c r="BO64" s="190"/>
      <c r="BP64" s="190"/>
      <c r="BQ64" s="190"/>
      <c r="BR64" s="190"/>
      <c r="BS64" s="191"/>
      <c r="BT64" s="190"/>
      <c r="BU64" s="190"/>
      <c r="BV64" s="190"/>
      <c r="BW64" s="190"/>
      <c r="BX64" s="190"/>
      <c r="BY64" s="192"/>
      <c r="BZ64" s="190"/>
      <c r="CA64" s="190"/>
      <c r="CB64" s="190"/>
      <c r="CC64" s="190"/>
      <c r="CD64" s="190"/>
      <c r="CE64" s="193"/>
      <c r="CF64" s="190"/>
      <c r="CG64" s="190"/>
      <c r="CH64" s="190"/>
      <c r="CI64" s="190"/>
      <c r="CJ64" s="190"/>
      <c r="CK64" s="192"/>
      <c r="CL64" s="190"/>
      <c r="CM64" s="190"/>
      <c r="CN64" s="190"/>
      <c r="CO64" s="190"/>
      <c r="CP64" s="190"/>
      <c r="CQ64" s="193"/>
      <c r="CR64" s="190"/>
      <c r="CS64" s="190"/>
      <c r="CT64" s="190"/>
      <c r="CU64" s="190"/>
      <c r="CV64" s="190"/>
      <c r="CW64" s="192"/>
      <c r="CX64" s="190"/>
      <c r="CY64" s="190"/>
      <c r="CZ64" s="190"/>
      <c r="DA64" s="190"/>
      <c r="DB64" s="190"/>
      <c r="DC64" s="193"/>
      <c r="DD64" s="190"/>
      <c r="DE64" s="190"/>
      <c r="DF64" s="190"/>
      <c r="DG64" s="190"/>
      <c r="DH64" s="190"/>
      <c r="DI64" s="192"/>
      <c r="DJ64" s="190"/>
      <c r="DK64" s="190"/>
      <c r="DL64" s="190"/>
      <c r="DM64" s="190"/>
      <c r="DN64" s="190"/>
      <c r="DO64" s="193"/>
      <c r="DP64" s="190"/>
      <c r="DQ64" s="190"/>
      <c r="DR64" s="190"/>
      <c r="DS64" s="190"/>
      <c r="DT64" s="190"/>
      <c r="DU64" s="194"/>
      <c r="DV64" s="189"/>
      <c r="DW64" s="190"/>
      <c r="DX64" s="190"/>
      <c r="DY64" s="190"/>
      <c r="DZ64" s="190"/>
      <c r="EA64" s="191"/>
      <c r="EB64" s="190"/>
      <c r="EC64" s="190"/>
      <c r="ED64" s="190"/>
      <c r="EE64" s="190"/>
      <c r="EF64" s="190"/>
      <c r="EG64" s="192"/>
      <c r="EH64" s="190"/>
      <c r="EI64" s="190"/>
      <c r="EJ64" s="190"/>
      <c r="EK64" s="190"/>
      <c r="EL64" s="190"/>
      <c r="EM64" s="193"/>
      <c r="EN64" s="190"/>
      <c r="EO64" s="190"/>
      <c r="EP64" s="190"/>
      <c r="EQ64" s="190"/>
      <c r="ER64" s="190"/>
      <c r="ES64" s="192"/>
      <c r="ET64" s="190"/>
      <c r="EU64" s="190"/>
      <c r="EV64" s="190"/>
      <c r="EW64" s="190"/>
      <c r="EX64" s="190"/>
      <c r="EY64" s="193"/>
      <c r="EZ64" s="190"/>
      <c r="FA64" s="190"/>
      <c r="FB64" s="190"/>
      <c r="FC64" s="190"/>
      <c r="FD64" s="190"/>
      <c r="FE64" s="192"/>
      <c r="FF64" s="190"/>
      <c r="FG64" s="190"/>
      <c r="FH64" s="190"/>
      <c r="FI64" s="190"/>
      <c r="FJ64" s="190"/>
      <c r="FK64" s="193"/>
      <c r="FL64" s="190"/>
      <c r="FM64" s="190"/>
      <c r="FN64" s="190"/>
      <c r="FO64" s="190"/>
      <c r="FP64" s="190"/>
      <c r="FQ64" s="192"/>
      <c r="FR64" s="190"/>
      <c r="FS64" s="190"/>
      <c r="FT64" s="190"/>
      <c r="FU64" s="190"/>
      <c r="FV64" s="190"/>
      <c r="FW64" s="193"/>
      <c r="FX64" s="190"/>
      <c r="FY64" s="190"/>
      <c r="FZ64" s="190"/>
      <c r="GA64" s="190"/>
      <c r="GB64" s="190"/>
      <c r="GC64" s="194"/>
      <c r="GD64" s="189"/>
      <c r="GE64" s="190"/>
      <c r="GF64" s="190"/>
      <c r="GG64" s="190"/>
      <c r="GH64" s="190"/>
      <c r="GI64" s="191"/>
      <c r="GJ64" s="190"/>
      <c r="GK64" s="190"/>
      <c r="GL64" s="190"/>
      <c r="GM64" s="190"/>
      <c r="GN64" s="190"/>
      <c r="GO64" s="192"/>
      <c r="GP64" s="190"/>
      <c r="GQ64" s="190"/>
      <c r="GR64" s="190"/>
      <c r="GS64" s="190"/>
      <c r="GT64" s="190"/>
      <c r="GU64" s="193"/>
      <c r="GV64" s="190"/>
      <c r="GW64" s="190"/>
      <c r="GX64" s="190"/>
      <c r="GY64" s="190"/>
      <c r="GZ64" s="190"/>
      <c r="HA64" s="192"/>
      <c r="HB64" s="190"/>
      <c r="HC64" s="190"/>
      <c r="HD64" s="190"/>
      <c r="HE64" s="190"/>
      <c r="HF64" s="190"/>
      <c r="HG64" s="193"/>
      <c r="HH64" s="190"/>
      <c r="HI64" s="190"/>
      <c r="HJ64" s="190"/>
      <c r="HK64" s="190"/>
      <c r="HL64" s="190"/>
      <c r="HM64" s="192"/>
      <c r="HN64" s="190"/>
      <c r="HO64" s="190"/>
      <c r="HP64" s="190"/>
      <c r="HQ64" s="190"/>
      <c r="HR64" s="190"/>
      <c r="HS64" s="193"/>
      <c r="HT64" s="190"/>
      <c r="HU64" s="190"/>
      <c r="HV64" s="190"/>
      <c r="HW64" s="190"/>
      <c r="HX64" s="190"/>
      <c r="HY64" s="192"/>
      <c r="HZ64" s="190"/>
      <c r="IA64" s="190"/>
      <c r="IB64" s="190"/>
      <c r="IC64" s="190"/>
      <c r="ID64" s="190"/>
      <c r="IE64" s="193"/>
      <c r="IF64" s="190"/>
      <c r="IG64" s="190"/>
      <c r="IH64" s="190"/>
      <c r="II64" s="190"/>
      <c r="IJ64" s="190"/>
      <c r="IK64" s="194"/>
      <c r="IL64" s="189"/>
      <c r="IM64" s="190"/>
      <c r="IN64" s="190"/>
      <c r="IO64" s="190"/>
      <c r="IP64" s="190"/>
      <c r="IQ64" s="191"/>
      <c r="IR64" s="190"/>
      <c r="IS64" s="190"/>
      <c r="IT64" s="190"/>
      <c r="IU64" s="190"/>
      <c r="IV64" s="190"/>
      <c r="IW64" s="192"/>
      <c r="IX64" s="190"/>
      <c r="IY64" s="190"/>
      <c r="IZ64" s="190"/>
      <c r="JA64" s="190"/>
      <c r="JB64" s="190"/>
      <c r="JC64" s="193"/>
      <c r="JD64" s="190"/>
      <c r="JE64" s="190"/>
      <c r="JF64" s="190"/>
      <c r="JG64" s="190"/>
      <c r="JH64" s="190"/>
      <c r="JI64" s="192"/>
      <c r="JJ64" s="190"/>
      <c r="JK64" s="190"/>
      <c r="JL64" s="190"/>
      <c r="JM64" s="190"/>
      <c r="JN64" s="190"/>
      <c r="JO64" s="193"/>
      <c r="JP64" s="190"/>
      <c r="JQ64" s="190"/>
      <c r="JR64" s="190"/>
      <c r="JS64" s="190"/>
      <c r="JT64" s="190"/>
      <c r="JU64" s="192"/>
      <c r="JV64" s="190"/>
      <c r="JW64" s="190"/>
      <c r="JX64" s="190"/>
      <c r="JY64" s="190"/>
      <c r="JZ64" s="190"/>
      <c r="KA64" s="193"/>
      <c r="KB64" s="190"/>
      <c r="KC64" s="190"/>
      <c r="KD64" s="190"/>
      <c r="KE64" s="190"/>
      <c r="KF64" s="190"/>
      <c r="KG64" s="192"/>
      <c r="KH64" s="190"/>
      <c r="KI64" s="190"/>
      <c r="KJ64" s="190"/>
      <c r="KK64" s="190"/>
      <c r="KL64" s="190"/>
      <c r="KM64" s="193"/>
      <c r="KN64" s="190"/>
      <c r="KO64" s="190"/>
      <c r="KP64" s="190"/>
      <c r="KQ64" s="190"/>
      <c r="KR64" s="190"/>
      <c r="KS64" s="194"/>
      <c r="KT64" s="189"/>
      <c r="KU64" s="190"/>
      <c r="KV64" s="190"/>
      <c r="KW64" s="190"/>
      <c r="KX64" s="190"/>
      <c r="KY64" s="191"/>
      <c r="KZ64" s="190"/>
      <c r="LA64" s="190"/>
      <c r="LB64" s="190"/>
      <c r="LC64" s="190"/>
      <c r="LD64" s="190"/>
      <c r="LE64" s="192"/>
      <c r="LF64" s="190"/>
      <c r="LG64" s="190"/>
      <c r="LH64" s="190"/>
      <c r="LI64" s="190"/>
      <c r="LJ64" s="190"/>
      <c r="LK64" s="193"/>
      <c r="LL64" s="190"/>
      <c r="LM64" s="190"/>
      <c r="LN64" s="190"/>
      <c r="LO64" s="190"/>
      <c r="LP64" s="190"/>
      <c r="LQ64" s="192"/>
      <c r="LR64" s="190"/>
      <c r="LS64" s="190"/>
      <c r="LT64" s="190"/>
      <c r="LU64" s="190"/>
      <c r="LV64" s="190"/>
      <c r="LW64" s="193"/>
      <c r="LX64" s="190"/>
      <c r="LY64" s="190"/>
      <c r="LZ64" s="190"/>
      <c r="MA64" s="190"/>
      <c r="MB64" s="190"/>
      <c r="MC64" s="192"/>
      <c r="MD64" s="190"/>
      <c r="ME64" s="190"/>
      <c r="MF64" s="190"/>
      <c r="MG64" s="190"/>
      <c r="MH64" s="190"/>
      <c r="MI64" s="193"/>
      <c r="MJ64" s="190"/>
      <c r="MK64" s="190"/>
      <c r="ML64" s="190"/>
      <c r="MM64" s="190"/>
      <c r="MN64" s="190"/>
      <c r="MO64" s="192"/>
      <c r="MP64" s="190"/>
      <c r="MQ64" s="190"/>
      <c r="MR64" s="190"/>
      <c r="MS64" s="190"/>
      <c r="MT64" s="190"/>
      <c r="MU64" s="193"/>
      <c r="MV64" s="190"/>
      <c r="MW64" s="190"/>
      <c r="MX64" s="190"/>
      <c r="MY64" s="190"/>
      <c r="MZ64" s="190"/>
      <c r="NA64" s="194"/>
      <c r="NB64" s="189"/>
      <c r="NC64" s="190"/>
      <c r="ND64" s="190"/>
      <c r="NE64" s="190"/>
      <c r="NF64" s="190"/>
      <c r="NG64" s="191"/>
      <c r="NH64" s="190"/>
      <c r="NI64" s="190"/>
      <c r="NJ64" s="190"/>
      <c r="NK64" s="190"/>
      <c r="NL64" s="190"/>
      <c r="NM64" s="192"/>
      <c r="NN64" s="190"/>
      <c r="NO64" s="190"/>
      <c r="NP64" s="190"/>
      <c r="NQ64" s="190"/>
      <c r="NR64" s="190"/>
      <c r="NS64" s="193"/>
      <c r="NT64" s="190"/>
      <c r="NU64" s="190"/>
      <c r="NV64" s="190"/>
      <c r="NW64" s="190"/>
      <c r="NX64" s="190"/>
      <c r="NY64" s="192"/>
      <c r="NZ64" s="190"/>
      <c r="OA64" s="190"/>
      <c r="OB64" s="190"/>
      <c r="OC64" s="190"/>
      <c r="OD64" s="190"/>
      <c r="OE64" s="193"/>
      <c r="OF64" s="190"/>
      <c r="OG64" s="190"/>
      <c r="OH64" s="190"/>
      <c r="OI64" s="190"/>
      <c r="OJ64" s="190"/>
      <c r="OK64" s="192"/>
      <c r="OL64" s="190"/>
      <c r="OM64" s="190"/>
      <c r="ON64" s="190"/>
      <c r="OO64" s="190"/>
      <c r="OP64" s="190"/>
      <c r="OQ64" s="193"/>
      <c r="OR64" s="190"/>
      <c r="OS64" s="190"/>
      <c r="OT64" s="190"/>
      <c r="OU64" s="190"/>
      <c r="OV64" s="190"/>
      <c r="OW64" s="192"/>
      <c r="OX64" s="190"/>
      <c r="OY64" s="190"/>
      <c r="OZ64" s="190"/>
      <c r="PA64" s="190"/>
      <c r="PB64" s="190"/>
      <c r="PC64" s="193"/>
      <c r="PD64" s="190"/>
      <c r="PE64" s="190"/>
      <c r="PF64" s="190"/>
      <c r="PG64" s="190"/>
      <c r="PH64" s="190"/>
      <c r="PI64" s="194"/>
      <c r="PJ64" s="189"/>
      <c r="PK64" s="190"/>
      <c r="PL64" s="190"/>
      <c r="PM64" s="190"/>
      <c r="PN64" s="190"/>
      <c r="PO64" s="191"/>
      <c r="PP64" s="190"/>
      <c r="PQ64" s="190"/>
      <c r="PR64" s="190"/>
      <c r="PS64" s="190"/>
      <c r="PT64" s="190"/>
      <c r="PU64" s="192"/>
      <c r="PV64" s="190"/>
      <c r="PW64" s="190"/>
      <c r="PX64" s="190"/>
      <c r="PY64" s="190"/>
      <c r="PZ64" s="190"/>
      <c r="QA64" s="193"/>
      <c r="QB64" s="190"/>
      <c r="QC64" s="190"/>
      <c r="QD64" s="190"/>
      <c r="QE64" s="190"/>
      <c r="QF64" s="190"/>
      <c r="QG64" s="192"/>
      <c r="QH64" s="190"/>
      <c r="QI64" s="190"/>
      <c r="QJ64" s="190"/>
      <c r="QK64" s="190"/>
      <c r="QL64" s="190"/>
      <c r="QM64" s="193"/>
      <c r="QN64" s="190"/>
      <c r="QO64" s="190"/>
      <c r="QP64" s="190"/>
      <c r="QQ64" s="190"/>
      <c r="QR64" s="190"/>
      <c r="QS64" s="192"/>
      <c r="QT64" s="190"/>
      <c r="QU64" s="190"/>
      <c r="QV64" s="190"/>
      <c r="QW64" s="190"/>
      <c r="QX64" s="190"/>
      <c r="QY64" s="193"/>
      <c r="QZ64" s="190"/>
      <c r="RA64" s="190"/>
      <c r="RB64" s="190"/>
      <c r="RC64" s="190"/>
      <c r="RD64" s="190"/>
      <c r="RE64" s="192"/>
      <c r="RF64" s="190"/>
      <c r="RG64" s="190"/>
      <c r="RH64" s="190"/>
      <c r="RI64" s="190"/>
      <c r="RJ64" s="190"/>
      <c r="RK64" s="193"/>
      <c r="RL64" s="190"/>
      <c r="RM64" s="190"/>
      <c r="RN64" s="190"/>
      <c r="RO64" s="190"/>
      <c r="RP64" s="190"/>
      <c r="RQ64" s="194"/>
      <c r="RR64" s="189"/>
      <c r="RS64" s="190"/>
      <c r="RT64" s="190"/>
      <c r="RU64" s="190"/>
      <c r="RV64" s="190"/>
      <c r="RW64" s="191"/>
      <c r="RX64" s="190"/>
      <c r="RY64" s="190"/>
      <c r="RZ64" s="190"/>
      <c r="SA64" s="190"/>
      <c r="SB64" s="190"/>
      <c r="SC64" s="192"/>
      <c r="SD64" s="190"/>
      <c r="SE64" s="190"/>
      <c r="SF64" s="190"/>
      <c r="SG64" s="190"/>
      <c r="SH64" s="190"/>
      <c r="SI64" s="193"/>
      <c r="SJ64" s="190"/>
      <c r="SK64" s="190"/>
      <c r="SL64" s="190"/>
      <c r="SM64" s="190"/>
      <c r="SN64" s="190"/>
      <c r="SO64" s="192"/>
      <c r="SP64" s="190"/>
      <c r="SQ64" s="190"/>
      <c r="SR64" s="190"/>
      <c r="SS64" s="190"/>
      <c r="ST64" s="190"/>
      <c r="SU64" s="193"/>
      <c r="SV64" s="190"/>
      <c r="SW64" s="190"/>
      <c r="SX64" s="190"/>
      <c r="SY64" s="190"/>
      <c r="SZ64" s="190"/>
      <c r="TA64" s="192"/>
      <c r="TB64" s="190"/>
      <c r="TC64" s="190"/>
      <c r="TD64" s="190"/>
      <c r="TE64" s="190"/>
      <c r="TF64" s="190"/>
      <c r="TG64" s="193"/>
      <c r="TH64" s="190"/>
      <c r="TI64" s="190"/>
      <c r="TJ64" s="190"/>
      <c r="TK64" s="190"/>
      <c r="TL64" s="190"/>
      <c r="TM64" s="192"/>
      <c r="TN64" s="190"/>
      <c r="TO64" s="190"/>
      <c r="TP64" s="190"/>
      <c r="TQ64" s="190"/>
      <c r="TR64" s="190"/>
      <c r="TS64" s="193"/>
      <c r="TT64" s="190"/>
      <c r="TU64" s="190"/>
      <c r="TV64" s="190"/>
      <c r="TW64" s="190"/>
      <c r="TX64" s="190"/>
      <c r="TY64" s="194"/>
      <c r="TZ64" s="189"/>
      <c r="UA64" s="190"/>
      <c r="UB64" s="190"/>
      <c r="UC64" s="190"/>
      <c r="UD64" s="190"/>
      <c r="UE64" s="191"/>
      <c r="UF64" s="190"/>
      <c r="UG64" s="190"/>
      <c r="UH64" s="190"/>
      <c r="UI64" s="190"/>
      <c r="UJ64" s="190"/>
      <c r="UK64" s="192"/>
      <c r="UL64" s="190"/>
      <c r="UM64" s="190"/>
      <c r="UN64" s="190"/>
      <c r="UO64" s="190"/>
      <c r="UP64" s="190"/>
      <c r="UQ64" s="193"/>
      <c r="UR64" s="190"/>
      <c r="US64" s="190"/>
      <c r="UT64" s="190"/>
      <c r="UU64" s="190"/>
      <c r="UV64" s="190"/>
      <c r="UW64" s="192"/>
      <c r="UX64" s="190"/>
      <c r="UY64" s="190"/>
      <c r="UZ64" s="190"/>
      <c r="VA64" s="190"/>
      <c r="VB64" s="190"/>
      <c r="VC64" s="193"/>
      <c r="VD64" s="190"/>
      <c r="VE64" s="190"/>
      <c r="VF64" s="190"/>
      <c r="VG64" s="190"/>
      <c r="VH64" s="190"/>
      <c r="VI64" s="192"/>
      <c r="VJ64" s="190"/>
      <c r="VK64" s="190"/>
      <c r="VL64" s="190"/>
      <c r="VM64" s="190"/>
      <c r="VN64" s="190"/>
      <c r="VO64" s="193"/>
      <c r="VP64" s="190"/>
      <c r="VQ64" s="190"/>
      <c r="VR64" s="190"/>
      <c r="VS64" s="190"/>
      <c r="VT64" s="190"/>
      <c r="VU64" s="192"/>
      <c r="VV64" s="190"/>
      <c r="VW64" s="190"/>
      <c r="VX64" s="190"/>
      <c r="VY64" s="190"/>
      <c r="VZ64" s="190"/>
      <c r="WA64" s="193"/>
      <c r="WB64" s="190"/>
      <c r="WC64" s="190"/>
      <c r="WD64" s="190"/>
      <c r="WE64" s="190"/>
      <c r="WF64" s="190"/>
      <c r="WG64" s="194"/>
      <c r="WH64" s="189"/>
      <c r="WI64" s="190"/>
      <c r="WJ64" s="190"/>
      <c r="WK64" s="190"/>
      <c r="WL64" s="190"/>
      <c r="WM64" s="191"/>
      <c r="WN64" s="190"/>
      <c r="WO64" s="190"/>
      <c r="WP64" s="190"/>
      <c r="WQ64" s="190"/>
      <c r="WR64" s="190"/>
      <c r="WS64" s="192"/>
      <c r="WT64" s="190"/>
      <c r="WU64" s="190"/>
      <c r="WV64" s="190"/>
      <c r="WW64" s="190"/>
      <c r="WX64" s="190"/>
      <c r="WY64" s="193"/>
      <c r="WZ64" s="190"/>
      <c r="XA64" s="190"/>
      <c r="XB64" s="190"/>
      <c r="XC64" s="190"/>
      <c r="XD64" s="190"/>
      <c r="XE64" s="192"/>
      <c r="XF64" s="190"/>
      <c r="XG64" s="190"/>
      <c r="XH64" s="190"/>
      <c r="XI64" s="190"/>
      <c r="XJ64" s="190"/>
      <c r="XK64" s="193"/>
      <c r="XL64" s="190"/>
      <c r="XM64" s="190"/>
      <c r="XN64" s="190"/>
      <c r="XO64" s="190"/>
      <c r="XP64" s="190"/>
      <c r="XQ64" s="192"/>
      <c r="XR64" s="190"/>
      <c r="XS64" s="190"/>
      <c r="XT64" s="190"/>
      <c r="XU64" s="190"/>
      <c r="XV64" s="190"/>
      <c r="XW64" s="193"/>
      <c r="XX64" s="190"/>
      <c r="XY64" s="190"/>
      <c r="XZ64" s="190"/>
      <c r="YA64" s="190"/>
      <c r="YB64" s="190"/>
      <c r="YC64" s="192"/>
      <c r="YD64" s="190"/>
      <c r="YE64" s="190"/>
      <c r="YF64" s="190"/>
      <c r="YG64" s="190"/>
      <c r="YH64" s="190"/>
      <c r="YI64" s="193"/>
      <c r="YJ64" s="190"/>
      <c r="YK64" s="190"/>
      <c r="YL64" s="190"/>
      <c r="YM64" s="190"/>
      <c r="YN64" s="190"/>
      <c r="YO64" s="194"/>
      <c r="YP64" s="189"/>
      <c r="YQ64" s="190"/>
      <c r="YR64" s="190"/>
      <c r="YS64" s="190"/>
      <c r="YT64" s="190"/>
      <c r="YU64" s="191"/>
      <c r="YV64" s="190"/>
      <c r="YW64" s="190"/>
      <c r="YX64" s="190"/>
      <c r="YY64" s="190"/>
      <c r="YZ64" s="190"/>
      <c r="ZA64" s="192"/>
      <c r="ZB64" s="190"/>
      <c r="ZC64" s="190"/>
      <c r="ZD64" s="190"/>
      <c r="ZE64" s="190"/>
      <c r="ZF64" s="190"/>
      <c r="ZG64" s="193"/>
      <c r="ZH64" s="190"/>
      <c r="ZI64" s="190"/>
      <c r="ZJ64" s="190"/>
      <c r="ZK64" s="190"/>
      <c r="ZL64" s="190"/>
      <c r="ZM64" s="192"/>
      <c r="ZN64" s="190"/>
      <c r="ZO64" s="190"/>
      <c r="ZP64" s="190"/>
      <c r="ZQ64" s="190"/>
      <c r="ZR64" s="190"/>
      <c r="ZS64" s="193"/>
      <c r="ZT64" s="190"/>
      <c r="ZU64" s="190"/>
      <c r="ZV64" s="190"/>
      <c r="ZW64" s="190"/>
      <c r="ZX64" s="190"/>
      <c r="ZY64" s="192"/>
      <c r="ZZ64" s="190"/>
      <c r="AAA64" s="190"/>
      <c r="AAB64" s="190"/>
      <c r="AAC64" s="190"/>
      <c r="AAD64" s="190"/>
      <c r="AAE64" s="193"/>
      <c r="AAF64" s="190"/>
      <c r="AAG64" s="190"/>
      <c r="AAH64" s="190"/>
      <c r="AAI64" s="190"/>
      <c r="AAJ64" s="190"/>
      <c r="AAK64" s="192"/>
      <c r="AAL64" s="190"/>
      <c r="AAM64" s="190"/>
      <c r="AAN64" s="190"/>
      <c r="AAO64" s="190"/>
      <c r="AAP64" s="190"/>
      <c r="AAQ64" s="193"/>
      <c r="AAR64" s="190"/>
      <c r="AAS64" s="190"/>
      <c r="AAT64" s="190"/>
      <c r="AAU64" s="190"/>
      <c r="AAV64" s="190"/>
      <c r="AAW64" s="194"/>
      <c r="AAX64" s="189"/>
      <c r="AAY64" s="190"/>
      <c r="AAZ64" s="190"/>
      <c r="ABA64" s="190"/>
      <c r="ABB64" s="190"/>
      <c r="ABC64" s="191"/>
      <c r="ABD64" s="190"/>
      <c r="ABE64" s="190"/>
      <c r="ABF64" s="190"/>
      <c r="ABG64" s="190"/>
      <c r="ABH64" s="190"/>
      <c r="ABI64" s="192"/>
      <c r="ABJ64" s="190"/>
      <c r="ABK64" s="190"/>
      <c r="ABL64" s="190"/>
      <c r="ABM64" s="190"/>
      <c r="ABN64" s="190"/>
      <c r="ABO64" s="193"/>
      <c r="ABP64" s="190"/>
      <c r="ABQ64" s="190"/>
      <c r="ABR64" s="190"/>
      <c r="ABS64" s="190"/>
      <c r="ABT64" s="190"/>
      <c r="ABU64" s="192"/>
      <c r="ABV64" s="190"/>
      <c r="ABW64" s="190"/>
      <c r="ABX64" s="190"/>
      <c r="ABY64" s="190"/>
      <c r="ABZ64" s="190"/>
      <c r="ACA64" s="193"/>
      <c r="ACB64" s="190"/>
      <c r="ACC64" s="190"/>
      <c r="ACD64" s="190"/>
      <c r="ACE64" s="190"/>
      <c r="ACF64" s="190"/>
      <c r="ACG64" s="192"/>
      <c r="ACH64" s="190"/>
      <c r="ACI64" s="190"/>
      <c r="ACJ64" s="190"/>
      <c r="ACK64" s="190"/>
      <c r="ACL64" s="190"/>
      <c r="ACM64" s="193"/>
      <c r="ACN64" s="190"/>
      <c r="ACO64" s="190"/>
      <c r="ACP64" s="190"/>
      <c r="ACQ64" s="190"/>
      <c r="ACR64" s="190"/>
      <c r="ACS64" s="192"/>
      <c r="ACT64" s="190"/>
      <c r="ACU64" s="190"/>
      <c r="ACV64" s="190"/>
      <c r="ACW64" s="190"/>
      <c r="ACX64" s="190"/>
      <c r="ACY64" s="193"/>
      <c r="ACZ64" s="190"/>
      <c r="ADA64" s="190"/>
      <c r="ADB64" s="190"/>
      <c r="ADC64" s="190"/>
      <c r="ADD64" s="190"/>
      <c r="ADE64" s="194"/>
      <c r="ADF64" s="189"/>
      <c r="ADG64" s="190"/>
      <c r="ADH64" s="190"/>
      <c r="ADI64" s="190"/>
      <c r="ADJ64" s="190"/>
      <c r="ADK64" s="191"/>
      <c r="ADL64" s="190"/>
      <c r="ADM64" s="190"/>
      <c r="ADN64" s="190"/>
      <c r="ADO64" s="190"/>
      <c r="ADP64" s="190"/>
      <c r="ADQ64" s="192"/>
      <c r="ADR64" s="190"/>
      <c r="ADS64" s="190"/>
      <c r="ADT64" s="190"/>
      <c r="ADU64" s="190"/>
      <c r="ADV64" s="190"/>
      <c r="ADW64" s="193"/>
      <c r="ADX64" s="190"/>
      <c r="ADY64" s="190"/>
      <c r="ADZ64" s="190"/>
      <c r="AEA64" s="190"/>
      <c r="AEB64" s="190"/>
      <c r="AEC64" s="192"/>
      <c r="AED64" s="190"/>
      <c r="AEE64" s="190"/>
      <c r="AEF64" s="190"/>
      <c r="AEG64" s="190"/>
      <c r="AEH64" s="190"/>
      <c r="AEI64" s="193"/>
      <c r="AEJ64" s="190"/>
      <c r="AEK64" s="190"/>
      <c r="AEL64" s="190"/>
      <c r="AEM64" s="190"/>
      <c r="AEN64" s="190"/>
      <c r="AEO64" s="192"/>
      <c r="AEP64" s="190"/>
      <c r="AEQ64" s="190"/>
      <c r="AER64" s="190"/>
      <c r="AES64" s="190"/>
      <c r="AET64" s="190"/>
      <c r="AEU64" s="193"/>
      <c r="AEV64" s="190"/>
      <c r="AEW64" s="190"/>
      <c r="AEX64" s="190"/>
      <c r="AEY64" s="190"/>
      <c r="AEZ64" s="190"/>
      <c r="AFA64" s="192"/>
      <c r="AFB64" s="190"/>
      <c r="AFC64" s="190"/>
      <c r="AFD64" s="190"/>
      <c r="AFE64" s="190"/>
      <c r="AFF64" s="190"/>
      <c r="AFG64" s="193"/>
      <c r="AFH64" s="190"/>
      <c r="AFI64" s="190"/>
      <c r="AFJ64" s="190"/>
      <c r="AFK64" s="190"/>
      <c r="AFL64" s="190"/>
      <c r="AFM64" s="194"/>
      <c r="AFN64" s="189"/>
      <c r="AFO64" s="190"/>
      <c r="AFP64" s="190"/>
      <c r="AFQ64" s="190"/>
      <c r="AFR64" s="190"/>
      <c r="AFS64" s="191"/>
      <c r="AFT64" s="190"/>
      <c r="AFU64" s="190"/>
      <c r="AFV64" s="190"/>
      <c r="AFW64" s="190"/>
      <c r="AFX64" s="190"/>
      <c r="AFY64" s="192"/>
      <c r="AFZ64" s="190"/>
      <c r="AGA64" s="190"/>
      <c r="AGB64" s="190"/>
      <c r="AGC64" s="190"/>
      <c r="AGD64" s="190"/>
      <c r="AGE64" s="193"/>
      <c r="AGF64" s="190"/>
      <c r="AGG64" s="190"/>
      <c r="AGH64" s="190"/>
      <c r="AGI64" s="190"/>
      <c r="AGJ64" s="190"/>
      <c r="AGK64" s="192"/>
      <c r="AGL64" s="190"/>
      <c r="AGM64" s="190"/>
      <c r="AGN64" s="190"/>
      <c r="AGO64" s="190"/>
      <c r="AGP64" s="190"/>
      <c r="AGQ64" s="193"/>
      <c r="AGR64" s="190"/>
      <c r="AGS64" s="190"/>
      <c r="AGT64" s="190"/>
      <c r="AGU64" s="190"/>
      <c r="AGV64" s="190"/>
      <c r="AGW64" s="192"/>
      <c r="AGX64" s="190"/>
      <c r="AGY64" s="190"/>
      <c r="AGZ64" s="190"/>
      <c r="AHA64" s="190"/>
      <c r="AHB64" s="190"/>
      <c r="AHC64" s="193"/>
      <c r="AHD64" s="190"/>
      <c r="AHE64" s="190"/>
      <c r="AHF64" s="190"/>
      <c r="AHG64" s="190"/>
      <c r="AHH64" s="190"/>
      <c r="AHI64" s="192"/>
      <c r="AHJ64" s="190"/>
      <c r="AHK64" s="190"/>
      <c r="AHL64" s="190"/>
      <c r="AHM64" s="190"/>
      <c r="AHN64" s="190"/>
      <c r="AHO64" s="193"/>
      <c r="AHP64" s="190"/>
      <c r="AHQ64" s="190"/>
      <c r="AHR64" s="190"/>
      <c r="AHS64" s="190"/>
      <c r="AHT64" s="190"/>
      <c r="AHU64" s="194"/>
      <c r="AHV64" s="189"/>
      <c r="AHW64" s="190"/>
      <c r="AHX64" s="190"/>
      <c r="AHY64" s="190"/>
      <c r="AHZ64" s="190"/>
      <c r="AIA64" s="191"/>
      <c r="AIB64" s="190"/>
      <c r="AIC64" s="190"/>
      <c r="AID64" s="190"/>
      <c r="AIE64" s="190"/>
      <c r="AIF64" s="190"/>
      <c r="AIG64" s="192"/>
      <c r="AIH64" s="190"/>
      <c r="AII64" s="190"/>
      <c r="AIJ64" s="190"/>
      <c r="AIK64" s="190"/>
      <c r="AIL64" s="190"/>
      <c r="AIM64" s="193"/>
      <c r="AIN64" s="190"/>
      <c r="AIO64" s="190"/>
      <c r="AIP64" s="190"/>
      <c r="AIQ64" s="190"/>
      <c r="AIR64" s="190"/>
      <c r="AIS64" s="192"/>
      <c r="AIT64" s="190"/>
      <c r="AIU64" s="190"/>
      <c r="AIV64" s="190"/>
      <c r="AIW64" s="190"/>
      <c r="AIX64" s="190"/>
      <c r="AIY64" s="193"/>
      <c r="AIZ64" s="190"/>
      <c r="AJA64" s="190"/>
      <c r="AJB64" s="190"/>
      <c r="AJC64" s="190"/>
      <c r="AJD64" s="190"/>
      <c r="AJE64" s="192"/>
      <c r="AJF64" s="190"/>
      <c r="AJG64" s="190"/>
      <c r="AJH64" s="190"/>
      <c r="AJI64" s="190"/>
      <c r="AJJ64" s="190"/>
      <c r="AJK64" s="193"/>
      <c r="AJL64" s="190"/>
      <c r="AJM64" s="190"/>
      <c r="AJN64" s="190"/>
      <c r="AJO64" s="190"/>
      <c r="AJP64" s="190"/>
      <c r="AJQ64" s="192"/>
      <c r="AJR64" s="190"/>
      <c r="AJS64" s="190"/>
      <c r="AJT64" s="190"/>
      <c r="AJU64" s="190"/>
      <c r="AJV64" s="190"/>
      <c r="AJW64" s="193"/>
      <c r="AJX64" s="190"/>
      <c r="AJY64" s="190"/>
      <c r="AJZ64" s="190"/>
      <c r="AKA64" s="190"/>
      <c r="AKB64" s="190"/>
      <c r="AKC64" s="194"/>
      <c r="AKD64" s="189"/>
      <c r="AKE64" s="190"/>
      <c r="AKF64" s="190"/>
      <c r="AKG64" s="190"/>
      <c r="AKH64" s="190"/>
      <c r="AKI64" s="191"/>
      <c r="AKJ64" s="190"/>
      <c r="AKK64" s="190"/>
      <c r="AKL64" s="190"/>
      <c r="AKM64" s="190"/>
      <c r="AKN64" s="190"/>
      <c r="AKO64" s="192"/>
      <c r="AKP64" s="190"/>
      <c r="AKQ64" s="190"/>
      <c r="AKR64" s="190"/>
      <c r="AKS64" s="190"/>
      <c r="AKT64" s="190"/>
      <c r="AKU64" s="193"/>
      <c r="AKV64" s="190"/>
      <c r="AKW64" s="190"/>
      <c r="AKX64" s="190"/>
      <c r="AKY64" s="190"/>
      <c r="AKZ64" s="190"/>
      <c r="ALA64" s="192"/>
      <c r="ALB64" s="190"/>
      <c r="ALC64" s="190"/>
      <c r="ALD64" s="190"/>
      <c r="ALE64" s="190"/>
      <c r="ALF64" s="190"/>
      <c r="ALG64" s="193"/>
      <c r="ALH64" s="190"/>
      <c r="ALI64" s="190"/>
      <c r="ALJ64" s="190"/>
      <c r="ALK64" s="190"/>
      <c r="ALL64" s="190"/>
      <c r="ALM64" s="192"/>
      <c r="ALN64" s="190"/>
      <c r="ALO64" s="190"/>
      <c r="ALP64" s="190"/>
      <c r="ALQ64" s="190"/>
      <c r="ALR64" s="190"/>
      <c r="ALS64" s="193"/>
      <c r="ALT64" s="190"/>
      <c r="ALU64" s="190"/>
      <c r="ALV64" s="190"/>
      <c r="ALW64" s="190"/>
      <c r="ALX64" s="190"/>
      <c r="ALY64" s="192"/>
      <c r="ALZ64" s="190"/>
      <c r="AMA64" s="190"/>
      <c r="AMB64" s="190"/>
      <c r="AMC64" s="190"/>
      <c r="AMD64" s="190"/>
      <c r="AME64" s="193"/>
      <c r="AMF64" s="190"/>
      <c r="AMG64" s="190"/>
      <c r="AMH64" s="190"/>
      <c r="AMI64" s="190"/>
      <c r="AMJ64" s="190"/>
      <c r="AMK64" s="194"/>
      <c r="AML64" s="189"/>
      <c r="AMM64" s="190"/>
      <c r="AMN64" s="190"/>
      <c r="AMO64" s="190"/>
      <c r="AMP64" s="190"/>
      <c r="AMQ64" s="191"/>
      <c r="AMR64" s="190"/>
      <c r="AMS64" s="190"/>
      <c r="AMT64" s="190"/>
      <c r="AMU64" s="190"/>
      <c r="AMV64" s="190"/>
      <c r="AMW64" s="192"/>
      <c r="AMX64" s="190"/>
      <c r="AMY64" s="190"/>
      <c r="AMZ64" s="190"/>
      <c r="ANA64" s="190"/>
      <c r="ANB64" s="190"/>
      <c r="ANC64" s="193"/>
      <c r="AND64" s="190"/>
      <c r="ANE64" s="190"/>
      <c r="ANF64" s="190"/>
      <c r="ANG64" s="190"/>
      <c r="ANH64" s="190"/>
      <c r="ANI64" s="192"/>
      <c r="ANJ64" s="190"/>
      <c r="ANK64" s="190"/>
      <c r="ANL64" s="190"/>
      <c r="ANM64" s="190"/>
      <c r="ANN64" s="190"/>
      <c r="ANO64" s="193"/>
      <c r="ANP64" s="190"/>
      <c r="ANQ64" s="190"/>
      <c r="ANR64" s="190"/>
      <c r="ANS64" s="190"/>
      <c r="ANT64" s="190"/>
      <c r="ANU64" s="192"/>
      <c r="ANV64" s="190"/>
      <c r="ANW64" s="190"/>
      <c r="ANX64" s="190"/>
      <c r="ANY64" s="190"/>
      <c r="ANZ64" s="190"/>
      <c r="AOA64" s="193"/>
      <c r="AOB64" s="190"/>
      <c r="AOC64" s="190"/>
      <c r="AOD64" s="190"/>
      <c r="AOE64" s="190"/>
      <c r="AOF64" s="190"/>
      <c r="AOG64" s="192"/>
      <c r="AOH64" s="190"/>
      <c r="AOI64" s="190"/>
      <c r="AOJ64" s="190"/>
      <c r="AOK64" s="190"/>
      <c r="AOL64" s="190"/>
      <c r="AOM64" s="193"/>
      <c r="AON64" s="190"/>
      <c r="AOO64" s="190"/>
      <c r="AOP64" s="190"/>
      <c r="AOQ64" s="190"/>
      <c r="AOR64" s="190"/>
      <c r="AOS64" s="194"/>
      <c r="AOT64" s="189"/>
      <c r="AOU64" s="190"/>
      <c r="AOV64" s="190"/>
      <c r="AOW64" s="190"/>
      <c r="AOX64" s="190"/>
      <c r="AOY64" s="191"/>
      <c r="AOZ64" s="190"/>
      <c r="APA64" s="190"/>
      <c r="APB64" s="190"/>
      <c r="APC64" s="190"/>
      <c r="APD64" s="190"/>
      <c r="APE64" s="192"/>
      <c r="APF64" s="190"/>
      <c r="APG64" s="190"/>
      <c r="APH64" s="190"/>
      <c r="API64" s="190"/>
      <c r="APJ64" s="190"/>
      <c r="APK64" s="193"/>
      <c r="APL64" s="190"/>
      <c r="APM64" s="190"/>
      <c r="APN64" s="190"/>
      <c r="APO64" s="190"/>
      <c r="APP64" s="190"/>
      <c r="APQ64" s="192"/>
      <c r="APR64" s="190"/>
      <c r="APS64" s="190"/>
      <c r="APT64" s="190"/>
      <c r="APU64" s="190"/>
      <c r="APV64" s="190"/>
      <c r="APW64" s="193"/>
      <c r="APX64" s="190"/>
      <c r="APY64" s="190"/>
      <c r="APZ64" s="190"/>
      <c r="AQA64" s="190"/>
      <c r="AQB64" s="190"/>
      <c r="AQC64" s="192"/>
      <c r="AQD64" s="190"/>
      <c r="AQE64" s="190"/>
      <c r="AQF64" s="190"/>
      <c r="AQG64" s="190"/>
      <c r="AQH64" s="190"/>
      <c r="AQI64" s="193"/>
      <c r="AQJ64" s="190"/>
      <c r="AQK64" s="190"/>
      <c r="AQL64" s="190"/>
      <c r="AQM64" s="190"/>
      <c r="AQN64" s="190"/>
      <c r="AQO64" s="192"/>
      <c r="AQP64" s="190"/>
      <c r="AQQ64" s="190"/>
      <c r="AQR64" s="190"/>
      <c r="AQS64" s="190"/>
      <c r="AQT64" s="190"/>
      <c r="AQU64" s="193"/>
      <c r="AQV64" s="190"/>
      <c r="AQW64" s="190"/>
      <c r="AQX64" s="190"/>
      <c r="AQY64" s="190"/>
      <c r="AQZ64" s="190"/>
      <c r="ARA64" s="194"/>
      <c r="ARB64" s="189"/>
      <c r="ARC64" s="190"/>
      <c r="ARD64" s="190"/>
      <c r="ARE64" s="190"/>
      <c r="ARF64" s="190"/>
      <c r="ARG64" s="191"/>
      <c r="ARH64" s="190"/>
      <c r="ARI64" s="190"/>
      <c r="ARJ64" s="190"/>
      <c r="ARK64" s="190"/>
      <c r="ARL64" s="190"/>
      <c r="ARM64" s="192"/>
      <c r="ARN64" s="190"/>
      <c r="ARO64" s="190"/>
      <c r="ARP64" s="190"/>
      <c r="ARQ64" s="190"/>
      <c r="ARR64" s="190"/>
      <c r="ARS64" s="193"/>
      <c r="ART64" s="190"/>
      <c r="ARU64" s="190"/>
      <c r="ARV64" s="190"/>
      <c r="ARW64" s="190"/>
      <c r="ARX64" s="190"/>
      <c r="ARY64" s="192"/>
      <c r="ARZ64" s="190"/>
      <c r="ASA64" s="190"/>
      <c r="ASB64" s="190"/>
      <c r="ASC64" s="190"/>
      <c r="ASD64" s="190"/>
      <c r="ASE64" s="193"/>
      <c r="ASF64" s="190"/>
      <c r="ASG64" s="190"/>
      <c r="ASH64" s="190"/>
      <c r="ASI64" s="190"/>
      <c r="ASJ64" s="190"/>
      <c r="ASK64" s="192"/>
      <c r="ASL64" s="190"/>
      <c r="ASM64" s="190"/>
      <c r="ASN64" s="190"/>
      <c r="ASO64" s="190"/>
      <c r="ASP64" s="190"/>
      <c r="ASQ64" s="193"/>
      <c r="ASR64" s="190"/>
      <c r="ASS64" s="190"/>
      <c r="AST64" s="190"/>
      <c r="ASU64" s="190"/>
      <c r="ASV64" s="190"/>
      <c r="ASW64" s="192"/>
      <c r="ASX64" s="190"/>
      <c r="ASY64" s="190"/>
      <c r="ASZ64" s="190"/>
      <c r="ATA64" s="190"/>
      <c r="ATB64" s="190"/>
      <c r="ATC64" s="193"/>
      <c r="ATD64" s="190"/>
      <c r="ATE64" s="190"/>
      <c r="ATF64" s="190"/>
      <c r="ATG64" s="190"/>
      <c r="ATH64" s="190"/>
      <c r="ATI64" s="194"/>
      <c r="ATJ64" s="189"/>
      <c r="ATK64" s="190"/>
      <c r="ATL64" s="190"/>
      <c r="ATM64" s="190"/>
      <c r="ATN64" s="190"/>
      <c r="ATO64" s="191"/>
      <c r="ATP64" s="190"/>
      <c r="ATQ64" s="190"/>
      <c r="ATR64" s="190"/>
      <c r="ATS64" s="190"/>
      <c r="ATT64" s="190"/>
      <c r="ATU64" s="192"/>
      <c r="ATV64" s="190"/>
      <c r="ATW64" s="190"/>
      <c r="ATX64" s="190"/>
      <c r="ATY64" s="190"/>
      <c r="ATZ64" s="190"/>
      <c r="AUA64" s="193"/>
      <c r="AUB64" s="190"/>
      <c r="AUC64" s="190"/>
      <c r="AUD64" s="190"/>
      <c r="AUE64" s="190"/>
      <c r="AUF64" s="190"/>
      <c r="AUG64" s="192"/>
      <c r="AUH64" s="190"/>
      <c r="AUI64" s="190"/>
      <c r="AUJ64" s="190"/>
      <c r="AUK64" s="190"/>
      <c r="AUL64" s="190"/>
      <c r="AUM64" s="193"/>
      <c r="AUN64" s="190"/>
      <c r="AUO64" s="190"/>
      <c r="AUP64" s="190"/>
      <c r="AUQ64" s="190"/>
      <c r="AUR64" s="190"/>
      <c r="AUS64" s="192"/>
      <c r="AUT64" s="190"/>
      <c r="AUU64" s="190"/>
      <c r="AUV64" s="190"/>
      <c r="AUW64" s="190"/>
      <c r="AUX64" s="190"/>
      <c r="AUY64" s="193"/>
      <c r="AUZ64" s="190"/>
      <c r="AVA64" s="190"/>
      <c r="AVB64" s="190"/>
      <c r="AVC64" s="190"/>
      <c r="AVD64" s="190"/>
      <c r="AVE64" s="192"/>
      <c r="AVF64" s="190"/>
      <c r="AVG64" s="190"/>
      <c r="AVH64" s="190"/>
      <c r="AVI64" s="190"/>
      <c r="AVJ64" s="190"/>
      <c r="AVK64" s="193"/>
      <c r="AVL64" s="190"/>
      <c r="AVM64" s="190"/>
      <c r="AVN64" s="190"/>
      <c r="AVO64" s="190"/>
      <c r="AVP64" s="190"/>
      <c r="AVQ64" s="194"/>
      <c r="AVR64" s="189"/>
      <c r="AVS64" s="190"/>
      <c r="AVT64" s="190"/>
      <c r="AVU64" s="190"/>
      <c r="AVV64" s="190"/>
      <c r="AVW64" s="191"/>
      <c r="AVX64" s="190"/>
      <c r="AVY64" s="190"/>
      <c r="AVZ64" s="190"/>
      <c r="AWA64" s="190"/>
      <c r="AWB64" s="190"/>
      <c r="AWC64" s="192"/>
      <c r="AWD64" s="190"/>
      <c r="AWE64" s="190"/>
      <c r="AWF64" s="190"/>
      <c r="AWG64" s="190"/>
      <c r="AWH64" s="190"/>
      <c r="AWI64" s="193"/>
      <c r="AWJ64" s="190"/>
      <c r="AWK64" s="190"/>
      <c r="AWL64" s="190"/>
      <c r="AWM64" s="190"/>
      <c r="AWN64" s="190"/>
      <c r="AWO64" s="192"/>
      <c r="AWP64" s="190"/>
      <c r="AWQ64" s="190"/>
      <c r="AWR64" s="190"/>
      <c r="AWS64" s="190"/>
      <c r="AWT64" s="190"/>
      <c r="AWU64" s="193"/>
      <c r="AWV64" s="190"/>
      <c r="AWW64" s="190"/>
      <c r="AWX64" s="190"/>
      <c r="AWY64" s="190"/>
      <c r="AWZ64" s="190"/>
      <c r="AXA64" s="192"/>
      <c r="AXB64" s="190"/>
      <c r="AXC64" s="190"/>
      <c r="AXD64" s="190"/>
      <c r="AXE64" s="190"/>
      <c r="AXF64" s="190"/>
      <c r="AXG64" s="193"/>
      <c r="AXH64" s="190"/>
      <c r="AXI64" s="190"/>
      <c r="AXJ64" s="190"/>
      <c r="AXK64" s="190"/>
      <c r="AXL64" s="190"/>
      <c r="AXM64" s="192"/>
      <c r="AXN64" s="190"/>
      <c r="AXO64" s="190"/>
      <c r="AXP64" s="190"/>
      <c r="AXQ64" s="190"/>
      <c r="AXR64" s="190"/>
      <c r="AXS64" s="193"/>
      <c r="AXT64" s="190"/>
      <c r="AXU64" s="190"/>
      <c r="AXV64" s="190"/>
      <c r="AXW64" s="190"/>
      <c r="AXX64" s="190"/>
      <c r="AXY64" s="194"/>
      <c r="AXZ64" s="189"/>
      <c r="AYA64" s="190"/>
      <c r="AYB64" s="190"/>
      <c r="AYC64" s="190"/>
      <c r="AYD64" s="190"/>
      <c r="AYE64" s="191"/>
      <c r="AYF64" s="190"/>
      <c r="AYG64" s="190"/>
      <c r="AYH64" s="190"/>
      <c r="AYI64" s="190"/>
      <c r="AYJ64" s="190"/>
      <c r="AYK64" s="192"/>
      <c r="AYL64" s="190"/>
      <c r="AYM64" s="190"/>
      <c r="AYN64" s="190"/>
      <c r="AYO64" s="190"/>
      <c r="AYP64" s="190"/>
      <c r="AYQ64" s="193"/>
      <c r="AYR64" s="190"/>
      <c r="AYS64" s="190"/>
      <c r="AYT64" s="190"/>
      <c r="AYU64" s="190"/>
      <c r="AYV64" s="190"/>
      <c r="AYW64" s="192"/>
      <c r="AYX64" s="190"/>
      <c r="AYY64" s="190"/>
      <c r="AYZ64" s="190"/>
      <c r="AZA64" s="190"/>
      <c r="AZB64" s="190"/>
      <c r="AZC64" s="193"/>
      <c r="AZD64" s="190"/>
      <c r="AZE64" s="190"/>
      <c r="AZF64" s="190"/>
      <c r="AZG64" s="190"/>
      <c r="AZH64" s="190"/>
      <c r="AZI64" s="192"/>
      <c r="AZJ64" s="190"/>
      <c r="AZK64" s="190"/>
      <c r="AZL64" s="190"/>
      <c r="AZM64" s="190"/>
      <c r="AZN64" s="190"/>
      <c r="AZO64" s="193"/>
      <c r="AZP64" s="190"/>
      <c r="AZQ64" s="190"/>
      <c r="AZR64" s="190"/>
      <c r="AZS64" s="190"/>
      <c r="AZT64" s="190"/>
      <c r="AZU64" s="192"/>
      <c r="AZV64" s="190"/>
      <c r="AZW64" s="190"/>
      <c r="AZX64" s="190"/>
      <c r="AZY64" s="190"/>
      <c r="AZZ64" s="190"/>
      <c r="BAA64" s="193"/>
      <c r="BAB64" s="190"/>
      <c r="BAC64" s="190"/>
      <c r="BAD64" s="190"/>
      <c r="BAE64" s="190"/>
      <c r="BAF64" s="190"/>
      <c r="BAG64" s="194"/>
      <c r="BAH64" s="189"/>
      <c r="BAI64" s="190"/>
      <c r="BAJ64" s="190"/>
      <c r="BAK64" s="190"/>
      <c r="BAL64" s="190"/>
      <c r="BAM64" s="191"/>
      <c r="BAN64" s="190"/>
      <c r="BAO64" s="190"/>
      <c r="BAP64" s="190"/>
      <c r="BAQ64" s="190"/>
      <c r="BAR64" s="190"/>
      <c r="BAS64" s="192"/>
      <c r="BAT64" s="190"/>
      <c r="BAU64" s="190"/>
      <c r="BAV64" s="190"/>
      <c r="BAW64" s="190"/>
      <c r="BAX64" s="190"/>
      <c r="BAY64" s="193"/>
      <c r="BAZ64" s="190"/>
      <c r="BBA64" s="190"/>
      <c r="BBB64" s="190"/>
      <c r="BBC64" s="190"/>
      <c r="BBD64" s="190"/>
      <c r="BBE64" s="192"/>
      <c r="BBF64" s="190"/>
      <c r="BBG64" s="190"/>
      <c r="BBH64" s="190"/>
      <c r="BBI64" s="190"/>
      <c r="BBJ64" s="190"/>
      <c r="BBK64" s="193"/>
      <c r="BBL64" s="190"/>
      <c r="BBM64" s="190"/>
      <c r="BBN64" s="190"/>
      <c r="BBO64" s="190"/>
      <c r="BBP64" s="190"/>
      <c r="BBQ64" s="192"/>
      <c r="BBR64" s="190"/>
      <c r="BBS64" s="190"/>
      <c r="BBT64" s="190"/>
      <c r="BBU64" s="190"/>
      <c r="BBV64" s="190"/>
      <c r="BBW64" s="193"/>
      <c r="BBX64" s="190"/>
      <c r="BBY64" s="190"/>
      <c r="BBZ64" s="190"/>
      <c r="BCA64" s="190"/>
      <c r="BCB64" s="190"/>
      <c r="BCC64" s="192"/>
      <c r="BCD64" s="190"/>
      <c r="BCE64" s="190"/>
      <c r="BCF64" s="190"/>
      <c r="BCG64" s="190"/>
      <c r="BCH64" s="190"/>
      <c r="BCI64" s="193"/>
      <c r="BCJ64" s="190"/>
      <c r="BCK64" s="190"/>
      <c r="BCL64" s="190"/>
      <c r="BCM64" s="190"/>
      <c r="BCN64" s="190"/>
      <c r="BCO64" s="194"/>
      <c r="BCP64" s="189"/>
      <c r="BCQ64" s="190"/>
      <c r="BCR64" s="190"/>
      <c r="BCS64" s="190"/>
      <c r="BCT64" s="190"/>
      <c r="BCU64" s="191"/>
      <c r="BCV64" s="190"/>
      <c r="BCW64" s="190"/>
      <c r="BCX64" s="190"/>
      <c r="BCY64" s="190"/>
      <c r="BCZ64" s="190"/>
      <c r="BDA64" s="192"/>
      <c r="BDB64" s="190"/>
      <c r="BDC64" s="190"/>
      <c r="BDD64" s="190"/>
      <c r="BDE64" s="190"/>
      <c r="BDF64" s="190"/>
      <c r="BDG64" s="193"/>
      <c r="BDH64" s="190"/>
      <c r="BDI64" s="190"/>
      <c r="BDJ64" s="190"/>
      <c r="BDK64" s="190"/>
      <c r="BDL64" s="190"/>
      <c r="BDM64" s="192"/>
      <c r="BDN64" s="190"/>
      <c r="BDO64" s="190"/>
      <c r="BDP64" s="190"/>
      <c r="BDQ64" s="190"/>
      <c r="BDR64" s="190"/>
      <c r="BDS64" s="193"/>
      <c r="BDT64" s="190"/>
      <c r="BDU64" s="190"/>
      <c r="BDV64" s="190"/>
      <c r="BDW64" s="190"/>
      <c r="BDX64" s="190"/>
      <c r="BDY64" s="192"/>
      <c r="BDZ64" s="190"/>
      <c r="BEA64" s="190"/>
      <c r="BEB64" s="190"/>
      <c r="BEC64" s="190"/>
      <c r="BED64" s="190"/>
      <c r="BEE64" s="193"/>
      <c r="BEF64" s="190"/>
      <c r="BEG64" s="190"/>
      <c r="BEH64" s="190"/>
      <c r="BEI64" s="190"/>
      <c r="BEJ64" s="190"/>
      <c r="BEK64" s="192"/>
      <c r="BEL64" s="190"/>
      <c r="BEM64" s="190"/>
      <c r="BEN64" s="190"/>
      <c r="BEO64" s="190"/>
      <c r="BEP64" s="190"/>
      <c r="BEQ64" s="193"/>
      <c r="BER64" s="190"/>
      <c r="BES64" s="190"/>
      <c r="BET64" s="190"/>
      <c r="BEU64" s="190"/>
      <c r="BEV64" s="190"/>
      <c r="BEW64" s="194"/>
      <c r="BEX64" s="189"/>
      <c r="BEY64" s="190"/>
      <c r="BEZ64" s="190"/>
      <c r="BFA64" s="190"/>
      <c r="BFB64" s="190"/>
      <c r="BFC64" s="191"/>
      <c r="BFD64" s="190"/>
      <c r="BFE64" s="190"/>
      <c r="BFF64" s="190"/>
      <c r="BFG64" s="190"/>
      <c r="BFH64" s="190"/>
      <c r="BFI64" s="192"/>
      <c r="BFJ64" s="190"/>
      <c r="BFK64" s="190"/>
      <c r="BFL64" s="190"/>
      <c r="BFM64" s="190"/>
      <c r="BFN64" s="190"/>
      <c r="BFO64" s="193"/>
      <c r="BFP64" s="190"/>
      <c r="BFQ64" s="190"/>
      <c r="BFR64" s="190"/>
      <c r="BFS64" s="190"/>
      <c r="BFT64" s="190"/>
      <c r="BFU64" s="192"/>
      <c r="BFV64" s="190"/>
      <c r="BFW64" s="190"/>
      <c r="BFX64" s="190"/>
      <c r="BFY64" s="190"/>
      <c r="BFZ64" s="190"/>
      <c r="BGA64" s="193"/>
      <c r="BGB64" s="190"/>
      <c r="BGC64" s="190"/>
      <c r="BGD64" s="190"/>
      <c r="BGE64" s="190"/>
      <c r="BGF64" s="190"/>
      <c r="BGG64" s="192"/>
      <c r="BGH64" s="190"/>
      <c r="BGI64" s="190"/>
      <c r="BGJ64" s="190"/>
      <c r="BGK64" s="190"/>
      <c r="BGL64" s="190"/>
      <c r="BGM64" s="193"/>
      <c r="BGN64" s="190"/>
      <c r="BGO64" s="190"/>
      <c r="BGP64" s="190"/>
      <c r="BGQ64" s="190"/>
      <c r="BGR64" s="190"/>
      <c r="BGS64" s="192"/>
      <c r="BGT64" s="190"/>
      <c r="BGU64" s="190"/>
      <c r="BGV64" s="190"/>
      <c r="BGW64" s="190"/>
      <c r="BGX64" s="190"/>
      <c r="BGY64" s="193"/>
      <c r="BGZ64" s="190"/>
      <c r="BHA64" s="190"/>
      <c r="BHB64" s="190"/>
      <c r="BHC64" s="190"/>
      <c r="BHD64" s="190"/>
      <c r="BHE64" s="194"/>
      <c r="BHF64" s="187"/>
      <c r="BHG64" s="188"/>
      <c r="BHH64" s="188"/>
      <c r="BHI64" s="188"/>
      <c r="BHJ64" s="188"/>
      <c r="BHK64" s="188"/>
      <c r="BHL64" s="188"/>
      <c r="BHM64" s="188"/>
      <c r="BHN64" s="188"/>
      <c r="BHO64" s="188"/>
      <c r="BHP64" s="188"/>
      <c r="BHQ64" s="188"/>
      <c r="BHR64" s="188"/>
      <c r="BHS64" s="188"/>
      <c r="BHT64" s="188"/>
      <c r="BHU64" s="188"/>
      <c r="BHV64" s="188"/>
      <c r="BHW64" s="188"/>
      <c r="BHX64" s="188"/>
      <c r="BHY64" s="188"/>
      <c r="BHZ64" s="188"/>
      <c r="BIA64" s="188"/>
      <c r="BIB64" s="188"/>
      <c r="BIC64" s="188"/>
      <c r="BID64" s="188"/>
      <c r="BIE64" s="188"/>
      <c r="BIF64" s="188"/>
      <c r="BIG64" s="188"/>
      <c r="BIH64" s="188"/>
      <c r="BII64" s="188"/>
      <c r="BIJ64" s="188"/>
      <c r="BIK64" s="188"/>
      <c r="BIL64" s="188"/>
      <c r="BIM64" s="188"/>
      <c r="BIN64" s="188"/>
      <c r="BIO64" s="188"/>
      <c r="BIP64" s="188"/>
    </row>
    <row r="65" spans="1:1602" ht="20.100000000000001" customHeight="1" x14ac:dyDescent="0.25">
      <c r="A65" s="78" t="s">
        <v>49</v>
      </c>
      <c r="B65" s="51"/>
      <c r="C65" s="230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87"/>
      <c r="BHG65" s="188"/>
      <c r="BHH65" s="188"/>
      <c r="BHI65" s="188"/>
      <c r="BHJ65" s="188"/>
      <c r="BHK65" s="188"/>
      <c r="BHL65" s="188"/>
      <c r="BHM65" s="188"/>
      <c r="BHN65" s="188"/>
      <c r="BHO65" s="188"/>
      <c r="BHP65" s="188"/>
      <c r="BHQ65" s="188"/>
      <c r="BHR65" s="188"/>
      <c r="BHS65" s="188"/>
      <c r="BHT65" s="188"/>
      <c r="BHU65" s="188"/>
      <c r="BHV65" s="188"/>
      <c r="BHW65" s="188"/>
      <c r="BHX65" s="188"/>
      <c r="BHY65" s="188"/>
      <c r="BHZ65" s="188"/>
      <c r="BIA65" s="188"/>
      <c r="BIB65" s="188"/>
      <c r="BIC65" s="188"/>
      <c r="BID65" s="188"/>
      <c r="BIE65" s="188"/>
      <c r="BIF65" s="188"/>
      <c r="BIG65" s="188"/>
      <c r="BIH65" s="188"/>
      <c r="BII65" s="188"/>
      <c r="BIJ65" s="188"/>
      <c r="BIK65" s="188"/>
      <c r="BIL65" s="188"/>
      <c r="BIM65" s="188"/>
      <c r="BIN65" s="188"/>
      <c r="BIO65" s="188"/>
      <c r="BIP65" s="188"/>
    </row>
    <row r="66" spans="1:1602" ht="20.100000000000001" customHeight="1" x14ac:dyDescent="0.3">
      <c r="A66" s="78" t="s">
        <v>50</v>
      </c>
      <c r="B66" s="51"/>
      <c r="C66" s="231"/>
      <c r="D66" s="121" t="str">
        <f t="shared" si="0"/>
        <v/>
      </c>
      <c r="E66" s="30">
        <v>0</v>
      </c>
      <c r="F66" s="195"/>
      <c r="G66" s="196"/>
      <c r="H66" s="196"/>
      <c r="I66" s="196"/>
      <c r="J66" s="196"/>
      <c r="K66" s="197"/>
      <c r="L66" s="196"/>
      <c r="M66" s="196"/>
      <c r="N66" s="196"/>
      <c r="O66" s="196"/>
      <c r="P66" s="196"/>
      <c r="Q66" s="198"/>
      <c r="R66" s="196"/>
      <c r="S66" s="196"/>
      <c r="T66" s="196"/>
      <c r="U66" s="196"/>
      <c r="V66" s="196"/>
      <c r="W66" s="199"/>
      <c r="X66" s="196"/>
      <c r="Y66" s="196"/>
      <c r="Z66" s="196"/>
      <c r="AA66" s="196"/>
      <c r="AB66" s="196"/>
      <c r="AC66" s="198"/>
      <c r="AD66" s="196"/>
      <c r="AE66" s="196"/>
      <c r="AF66" s="196"/>
      <c r="AG66" s="196"/>
      <c r="AH66" s="196"/>
      <c r="AI66" s="199"/>
      <c r="AJ66" s="196"/>
      <c r="AK66" s="196"/>
      <c r="AL66" s="196"/>
      <c r="AM66" s="196"/>
      <c r="AN66" s="196"/>
      <c r="AO66" s="198"/>
      <c r="AP66" s="196"/>
      <c r="AQ66" s="196"/>
      <c r="AR66" s="196"/>
      <c r="AS66" s="196"/>
      <c r="AT66" s="196"/>
      <c r="AU66" s="199"/>
      <c r="AV66" s="196"/>
      <c r="AW66" s="196"/>
      <c r="AX66" s="196"/>
      <c r="AY66" s="196"/>
      <c r="AZ66" s="196"/>
      <c r="BA66" s="198"/>
      <c r="BB66" s="196"/>
      <c r="BC66" s="196"/>
      <c r="BD66" s="196"/>
      <c r="BE66" s="196"/>
      <c r="BF66" s="196"/>
      <c r="BG66" s="199"/>
      <c r="BH66" s="196"/>
      <c r="BI66" s="196"/>
      <c r="BJ66" s="196"/>
      <c r="BK66" s="196"/>
      <c r="BL66" s="196"/>
      <c r="BM66" s="200"/>
      <c r="BN66" s="195"/>
      <c r="BO66" s="196"/>
      <c r="BP66" s="196"/>
      <c r="BQ66" s="196"/>
      <c r="BR66" s="196"/>
      <c r="BS66" s="197"/>
      <c r="BT66" s="196"/>
      <c r="BU66" s="196"/>
      <c r="BV66" s="196"/>
      <c r="BW66" s="196"/>
      <c r="BX66" s="196"/>
      <c r="BY66" s="198"/>
      <c r="BZ66" s="196"/>
      <c r="CA66" s="196"/>
      <c r="CB66" s="196"/>
      <c r="CC66" s="196"/>
      <c r="CD66" s="196"/>
      <c r="CE66" s="199"/>
      <c r="CF66" s="196"/>
      <c r="CG66" s="196"/>
      <c r="CH66" s="196"/>
      <c r="CI66" s="196"/>
      <c r="CJ66" s="196"/>
      <c r="CK66" s="198"/>
      <c r="CL66" s="196"/>
      <c r="CM66" s="196"/>
      <c r="CN66" s="196"/>
      <c r="CO66" s="196"/>
      <c r="CP66" s="196"/>
      <c r="CQ66" s="199"/>
      <c r="CR66" s="196"/>
      <c r="CS66" s="196"/>
      <c r="CT66" s="196"/>
      <c r="CU66" s="196"/>
      <c r="CV66" s="196"/>
      <c r="CW66" s="198"/>
      <c r="CX66" s="196"/>
      <c r="CY66" s="196"/>
      <c r="CZ66" s="196"/>
      <c r="DA66" s="196"/>
      <c r="DB66" s="196"/>
      <c r="DC66" s="199"/>
      <c r="DD66" s="196"/>
      <c r="DE66" s="196"/>
      <c r="DF66" s="196"/>
      <c r="DG66" s="196"/>
      <c r="DH66" s="196"/>
      <c r="DI66" s="198"/>
      <c r="DJ66" s="196"/>
      <c r="DK66" s="196"/>
      <c r="DL66" s="196"/>
      <c r="DM66" s="196"/>
      <c r="DN66" s="196"/>
      <c r="DO66" s="199"/>
      <c r="DP66" s="196"/>
      <c r="DQ66" s="196"/>
      <c r="DR66" s="196"/>
      <c r="DS66" s="196"/>
      <c r="DT66" s="196"/>
      <c r="DU66" s="200"/>
      <c r="DV66" s="195"/>
      <c r="DW66" s="196"/>
      <c r="DX66" s="196"/>
      <c r="DY66" s="196"/>
      <c r="DZ66" s="196"/>
      <c r="EA66" s="197"/>
      <c r="EB66" s="196"/>
      <c r="EC66" s="196"/>
      <c r="ED66" s="196"/>
      <c r="EE66" s="196"/>
      <c r="EF66" s="196"/>
      <c r="EG66" s="198"/>
      <c r="EH66" s="196"/>
      <c r="EI66" s="196"/>
      <c r="EJ66" s="196"/>
      <c r="EK66" s="196"/>
      <c r="EL66" s="196"/>
      <c r="EM66" s="199"/>
      <c r="EN66" s="196"/>
      <c r="EO66" s="196"/>
      <c r="EP66" s="196"/>
      <c r="EQ66" s="196"/>
      <c r="ER66" s="196"/>
      <c r="ES66" s="198"/>
      <c r="ET66" s="196"/>
      <c r="EU66" s="196"/>
      <c r="EV66" s="196"/>
      <c r="EW66" s="196"/>
      <c r="EX66" s="196"/>
      <c r="EY66" s="199"/>
      <c r="EZ66" s="196"/>
      <c r="FA66" s="196"/>
      <c r="FB66" s="196"/>
      <c r="FC66" s="196"/>
      <c r="FD66" s="196"/>
      <c r="FE66" s="198"/>
      <c r="FF66" s="196"/>
      <c r="FG66" s="196"/>
      <c r="FH66" s="196"/>
      <c r="FI66" s="196"/>
      <c r="FJ66" s="196"/>
      <c r="FK66" s="199"/>
      <c r="FL66" s="196"/>
      <c r="FM66" s="196"/>
      <c r="FN66" s="196"/>
      <c r="FO66" s="196"/>
      <c r="FP66" s="196"/>
      <c r="FQ66" s="198"/>
      <c r="FR66" s="196"/>
      <c r="FS66" s="196"/>
      <c r="FT66" s="196"/>
      <c r="FU66" s="196"/>
      <c r="FV66" s="196"/>
      <c r="FW66" s="199"/>
      <c r="FX66" s="196"/>
      <c r="FY66" s="196"/>
      <c r="FZ66" s="196"/>
      <c r="GA66" s="196"/>
      <c r="GB66" s="196"/>
      <c r="GC66" s="200"/>
      <c r="GD66" s="195"/>
      <c r="GE66" s="196"/>
      <c r="GF66" s="196"/>
      <c r="GG66" s="196"/>
      <c r="GH66" s="196"/>
      <c r="GI66" s="197"/>
      <c r="GJ66" s="196"/>
      <c r="GK66" s="196"/>
      <c r="GL66" s="196"/>
      <c r="GM66" s="196"/>
      <c r="GN66" s="196"/>
      <c r="GO66" s="198"/>
      <c r="GP66" s="196"/>
      <c r="GQ66" s="196"/>
      <c r="GR66" s="196"/>
      <c r="GS66" s="196"/>
      <c r="GT66" s="196"/>
      <c r="GU66" s="199"/>
      <c r="GV66" s="196"/>
      <c r="GW66" s="196"/>
      <c r="GX66" s="196"/>
      <c r="GY66" s="196"/>
      <c r="GZ66" s="196"/>
      <c r="HA66" s="198"/>
      <c r="HB66" s="196"/>
      <c r="HC66" s="196"/>
      <c r="HD66" s="196"/>
      <c r="HE66" s="196"/>
      <c r="HF66" s="196"/>
      <c r="HG66" s="199"/>
      <c r="HH66" s="196"/>
      <c r="HI66" s="196"/>
      <c r="HJ66" s="196"/>
      <c r="HK66" s="196"/>
      <c r="HL66" s="196"/>
      <c r="HM66" s="198"/>
      <c r="HN66" s="196"/>
      <c r="HO66" s="196"/>
      <c r="HP66" s="196"/>
      <c r="HQ66" s="196"/>
      <c r="HR66" s="196"/>
      <c r="HS66" s="199"/>
      <c r="HT66" s="196"/>
      <c r="HU66" s="196"/>
      <c r="HV66" s="196"/>
      <c r="HW66" s="196"/>
      <c r="HX66" s="196"/>
      <c r="HY66" s="198"/>
      <c r="HZ66" s="196"/>
      <c r="IA66" s="196"/>
      <c r="IB66" s="196"/>
      <c r="IC66" s="196"/>
      <c r="ID66" s="196"/>
      <c r="IE66" s="199"/>
      <c r="IF66" s="196"/>
      <c r="IG66" s="196"/>
      <c r="IH66" s="196"/>
      <c r="II66" s="196"/>
      <c r="IJ66" s="196"/>
      <c r="IK66" s="200"/>
      <c r="IL66" s="195"/>
      <c r="IM66" s="196"/>
      <c r="IN66" s="196"/>
      <c r="IO66" s="196"/>
      <c r="IP66" s="196"/>
      <c r="IQ66" s="197"/>
      <c r="IR66" s="196"/>
      <c r="IS66" s="196"/>
      <c r="IT66" s="196"/>
      <c r="IU66" s="196"/>
      <c r="IV66" s="196"/>
      <c r="IW66" s="198"/>
      <c r="IX66" s="196"/>
      <c r="IY66" s="196"/>
      <c r="IZ66" s="196"/>
      <c r="JA66" s="196"/>
      <c r="JB66" s="196"/>
      <c r="JC66" s="199"/>
      <c r="JD66" s="196"/>
      <c r="JE66" s="196"/>
      <c r="JF66" s="196"/>
      <c r="JG66" s="196"/>
      <c r="JH66" s="196"/>
      <c r="JI66" s="198"/>
      <c r="JJ66" s="196"/>
      <c r="JK66" s="196"/>
      <c r="JL66" s="196"/>
      <c r="JM66" s="196"/>
      <c r="JN66" s="196"/>
      <c r="JO66" s="199"/>
      <c r="JP66" s="196"/>
      <c r="JQ66" s="196"/>
      <c r="JR66" s="196"/>
      <c r="JS66" s="196"/>
      <c r="JT66" s="196"/>
      <c r="JU66" s="198"/>
      <c r="JV66" s="196"/>
      <c r="JW66" s="196"/>
      <c r="JX66" s="196"/>
      <c r="JY66" s="196"/>
      <c r="JZ66" s="196"/>
      <c r="KA66" s="199"/>
      <c r="KB66" s="196"/>
      <c r="KC66" s="196"/>
      <c r="KD66" s="196"/>
      <c r="KE66" s="196"/>
      <c r="KF66" s="196"/>
      <c r="KG66" s="198"/>
      <c r="KH66" s="196"/>
      <c r="KI66" s="196"/>
      <c r="KJ66" s="196"/>
      <c r="KK66" s="196"/>
      <c r="KL66" s="196"/>
      <c r="KM66" s="199"/>
      <c r="KN66" s="196"/>
      <c r="KO66" s="196"/>
      <c r="KP66" s="196"/>
      <c r="KQ66" s="196"/>
      <c r="KR66" s="196"/>
      <c r="KS66" s="200"/>
      <c r="KT66" s="195"/>
      <c r="KU66" s="196"/>
      <c r="KV66" s="196"/>
      <c r="KW66" s="196"/>
      <c r="KX66" s="196"/>
      <c r="KY66" s="197"/>
      <c r="KZ66" s="196"/>
      <c r="LA66" s="196"/>
      <c r="LB66" s="196"/>
      <c r="LC66" s="196"/>
      <c r="LD66" s="196"/>
      <c r="LE66" s="198"/>
      <c r="LF66" s="196"/>
      <c r="LG66" s="196"/>
      <c r="LH66" s="196"/>
      <c r="LI66" s="196"/>
      <c r="LJ66" s="196"/>
      <c r="LK66" s="199"/>
      <c r="LL66" s="196"/>
      <c r="LM66" s="196"/>
      <c r="LN66" s="196"/>
      <c r="LO66" s="196"/>
      <c r="LP66" s="196"/>
      <c r="LQ66" s="198"/>
      <c r="LR66" s="196"/>
      <c r="LS66" s="196"/>
      <c r="LT66" s="196"/>
      <c r="LU66" s="196"/>
      <c r="LV66" s="196"/>
      <c r="LW66" s="199"/>
      <c r="LX66" s="196"/>
      <c r="LY66" s="196"/>
      <c r="LZ66" s="196"/>
      <c r="MA66" s="196"/>
      <c r="MB66" s="196"/>
      <c r="MC66" s="198"/>
      <c r="MD66" s="196"/>
      <c r="ME66" s="196"/>
      <c r="MF66" s="196"/>
      <c r="MG66" s="196"/>
      <c r="MH66" s="196"/>
      <c r="MI66" s="199"/>
      <c r="MJ66" s="196"/>
      <c r="MK66" s="196"/>
      <c r="ML66" s="196"/>
      <c r="MM66" s="196"/>
      <c r="MN66" s="196"/>
      <c r="MO66" s="198"/>
      <c r="MP66" s="196"/>
      <c r="MQ66" s="196"/>
      <c r="MR66" s="196"/>
      <c r="MS66" s="196"/>
      <c r="MT66" s="196"/>
      <c r="MU66" s="199"/>
      <c r="MV66" s="196"/>
      <c r="MW66" s="196"/>
      <c r="MX66" s="196"/>
      <c r="MY66" s="196"/>
      <c r="MZ66" s="196"/>
      <c r="NA66" s="200"/>
      <c r="NB66" s="195"/>
      <c r="NC66" s="196"/>
      <c r="ND66" s="196"/>
      <c r="NE66" s="196"/>
      <c r="NF66" s="196"/>
      <c r="NG66" s="197"/>
      <c r="NH66" s="196"/>
      <c r="NI66" s="196"/>
      <c r="NJ66" s="196"/>
      <c r="NK66" s="196"/>
      <c r="NL66" s="196"/>
      <c r="NM66" s="198"/>
      <c r="NN66" s="196"/>
      <c r="NO66" s="196"/>
      <c r="NP66" s="196"/>
      <c r="NQ66" s="196"/>
      <c r="NR66" s="196"/>
      <c r="NS66" s="199"/>
      <c r="NT66" s="196"/>
      <c r="NU66" s="196"/>
      <c r="NV66" s="196"/>
      <c r="NW66" s="196"/>
      <c r="NX66" s="196"/>
      <c r="NY66" s="198"/>
      <c r="NZ66" s="196"/>
      <c r="OA66" s="196"/>
      <c r="OB66" s="196"/>
      <c r="OC66" s="196"/>
      <c r="OD66" s="196"/>
      <c r="OE66" s="199"/>
      <c r="OF66" s="196"/>
      <c r="OG66" s="196"/>
      <c r="OH66" s="196"/>
      <c r="OI66" s="196"/>
      <c r="OJ66" s="196"/>
      <c r="OK66" s="198"/>
      <c r="OL66" s="196"/>
      <c r="OM66" s="196"/>
      <c r="ON66" s="196"/>
      <c r="OO66" s="196"/>
      <c r="OP66" s="196"/>
      <c r="OQ66" s="199"/>
      <c r="OR66" s="196"/>
      <c r="OS66" s="196"/>
      <c r="OT66" s="196"/>
      <c r="OU66" s="196"/>
      <c r="OV66" s="196"/>
      <c r="OW66" s="198"/>
      <c r="OX66" s="196"/>
      <c r="OY66" s="196"/>
      <c r="OZ66" s="196"/>
      <c r="PA66" s="196"/>
      <c r="PB66" s="196"/>
      <c r="PC66" s="199"/>
      <c r="PD66" s="196"/>
      <c r="PE66" s="196"/>
      <c r="PF66" s="196"/>
      <c r="PG66" s="196"/>
      <c r="PH66" s="196"/>
      <c r="PI66" s="200"/>
      <c r="PJ66" s="195"/>
      <c r="PK66" s="196"/>
      <c r="PL66" s="196"/>
      <c r="PM66" s="196"/>
      <c r="PN66" s="196"/>
      <c r="PO66" s="197"/>
      <c r="PP66" s="196"/>
      <c r="PQ66" s="196"/>
      <c r="PR66" s="196"/>
      <c r="PS66" s="196"/>
      <c r="PT66" s="196"/>
      <c r="PU66" s="198"/>
      <c r="PV66" s="196"/>
      <c r="PW66" s="196"/>
      <c r="PX66" s="196"/>
      <c r="PY66" s="196"/>
      <c r="PZ66" s="196"/>
      <c r="QA66" s="199"/>
      <c r="QB66" s="196"/>
      <c r="QC66" s="196"/>
      <c r="QD66" s="196"/>
      <c r="QE66" s="196"/>
      <c r="QF66" s="196"/>
      <c r="QG66" s="198"/>
      <c r="QH66" s="196"/>
      <c r="QI66" s="196"/>
      <c r="QJ66" s="196"/>
      <c r="QK66" s="196"/>
      <c r="QL66" s="196"/>
      <c r="QM66" s="199"/>
      <c r="QN66" s="196"/>
      <c r="QO66" s="196"/>
      <c r="QP66" s="196"/>
      <c r="QQ66" s="196"/>
      <c r="QR66" s="196"/>
      <c r="QS66" s="198"/>
      <c r="QT66" s="196"/>
      <c r="QU66" s="196"/>
      <c r="QV66" s="196"/>
      <c r="QW66" s="196"/>
      <c r="QX66" s="196"/>
      <c r="QY66" s="199"/>
      <c r="QZ66" s="196"/>
      <c r="RA66" s="196"/>
      <c r="RB66" s="196"/>
      <c r="RC66" s="196"/>
      <c r="RD66" s="196"/>
      <c r="RE66" s="198"/>
      <c r="RF66" s="196"/>
      <c r="RG66" s="196"/>
      <c r="RH66" s="196"/>
      <c r="RI66" s="196"/>
      <c r="RJ66" s="196"/>
      <c r="RK66" s="199"/>
      <c r="RL66" s="196"/>
      <c r="RM66" s="196"/>
      <c r="RN66" s="196"/>
      <c r="RO66" s="196"/>
      <c r="RP66" s="196"/>
      <c r="RQ66" s="200"/>
      <c r="RR66" s="195"/>
      <c r="RS66" s="196"/>
      <c r="RT66" s="196"/>
      <c r="RU66" s="196"/>
      <c r="RV66" s="196"/>
      <c r="RW66" s="197"/>
      <c r="RX66" s="196"/>
      <c r="RY66" s="196"/>
      <c r="RZ66" s="196"/>
      <c r="SA66" s="196"/>
      <c r="SB66" s="196"/>
      <c r="SC66" s="198"/>
      <c r="SD66" s="196"/>
      <c r="SE66" s="196"/>
      <c r="SF66" s="196"/>
      <c r="SG66" s="196"/>
      <c r="SH66" s="196"/>
      <c r="SI66" s="199"/>
      <c r="SJ66" s="196"/>
      <c r="SK66" s="196"/>
      <c r="SL66" s="196"/>
      <c r="SM66" s="196"/>
      <c r="SN66" s="196"/>
      <c r="SO66" s="198"/>
      <c r="SP66" s="196"/>
      <c r="SQ66" s="196"/>
      <c r="SR66" s="196"/>
      <c r="SS66" s="196"/>
      <c r="ST66" s="196"/>
      <c r="SU66" s="199"/>
      <c r="SV66" s="196"/>
      <c r="SW66" s="196"/>
      <c r="SX66" s="196"/>
      <c r="SY66" s="196"/>
      <c r="SZ66" s="196"/>
      <c r="TA66" s="198"/>
      <c r="TB66" s="196"/>
      <c r="TC66" s="196"/>
      <c r="TD66" s="196"/>
      <c r="TE66" s="196"/>
      <c r="TF66" s="196"/>
      <c r="TG66" s="199"/>
      <c r="TH66" s="196"/>
      <c r="TI66" s="196"/>
      <c r="TJ66" s="196"/>
      <c r="TK66" s="196"/>
      <c r="TL66" s="196"/>
      <c r="TM66" s="198"/>
      <c r="TN66" s="196"/>
      <c r="TO66" s="196"/>
      <c r="TP66" s="196"/>
      <c r="TQ66" s="196"/>
      <c r="TR66" s="196"/>
      <c r="TS66" s="199"/>
      <c r="TT66" s="196"/>
      <c r="TU66" s="196"/>
      <c r="TV66" s="196"/>
      <c r="TW66" s="196"/>
      <c r="TX66" s="196"/>
      <c r="TY66" s="200"/>
      <c r="TZ66" s="195"/>
      <c r="UA66" s="196"/>
      <c r="UB66" s="196"/>
      <c r="UC66" s="196"/>
      <c r="UD66" s="196"/>
      <c r="UE66" s="197"/>
      <c r="UF66" s="196"/>
      <c r="UG66" s="196"/>
      <c r="UH66" s="196"/>
      <c r="UI66" s="196"/>
      <c r="UJ66" s="196"/>
      <c r="UK66" s="198"/>
      <c r="UL66" s="196"/>
      <c r="UM66" s="196"/>
      <c r="UN66" s="196"/>
      <c r="UO66" s="196"/>
      <c r="UP66" s="196"/>
      <c r="UQ66" s="199"/>
      <c r="UR66" s="196"/>
      <c r="US66" s="196"/>
      <c r="UT66" s="196"/>
      <c r="UU66" s="196"/>
      <c r="UV66" s="196"/>
      <c r="UW66" s="198"/>
      <c r="UX66" s="196"/>
      <c r="UY66" s="196"/>
      <c r="UZ66" s="196"/>
      <c r="VA66" s="196"/>
      <c r="VB66" s="196"/>
      <c r="VC66" s="199"/>
      <c r="VD66" s="196"/>
      <c r="VE66" s="196"/>
      <c r="VF66" s="196"/>
      <c r="VG66" s="196"/>
      <c r="VH66" s="196"/>
      <c r="VI66" s="198"/>
      <c r="VJ66" s="196"/>
      <c r="VK66" s="196"/>
      <c r="VL66" s="196"/>
      <c r="VM66" s="196"/>
      <c r="VN66" s="196"/>
      <c r="VO66" s="199"/>
      <c r="VP66" s="196"/>
      <c r="VQ66" s="196"/>
      <c r="VR66" s="196"/>
      <c r="VS66" s="196"/>
      <c r="VT66" s="196"/>
      <c r="VU66" s="198"/>
      <c r="VV66" s="196"/>
      <c r="VW66" s="196"/>
      <c r="VX66" s="196"/>
      <c r="VY66" s="196"/>
      <c r="VZ66" s="196"/>
      <c r="WA66" s="199"/>
      <c r="WB66" s="196"/>
      <c r="WC66" s="196"/>
      <c r="WD66" s="196"/>
      <c r="WE66" s="196"/>
      <c r="WF66" s="196"/>
      <c r="WG66" s="200"/>
      <c r="WH66" s="195"/>
      <c r="WI66" s="196"/>
      <c r="WJ66" s="196"/>
      <c r="WK66" s="196"/>
      <c r="WL66" s="196"/>
      <c r="WM66" s="197"/>
      <c r="WN66" s="196"/>
      <c r="WO66" s="196"/>
      <c r="WP66" s="196"/>
      <c r="WQ66" s="196"/>
      <c r="WR66" s="196"/>
      <c r="WS66" s="198"/>
      <c r="WT66" s="196"/>
      <c r="WU66" s="196"/>
      <c r="WV66" s="196"/>
      <c r="WW66" s="196"/>
      <c r="WX66" s="196"/>
      <c r="WY66" s="199"/>
      <c r="WZ66" s="196"/>
      <c r="XA66" s="196"/>
      <c r="XB66" s="196"/>
      <c r="XC66" s="196"/>
      <c r="XD66" s="196"/>
      <c r="XE66" s="198"/>
      <c r="XF66" s="196"/>
      <c r="XG66" s="196"/>
      <c r="XH66" s="196"/>
      <c r="XI66" s="196"/>
      <c r="XJ66" s="196"/>
      <c r="XK66" s="199"/>
      <c r="XL66" s="196"/>
      <c r="XM66" s="196"/>
      <c r="XN66" s="196"/>
      <c r="XO66" s="196"/>
      <c r="XP66" s="196"/>
      <c r="XQ66" s="198"/>
      <c r="XR66" s="196"/>
      <c r="XS66" s="196"/>
      <c r="XT66" s="196"/>
      <c r="XU66" s="196"/>
      <c r="XV66" s="196"/>
      <c r="XW66" s="199"/>
      <c r="XX66" s="196"/>
      <c r="XY66" s="196"/>
      <c r="XZ66" s="196"/>
      <c r="YA66" s="196"/>
      <c r="YB66" s="196"/>
      <c r="YC66" s="198"/>
      <c r="YD66" s="196"/>
      <c r="YE66" s="196"/>
      <c r="YF66" s="196"/>
      <c r="YG66" s="196"/>
      <c r="YH66" s="196"/>
      <c r="YI66" s="199"/>
      <c r="YJ66" s="196"/>
      <c r="YK66" s="196"/>
      <c r="YL66" s="196"/>
      <c r="YM66" s="196"/>
      <c r="YN66" s="196"/>
      <c r="YO66" s="200"/>
      <c r="YP66" s="195"/>
      <c r="YQ66" s="196"/>
      <c r="YR66" s="196"/>
      <c r="YS66" s="196"/>
      <c r="YT66" s="196"/>
      <c r="YU66" s="197"/>
      <c r="YV66" s="196"/>
      <c r="YW66" s="196"/>
      <c r="YX66" s="196"/>
      <c r="YY66" s="196"/>
      <c r="YZ66" s="196"/>
      <c r="ZA66" s="198"/>
      <c r="ZB66" s="196"/>
      <c r="ZC66" s="196"/>
      <c r="ZD66" s="196"/>
      <c r="ZE66" s="196"/>
      <c r="ZF66" s="196"/>
      <c r="ZG66" s="199"/>
      <c r="ZH66" s="196"/>
      <c r="ZI66" s="196"/>
      <c r="ZJ66" s="196"/>
      <c r="ZK66" s="196"/>
      <c r="ZL66" s="196"/>
      <c r="ZM66" s="198"/>
      <c r="ZN66" s="196"/>
      <c r="ZO66" s="196"/>
      <c r="ZP66" s="196"/>
      <c r="ZQ66" s="196"/>
      <c r="ZR66" s="196"/>
      <c r="ZS66" s="199"/>
      <c r="ZT66" s="196"/>
      <c r="ZU66" s="196"/>
      <c r="ZV66" s="196"/>
      <c r="ZW66" s="196"/>
      <c r="ZX66" s="196"/>
      <c r="ZY66" s="198"/>
      <c r="ZZ66" s="196"/>
      <c r="AAA66" s="196"/>
      <c r="AAB66" s="196"/>
      <c r="AAC66" s="196"/>
      <c r="AAD66" s="196"/>
      <c r="AAE66" s="199"/>
      <c r="AAF66" s="196"/>
      <c r="AAG66" s="196"/>
      <c r="AAH66" s="196"/>
      <c r="AAI66" s="196"/>
      <c r="AAJ66" s="196"/>
      <c r="AAK66" s="198"/>
      <c r="AAL66" s="196"/>
      <c r="AAM66" s="196"/>
      <c r="AAN66" s="196"/>
      <c r="AAO66" s="196"/>
      <c r="AAP66" s="196"/>
      <c r="AAQ66" s="199"/>
      <c r="AAR66" s="196"/>
      <c r="AAS66" s="196"/>
      <c r="AAT66" s="196"/>
      <c r="AAU66" s="196"/>
      <c r="AAV66" s="196"/>
      <c r="AAW66" s="200"/>
      <c r="AAX66" s="195"/>
      <c r="AAY66" s="196"/>
      <c r="AAZ66" s="196"/>
      <c r="ABA66" s="196"/>
      <c r="ABB66" s="196"/>
      <c r="ABC66" s="197"/>
      <c r="ABD66" s="196"/>
      <c r="ABE66" s="196"/>
      <c r="ABF66" s="196"/>
      <c r="ABG66" s="196"/>
      <c r="ABH66" s="196"/>
      <c r="ABI66" s="198"/>
      <c r="ABJ66" s="196"/>
      <c r="ABK66" s="196"/>
      <c r="ABL66" s="196"/>
      <c r="ABM66" s="196"/>
      <c r="ABN66" s="196"/>
      <c r="ABO66" s="199"/>
      <c r="ABP66" s="196"/>
      <c r="ABQ66" s="196"/>
      <c r="ABR66" s="196"/>
      <c r="ABS66" s="196"/>
      <c r="ABT66" s="196"/>
      <c r="ABU66" s="198"/>
      <c r="ABV66" s="196"/>
      <c r="ABW66" s="196"/>
      <c r="ABX66" s="196"/>
      <c r="ABY66" s="196"/>
      <c r="ABZ66" s="196"/>
      <c r="ACA66" s="199"/>
      <c r="ACB66" s="196"/>
      <c r="ACC66" s="196"/>
      <c r="ACD66" s="196"/>
      <c r="ACE66" s="196"/>
      <c r="ACF66" s="196"/>
      <c r="ACG66" s="198"/>
      <c r="ACH66" s="196"/>
      <c r="ACI66" s="196"/>
      <c r="ACJ66" s="196"/>
      <c r="ACK66" s="196"/>
      <c r="ACL66" s="196"/>
      <c r="ACM66" s="199"/>
      <c r="ACN66" s="196"/>
      <c r="ACO66" s="196"/>
      <c r="ACP66" s="196"/>
      <c r="ACQ66" s="196"/>
      <c r="ACR66" s="196"/>
      <c r="ACS66" s="198"/>
      <c r="ACT66" s="196"/>
      <c r="ACU66" s="196"/>
      <c r="ACV66" s="196"/>
      <c r="ACW66" s="196"/>
      <c r="ACX66" s="196"/>
      <c r="ACY66" s="199"/>
      <c r="ACZ66" s="196"/>
      <c r="ADA66" s="196"/>
      <c r="ADB66" s="196"/>
      <c r="ADC66" s="196"/>
      <c r="ADD66" s="196"/>
      <c r="ADE66" s="200"/>
      <c r="ADF66" s="195"/>
      <c r="ADG66" s="196"/>
      <c r="ADH66" s="196"/>
      <c r="ADI66" s="196"/>
      <c r="ADJ66" s="196"/>
      <c r="ADK66" s="197"/>
      <c r="ADL66" s="196"/>
      <c r="ADM66" s="196"/>
      <c r="ADN66" s="196"/>
      <c r="ADO66" s="196"/>
      <c r="ADP66" s="196"/>
      <c r="ADQ66" s="198"/>
      <c r="ADR66" s="196"/>
      <c r="ADS66" s="196"/>
      <c r="ADT66" s="196"/>
      <c r="ADU66" s="196"/>
      <c r="ADV66" s="196"/>
      <c r="ADW66" s="199"/>
      <c r="ADX66" s="196"/>
      <c r="ADY66" s="196"/>
      <c r="ADZ66" s="196"/>
      <c r="AEA66" s="196"/>
      <c r="AEB66" s="196"/>
      <c r="AEC66" s="198"/>
      <c r="AED66" s="196"/>
      <c r="AEE66" s="196"/>
      <c r="AEF66" s="196"/>
      <c r="AEG66" s="196"/>
      <c r="AEH66" s="196"/>
      <c r="AEI66" s="199"/>
      <c r="AEJ66" s="196"/>
      <c r="AEK66" s="196"/>
      <c r="AEL66" s="196"/>
      <c r="AEM66" s="196"/>
      <c r="AEN66" s="196"/>
      <c r="AEO66" s="198"/>
      <c r="AEP66" s="196"/>
      <c r="AEQ66" s="196"/>
      <c r="AER66" s="196"/>
      <c r="AES66" s="196"/>
      <c r="AET66" s="196"/>
      <c r="AEU66" s="199"/>
      <c r="AEV66" s="196"/>
      <c r="AEW66" s="196"/>
      <c r="AEX66" s="196"/>
      <c r="AEY66" s="196"/>
      <c r="AEZ66" s="196"/>
      <c r="AFA66" s="198"/>
      <c r="AFB66" s="196"/>
      <c r="AFC66" s="196"/>
      <c r="AFD66" s="196"/>
      <c r="AFE66" s="196"/>
      <c r="AFF66" s="196"/>
      <c r="AFG66" s="199"/>
      <c r="AFH66" s="196"/>
      <c r="AFI66" s="196"/>
      <c r="AFJ66" s="196"/>
      <c r="AFK66" s="196"/>
      <c r="AFL66" s="196"/>
      <c r="AFM66" s="200"/>
      <c r="AFN66" s="195"/>
      <c r="AFO66" s="196"/>
      <c r="AFP66" s="196"/>
      <c r="AFQ66" s="196"/>
      <c r="AFR66" s="196"/>
      <c r="AFS66" s="197"/>
      <c r="AFT66" s="196"/>
      <c r="AFU66" s="196"/>
      <c r="AFV66" s="196"/>
      <c r="AFW66" s="196"/>
      <c r="AFX66" s="196"/>
      <c r="AFY66" s="198"/>
      <c r="AFZ66" s="196"/>
      <c r="AGA66" s="196"/>
      <c r="AGB66" s="196"/>
      <c r="AGC66" s="196"/>
      <c r="AGD66" s="196"/>
      <c r="AGE66" s="199"/>
      <c r="AGF66" s="196"/>
      <c r="AGG66" s="196"/>
      <c r="AGH66" s="196"/>
      <c r="AGI66" s="196"/>
      <c r="AGJ66" s="196"/>
      <c r="AGK66" s="198"/>
      <c r="AGL66" s="196"/>
      <c r="AGM66" s="196"/>
      <c r="AGN66" s="196"/>
      <c r="AGO66" s="196"/>
      <c r="AGP66" s="196"/>
      <c r="AGQ66" s="199"/>
      <c r="AGR66" s="196"/>
      <c r="AGS66" s="196"/>
      <c r="AGT66" s="196"/>
      <c r="AGU66" s="196"/>
      <c r="AGV66" s="196"/>
      <c r="AGW66" s="198"/>
      <c r="AGX66" s="196"/>
      <c r="AGY66" s="196"/>
      <c r="AGZ66" s="196"/>
      <c r="AHA66" s="196"/>
      <c r="AHB66" s="196"/>
      <c r="AHC66" s="199"/>
      <c r="AHD66" s="196"/>
      <c r="AHE66" s="196"/>
      <c r="AHF66" s="196"/>
      <c r="AHG66" s="196"/>
      <c r="AHH66" s="196"/>
      <c r="AHI66" s="198"/>
      <c r="AHJ66" s="196"/>
      <c r="AHK66" s="196"/>
      <c r="AHL66" s="196"/>
      <c r="AHM66" s="196"/>
      <c r="AHN66" s="196"/>
      <c r="AHO66" s="199"/>
      <c r="AHP66" s="196"/>
      <c r="AHQ66" s="196"/>
      <c r="AHR66" s="196"/>
      <c r="AHS66" s="196"/>
      <c r="AHT66" s="196"/>
      <c r="AHU66" s="200"/>
      <c r="AHV66" s="195"/>
      <c r="AHW66" s="196"/>
      <c r="AHX66" s="196"/>
      <c r="AHY66" s="196"/>
      <c r="AHZ66" s="196"/>
      <c r="AIA66" s="197"/>
      <c r="AIB66" s="196"/>
      <c r="AIC66" s="196"/>
      <c r="AID66" s="196"/>
      <c r="AIE66" s="196"/>
      <c r="AIF66" s="196"/>
      <c r="AIG66" s="198"/>
      <c r="AIH66" s="196"/>
      <c r="AII66" s="196"/>
      <c r="AIJ66" s="196"/>
      <c r="AIK66" s="196"/>
      <c r="AIL66" s="196"/>
      <c r="AIM66" s="199"/>
      <c r="AIN66" s="196"/>
      <c r="AIO66" s="196"/>
      <c r="AIP66" s="196"/>
      <c r="AIQ66" s="196"/>
      <c r="AIR66" s="196"/>
      <c r="AIS66" s="198"/>
      <c r="AIT66" s="196"/>
      <c r="AIU66" s="196"/>
      <c r="AIV66" s="196"/>
      <c r="AIW66" s="196"/>
      <c r="AIX66" s="196"/>
      <c r="AIY66" s="199"/>
      <c r="AIZ66" s="196"/>
      <c r="AJA66" s="196"/>
      <c r="AJB66" s="196"/>
      <c r="AJC66" s="196"/>
      <c r="AJD66" s="196"/>
      <c r="AJE66" s="198"/>
      <c r="AJF66" s="196"/>
      <c r="AJG66" s="196"/>
      <c r="AJH66" s="196"/>
      <c r="AJI66" s="196"/>
      <c r="AJJ66" s="196"/>
      <c r="AJK66" s="199"/>
      <c r="AJL66" s="196"/>
      <c r="AJM66" s="196"/>
      <c r="AJN66" s="196"/>
      <c r="AJO66" s="196"/>
      <c r="AJP66" s="196"/>
      <c r="AJQ66" s="198"/>
      <c r="AJR66" s="196"/>
      <c r="AJS66" s="196"/>
      <c r="AJT66" s="196"/>
      <c r="AJU66" s="196"/>
      <c r="AJV66" s="196"/>
      <c r="AJW66" s="199"/>
      <c r="AJX66" s="196"/>
      <c r="AJY66" s="196"/>
      <c r="AJZ66" s="196"/>
      <c r="AKA66" s="196"/>
      <c r="AKB66" s="196"/>
      <c r="AKC66" s="200"/>
      <c r="AKD66" s="195"/>
      <c r="AKE66" s="196"/>
      <c r="AKF66" s="196"/>
      <c r="AKG66" s="196"/>
      <c r="AKH66" s="196"/>
      <c r="AKI66" s="197"/>
      <c r="AKJ66" s="196"/>
      <c r="AKK66" s="196"/>
      <c r="AKL66" s="196"/>
      <c r="AKM66" s="196"/>
      <c r="AKN66" s="196"/>
      <c r="AKO66" s="198"/>
      <c r="AKP66" s="196"/>
      <c r="AKQ66" s="196"/>
      <c r="AKR66" s="196"/>
      <c r="AKS66" s="196"/>
      <c r="AKT66" s="196"/>
      <c r="AKU66" s="199"/>
      <c r="AKV66" s="196"/>
      <c r="AKW66" s="196"/>
      <c r="AKX66" s="196"/>
      <c r="AKY66" s="196"/>
      <c r="AKZ66" s="196"/>
      <c r="ALA66" s="198"/>
      <c r="ALB66" s="196"/>
      <c r="ALC66" s="196"/>
      <c r="ALD66" s="196"/>
      <c r="ALE66" s="196"/>
      <c r="ALF66" s="196"/>
      <c r="ALG66" s="199"/>
      <c r="ALH66" s="196"/>
      <c r="ALI66" s="196"/>
      <c r="ALJ66" s="196"/>
      <c r="ALK66" s="196"/>
      <c r="ALL66" s="196"/>
      <c r="ALM66" s="198"/>
      <c r="ALN66" s="196"/>
      <c r="ALO66" s="196"/>
      <c r="ALP66" s="196"/>
      <c r="ALQ66" s="196"/>
      <c r="ALR66" s="196"/>
      <c r="ALS66" s="199"/>
      <c r="ALT66" s="196"/>
      <c r="ALU66" s="196"/>
      <c r="ALV66" s="196"/>
      <c r="ALW66" s="196"/>
      <c r="ALX66" s="196"/>
      <c r="ALY66" s="198"/>
      <c r="ALZ66" s="196"/>
      <c r="AMA66" s="196"/>
      <c r="AMB66" s="196"/>
      <c r="AMC66" s="196"/>
      <c r="AMD66" s="196"/>
      <c r="AME66" s="199"/>
      <c r="AMF66" s="196"/>
      <c r="AMG66" s="196"/>
      <c r="AMH66" s="196"/>
      <c r="AMI66" s="196"/>
      <c r="AMJ66" s="196"/>
      <c r="AMK66" s="200"/>
      <c r="AML66" s="195"/>
      <c r="AMM66" s="196"/>
      <c r="AMN66" s="196"/>
      <c r="AMO66" s="196"/>
      <c r="AMP66" s="196"/>
      <c r="AMQ66" s="197"/>
      <c r="AMR66" s="196"/>
      <c r="AMS66" s="196"/>
      <c r="AMT66" s="196"/>
      <c r="AMU66" s="196"/>
      <c r="AMV66" s="196"/>
      <c r="AMW66" s="198"/>
      <c r="AMX66" s="196"/>
      <c r="AMY66" s="196"/>
      <c r="AMZ66" s="196"/>
      <c r="ANA66" s="196"/>
      <c r="ANB66" s="196"/>
      <c r="ANC66" s="199"/>
      <c r="AND66" s="196"/>
      <c r="ANE66" s="196"/>
      <c r="ANF66" s="196"/>
      <c r="ANG66" s="196"/>
      <c r="ANH66" s="196"/>
      <c r="ANI66" s="198"/>
      <c r="ANJ66" s="196"/>
      <c r="ANK66" s="196"/>
      <c r="ANL66" s="196"/>
      <c r="ANM66" s="196"/>
      <c r="ANN66" s="196"/>
      <c r="ANO66" s="199"/>
      <c r="ANP66" s="196"/>
      <c r="ANQ66" s="196"/>
      <c r="ANR66" s="196"/>
      <c r="ANS66" s="196"/>
      <c r="ANT66" s="196"/>
      <c r="ANU66" s="198"/>
      <c r="ANV66" s="196"/>
      <c r="ANW66" s="196"/>
      <c r="ANX66" s="196"/>
      <c r="ANY66" s="196"/>
      <c r="ANZ66" s="196"/>
      <c r="AOA66" s="199"/>
      <c r="AOB66" s="196"/>
      <c r="AOC66" s="196"/>
      <c r="AOD66" s="196"/>
      <c r="AOE66" s="196"/>
      <c r="AOF66" s="196"/>
      <c r="AOG66" s="198"/>
      <c r="AOH66" s="196"/>
      <c r="AOI66" s="196"/>
      <c r="AOJ66" s="196"/>
      <c r="AOK66" s="196"/>
      <c r="AOL66" s="196"/>
      <c r="AOM66" s="199"/>
      <c r="AON66" s="196"/>
      <c r="AOO66" s="196"/>
      <c r="AOP66" s="196"/>
      <c r="AOQ66" s="196"/>
      <c r="AOR66" s="196"/>
      <c r="AOS66" s="200"/>
      <c r="AOT66" s="195"/>
      <c r="AOU66" s="196"/>
      <c r="AOV66" s="196"/>
      <c r="AOW66" s="196"/>
      <c r="AOX66" s="196"/>
      <c r="AOY66" s="197"/>
      <c r="AOZ66" s="196"/>
      <c r="APA66" s="196"/>
      <c r="APB66" s="196"/>
      <c r="APC66" s="196"/>
      <c r="APD66" s="196"/>
      <c r="APE66" s="198"/>
      <c r="APF66" s="196"/>
      <c r="APG66" s="196"/>
      <c r="APH66" s="196"/>
      <c r="API66" s="196"/>
      <c r="APJ66" s="196"/>
      <c r="APK66" s="199"/>
      <c r="APL66" s="196"/>
      <c r="APM66" s="196"/>
      <c r="APN66" s="196"/>
      <c r="APO66" s="196"/>
      <c r="APP66" s="196"/>
      <c r="APQ66" s="198"/>
      <c r="APR66" s="196"/>
      <c r="APS66" s="196"/>
      <c r="APT66" s="196"/>
      <c r="APU66" s="196"/>
      <c r="APV66" s="196"/>
      <c r="APW66" s="199"/>
      <c r="APX66" s="196"/>
      <c r="APY66" s="196"/>
      <c r="APZ66" s="196"/>
      <c r="AQA66" s="196"/>
      <c r="AQB66" s="196"/>
      <c r="AQC66" s="198"/>
      <c r="AQD66" s="196"/>
      <c r="AQE66" s="196"/>
      <c r="AQF66" s="196"/>
      <c r="AQG66" s="196"/>
      <c r="AQH66" s="196"/>
      <c r="AQI66" s="199"/>
      <c r="AQJ66" s="196"/>
      <c r="AQK66" s="196"/>
      <c r="AQL66" s="196"/>
      <c r="AQM66" s="196"/>
      <c r="AQN66" s="196"/>
      <c r="AQO66" s="198"/>
      <c r="AQP66" s="196"/>
      <c r="AQQ66" s="196"/>
      <c r="AQR66" s="196"/>
      <c r="AQS66" s="196"/>
      <c r="AQT66" s="196"/>
      <c r="AQU66" s="199"/>
      <c r="AQV66" s="196"/>
      <c r="AQW66" s="196"/>
      <c r="AQX66" s="196"/>
      <c r="AQY66" s="196"/>
      <c r="AQZ66" s="196"/>
      <c r="ARA66" s="200"/>
      <c r="ARB66" s="195"/>
      <c r="ARC66" s="196"/>
      <c r="ARD66" s="196"/>
      <c r="ARE66" s="196"/>
      <c r="ARF66" s="196"/>
      <c r="ARG66" s="197"/>
      <c r="ARH66" s="196"/>
      <c r="ARI66" s="196"/>
      <c r="ARJ66" s="196"/>
      <c r="ARK66" s="196"/>
      <c r="ARL66" s="196"/>
      <c r="ARM66" s="198"/>
      <c r="ARN66" s="196"/>
      <c r="ARO66" s="196"/>
      <c r="ARP66" s="196"/>
      <c r="ARQ66" s="196"/>
      <c r="ARR66" s="196"/>
      <c r="ARS66" s="199"/>
      <c r="ART66" s="196"/>
      <c r="ARU66" s="196"/>
      <c r="ARV66" s="196"/>
      <c r="ARW66" s="196"/>
      <c r="ARX66" s="196"/>
      <c r="ARY66" s="198"/>
      <c r="ARZ66" s="196"/>
      <c r="ASA66" s="196"/>
      <c r="ASB66" s="196"/>
      <c r="ASC66" s="196"/>
      <c r="ASD66" s="196"/>
      <c r="ASE66" s="199"/>
      <c r="ASF66" s="196"/>
      <c r="ASG66" s="196"/>
      <c r="ASH66" s="196"/>
      <c r="ASI66" s="196"/>
      <c r="ASJ66" s="196"/>
      <c r="ASK66" s="198"/>
      <c r="ASL66" s="196"/>
      <c r="ASM66" s="196"/>
      <c r="ASN66" s="196"/>
      <c r="ASO66" s="196"/>
      <c r="ASP66" s="196"/>
      <c r="ASQ66" s="199"/>
      <c r="ASR66" s="196"/>
      <c r="ASS66" s="196"/>
      <c r="AST66" s="196"/>
      <c r="ASU66" s="196"/>
      <c r="ASV66" s="196"/>
      <c r="ASW66" s="198"/>
      <c r="ASX66" s="196"/>
      <c r="ASY66" s="196"/>
      <c r="ASZ66" s="196"/>
      <c r="ATA66" s="196"/>
      <c r="ATB66" s="196"/>
      <c r="ATC66" s="199"/>
      <c r="ATD66" s="196"/>
      <c r="ATE66" s="196"/>
      <c r="ATF66" s="196"/>
      <c r="ATG66" s="196"/>
      <c r="ATH66" s="196"/>
      <c r="ATI66" s="200"/>
      <c r="ATJ66" s="195"/>
      <c r="ATK66" s="196"/>
      <c r="ATL66" s="196"/>
      <c r="ATM66" s="196"/>
      <c r="ATN66" s="196"/>
      <c r="ATO66" s="197"/>
      <c r="ATP66" s="196"/>
      <c r="ATQ66" s="196"/>
      <c r="ATR66" s="196"/>
      <c r="ATS66" s="196"/>
      <c r="ATT66" s="196"/>
      <c r="ATU66" s="198"/>
      <c r="ATV66" s="196"/>
      <c r="ATW66" s="196"/>
      <c r="ATX66" s="196"/>
      <c r="ATY66" s="196"/>
      <c r="ATZ66" s="196"/>
      <c r="AUA66" s="199"/>
      <c r="AUB66" s="196"/>
      <c r="AUC66" s="196"/>
      <c r="AUD66" s="196"/>
      <c r="AUE66" s="196"/>
      <c r="AUF66" s="196"/>
      <c r="AUG66" s="198"/>
      <c r="AUH66" s="196"/>
      <c r="AUI66" s="196"/>
      <c r="AUJ66" s="196"/>
      <c r="AUK66" s="196"/>
      <c r="AUL66" s="196"/>
      <c r="AUM66" s="199"/>
      <c r="AUN66" s="196"/>
      <c r="AUO66" s="196"/>
      <c r="AUP66" s="196"/>
      <c r="AUQ66" s="196"/>
      <c r="AUR66" s="196"/>
      <c r="AUS66" s="198"/>
      <c r="AUT66" s="196"/>
      <c r="AUU66" s="196"/>
      <c r="AUV66" s="196"/>
      <c r="AUW66" s="196"/>
      <c r="AUX66" s="196"/>
      <c r="AUY66" s="199"/>
      <c r="AUZ66" s="196"/>
      <c r="AVA66" s="196"/>
      <c r="AVB66" s="196"/>
      <c r="AVC66" s="196"/>
      <c r="AVD66" s="196"/>
      <c r="AVE66" s="198"/>
      <c r="AVF66" s="196"/>
      <c r="AVG66" s="196"/>
      <c r="AVH66" s="196"/>
      <c r="AVI66" s="196"/>
      <c r="AVJ66" s="196"/>
      <c r="AVK66" s="199"/>
      <c r="AVL66" s="196"/>
      <c r="AVM66" s="196"/>
      <c r="AVN66" s="196"/>
      <c r="AVO66" s="196"/>
      <c r="AVP66" s="196"/>
      <c r="AVQ66" s="200"/>
      <c r="AVR66" s="195"/>
      <c r="AVS66" s="196"/>
      <c r="AVT66" s="196"/>
      <c r="AVU66" s="196"/>
      <c r="AVV66" s="196"/>
      <c r="AVW66" s="197"/>
      <c r="AVX66" s="196"/>
      <c r="AVY66" s="196"/>
      <c r="AVZ66" s="196"/>
      <c r="AWA66" s="196"/>
      <c r="AWB66" s="196"/>
      <c r="AWC66" s="198"/>
      <c r="AWD66" s="196"/>
      <c r="AWE66" s="196"/>
      <c r="AWF66" s="196"/>
      <c r="AWG66" s="196"/>
      <c r="AWH66" s="196"/>
      <c r="AWI66" s="199"/>
      <c r="AWJ66" s="196"/>
      <c r="AWK66" s="196"/>
      <c r="AWL66" s="196"/>
      <c r="AWM66" s="196"/>
      <c r="AWN66" s="196"/>
      <c r="AWO66" s="198"/>
      <c r="AWP66" s="196"/>
      <c r="AWQ66" s="196"/>
      <c r="AWR66" s="196"/>
      <c r="AWS66" s="196"/>
      <c r="AWT66" s="196"/>
      <c r="AWU66" s="199"/>
      <c r="AWV66" s="196"/>
      <c r="AWW66" s="196"/>
      <c r="AWX66" s="196"/>
      <c r="AWY66" s="196"/>
      <c r="AWZ66" s="196"/>
      <c r="AXA66" s="198"/>
      <c r="AXB66" s="196"/>
      <c r="AXC66" s="196"/>
      <c r="AXD66" s="196"/>
      <c r="AXE66" s="196"/>
      <c r="AXF66" s="196"/>
      <c r="AXG66" s="199"/>
      <c r="AXH66" s="196"/>
      <c r="AXI66" s="196"/>
      <c r="AXJ66" s="196"/>
      <c r="AXK66" s="196"/>
      <c r="AXL66" s="196"/>
      <c r="AXM66" s="198"/>
      <c r="AXN66" s="196"/>
      <c r="AXO66" s="196"/>
      <c r="AXP66" s="196"/>
      <c r="AXQ66" s="196"/>
      <c r="AXR66" s="196"/>
      <c r="AXS66" s="199"/>
      <c r="AXT66" s="196"/>
      <c r="AXU66" s="196"/>
      <c r="AXV66" s="196"/>
      <c r="AXW66" s="196"/>
      <c r="AXX66" s="196"/>
      <c r="AXY66" s="200"/>
      <c r="AXZ66" s="195"/>
      <c r="AYA66" s="196"/>
      <c r="AYB66" s="196"/>
      <c r="AYC66" s="196"/>
      <c r="AYD66" s="196"/>
      <c r="AYE66" s="197"/>
      <c r="AYF66" s="196"/>
      <c r="AYG66" s="196"/>
      <c r="AYH66" s="196"/>
      <c r="AYI66" s="196"/>
      <c r="AYJ66" s="196"/>
      <c r="AYK66" s="198"/>
      <c r="AYL66" s="196"/>
      <c r="AYM66" s="196"/>
      <c r="AYN66" s="196"/>
      <c r="AYO66" s="196"/>
      <c r="AYP66" s="196"/>
      <c r="AYQ66" s="199"/>
      <c r="AYR66" s="196"/>
      <c r="AYS66" s="196"/>
      <c r="AYT66" s="196"/>
      <c r="AYU66" s="196"/>
      <c r="AYV66" s="196"/>
      <c r="AYW66" s="198"/>
      <c r="AYX66" s="196"/>
      <c r="AYY66" s="196"/>
      <c r="AYZ66" s="196"/>
      <c r="AZA66" s="196"/>
      <c r="AZB66" s="196"/>
      <c r="AZC66" s="199"/>
      <c r="AZD66" s="196"/>
      <c r="AZE66" s="196"/>
      <c r="AZF66" s="196"/>
      <c r="AZG66" s="196"/>
      <c r="AZH66" s="196"/>
      <c r="AZI66" s="198"/>
      <c r="AZJ66" s="196"/>
      <c r="AZK66" s="196"/>
      <c r="AZL66" s="196"/>
      <c r="AZM66" s="196"/>
      <c r="AZN66" s="196"/>
      <c r="AZO66" s="199"/>
      <c r="AZP66" s="196"/>
      <c r="AZQ66" s="196"/>
      <c r="AZR66" s="196"/>
      <c r="AZS66" s="196"/>
      <c r="AZT66" s="196"/>
      <c r="AZU66" s="198"/>
      <c r="AZV66" s="196"/>
      <c r="AZW66" s="196"/>
      <c r="AZX66" s="196"/>
      <c r="AZY66" s="196"/>
      <c r="AZZ66" s="196"/>
      <c r="BAA66" s="199"/>
      <c r="BAB66" s="196"/>
      <c r="BAC66" s="196"/>
      <c r="BAD66" s="196"/>
      <c r="BAE66" s="196"/>
      <c r="BAF66" s="196"/>
      <c r="BAG66" s="200"/>
      <c r="BAH66" s="195"/>
      <c r="BAI66" s="196"/>
      <c r="BAJ66" s="196"/>
      <c r="BAK66" s="196"/>
      <c r="BAL66" s="196"/>
      <c r="BAM66" s="197"/>
      <c r="BAN66" s="196"/>
      <c r="BAO66" s="196"/>
      <c r="BAP66" s="196"/>
      <c r="BAQ66" s="196"/>
      <c r="BAR66" s="196"/>
      <c r="BAS66" s="198"/>
      <c r="BAT66" s="196"/>
      <c r="BAU66" s="196"/>
      <c r="BAV66" s="196"/>
      <c r="BAW66" s="196"/>
      <c r="BAX66" s="196"/>
      <c r="BAY66" s="199"/>
      <c r="BAZ66" s="196"/>
      <c r="BBA66" s="196"/>
      <c r="BBB66" s="196"/>
      <c r="BBC66" s="196"/>
      <c r="BBD66" s="196"/>
      <c r="BBE66" s="198"/>
      <c r="BBF66" s="196"/>
      <c r="BBG66" s="196"/>
      <c r="BBH66" s="196"/>
      <c r="BBI66" s="196"/>
      <c r="BBJ66" s="196"/>
      <c r="BBK66" s="199"/>
      <c r="BBL66" s="196"/>
      <c r="BBM66" s="196"/>
      <c r="BBN66" s="196"/>
      <c r="BBO66" s="196"/>
      <c r="BBP66" s="196"/>
      <c r="BBQ66" s="198"/>
      <c r="BBR66" s="196"/>
      <c r="BBS66" s="196"/>
      <c r="BBT66" s="196"/>
      <c r="BBU66" s="196"/>
      <c r="BBV66" s="196"/>
      <c r="BBW66" s="199"/>
      <c r="BBX66" s="196"/>
      <c r="BBY66" s="196"/>
      <c r="BBZ66" s="196"/>
      <c r="BCA66" s="196"/>
      <c r="BCB66" s="196"/>
      <c r="BCC66" s="198"/>
      <c r="BCD66" s="196"/>
      <c r="BCE66" s="196"/>
      <c r="BCF66" s="196"/>
      <c r="BCG66" s="196"/>
      <c r="BCH66" s="196"/>
      <c r="BCI66" s="199"/>
      <c r="BCJ66" s="196"/>
      <c r="BCK66" s="196"/>
      <c r="BCL66" s="196"/>
      <c r="BCM66" s="196"/>
      <c r="BCN66" s="196"/>
      <c r="BCO66" s="200"/>
      <c r="BCP66" s="195"/>
      <c r="BCQ66" s="196"/>
      <c r="BCR66" s="196"/>
      <c r="BCS66" s="196"/>
      <c r="BCT66" s="196"/>
      <c r="BCU66" s="197"/>
      <c r="BCV66" s="196"/>
      <c r="BCW66" s="196"/>
      <c r="BCX66" s="196"/>
      <c r="BCY66" s="196"/>
      <c r="BCZ66" s="196"/>
      <c r="BDA66" s="198"/>
      <c r="BDB66" s="196"/>
      <c r="BDC66" s="196"/>
      <c r="BDD66" s="196"/>
      <c r="BDE66" s="196"/>
      <c r="BDF66" s="196"/>
      <c r="BDG66" s="199"/>
      <c r="BDH66" s="196"/>
      <c r="BDI66" s="196"/>
      <c r="BDJ66" s="196"/>
      <c r="BDK66" s="196"/>
      <c r="BDL66" s="196"/>
      <c r="BDM66" s="198"/>
      <c r="BDN66" s="196"/>
      <c r="BDO66" s="196"/>
      <c r="BDP66" s="196"/>
      <c r="BDQ66" s="196"/>
      <c r="BDR66" s="196"/>
      <c r="BDS66" s="199"/>
      <c r="BDT66" s="196"/>
      <c r="BDU66" s="196"/>
      <c r="BDV66" s="196"/>
      <c r="BDW66" s="196"/>
      <c r="BDX66" s="196"/>
      <c r="BDY66" s="198"/>
      <c r="BDZ66" s="196"/>
      <c r="BEA66" s="196"/>
      <c r="BEB66" s="196"/>
      <c r="BEC66" s="196"/>
      <c r="BED66" s="196"/>
      <c r="BEE66" s="199"/>
      <c r="BEF66" s="196"/>
      <c r="BEG66" s="196"/>
      <c r="BEH66" s="196"/>
      <c r="BEI66" s="196"/>
      <c r="BEJ66" s="196"/>
      <c r="BEK66" s="198"/>
      <c r="BEL66" s="196"/>
      <c r="BEM66" s="196"/>
      <c r="BEN66" s="196"/>
      <c r="BEO66" s="196"/>
      <c r="BEP66" s="196"/>
      <c r="BEQ66" s="199"/>
      <c r="BER66" s="196"/>
      <c r="BES66" s="196"/>
      <c r="BET66" s="196"/>
      <c r="BEU66" s="196"/>
      <c r="BEV66" s="196"/>
      <c r="BEW66" s="200"/>
      <c r="BEX66" s="195"/>
      <c r="BEY66" s="196"/>
      <c r="BEZ66" s="196"/>
      <c r="BFA66" s="196"/>
      <c r="BFB66" s="196"/>
      <c r="BFC66" s="197"/>
      <c r="BFD66" s="196"/>
      <c r="BFE66" s="196"/>
      <c r="BFF66" s="196"/>
      <c r="BFG66" s="196"/>
      <c r="BFH66" s="196"/>
      <c r="BFI66" s="198"/>
      <c r="BFJ66" s="196"/>
      <c r="BFK66" s="196"/>
      <c r="BFL66" s="196"/>
      <c r="BFM66" s="196"/>
      <c r="BFN66" s="196"/>
      <c r="BFO66" s="199"/>
      <c r="BFP66" s="196"/>
      <c r="BFQ66" s="196"/>
      <c r="BFR66" s="196"/>
      <c r="BFS66" s="196"/>
      <c r="BFT66" s="196"/>
      <c r="BFU66" s="198"/>
      <c r="BFV66" s="196"/>
      <c r="BFW66" s="196"/>
      <c r="BFX66" s="196"/>
      <c r="BFY66" s="196"/>
      <c r="BFZ66" s="196"/>
      <c r="BGA66" s="199"/>
      <c r="BGB66" s="196"/>
      <c r="BGC66" s="196"/>
      <c r="BGD66" s="196"/>
      <c r="BGE66" s="196"/>
      <c r="BGF66" s="196"/>
      <c r="BGG66" s="198"/>
      <c r="BGH66" s="196"/>
      <c r="BGI66" s="196"/>
      <c r="BGJ66" s="196"/>
      <c r="BGK66" s="196"/>
      <c r="BGL66" s="196"/>
      <c r="BGM66" s="199"/>
      <c r="BGN66" s="196"/>
      <c r="BGO66" s="196"/>
      <c r="BGP66" s="196"/>
      <c r="BGQ66" s="196"/>
      <c r="BGR66" s="196"/>
      <c r="BGS66" s="198"/>
      <c r="BGT66" s="196"/>
      <c r="BGU66" s="196"/>
      <c r="BGV66" s="196"/>
      <c r="BGW66" s="196"/>
      <c r="BGX66" s="196"/>
      <c r="BGY66" s="199"/>
      <c r="BGZ66" s="196"/>
      <c r="BHA66" s="196"/>
      <c r="BHB66" s="196"/>
      <c r="BHC66" s="196"/>
      <c r="BHD66" s="196"/>
      <c r="BHE66" s="200"/>
      <c r="BHF66" s="187"/>
      <c r="BHG66" s="188"/>
      <c r="BHH66" s="188"/>
      <c r="BHI66" s="188"/>
      <c r="BHJ66" s="188"/>
      <c r="BHK66" s="188"/>
      <c r="BHL66" s="188"/>
      <c r="BHM66" s="188"/>
      <c r="BHN66" s="188"/>
      <c r="BHO66" s="188"/>
      <c r="BHP66" s="188"/>
      <c r="BHQ66" s="188"/>
      <c r="BHR66" s="188"/>
      <c r="BHS66" s="188"/>
      <c r="BHT66" s="188"/>
      <c r="BHU66" s="188"/>
      <c r="BHV66" s="188"/>
      <c r="BHW66" s="188"/>
      <c r="BHX66" s="188"/>
      <c r="BHY66" s="188"/>
      <c r="BHZ66" s="188"/>
      <c r="BIA66" s="188"/>
      <c r="BIB66" s="188"/>
      <c r="BIC66" s="188"/>
      <c r="BID66" s="188"/>
      <c r="BIE66" s="188"/>
      <c r="BIF66" s="188"/>
      <c r="BIG66" s="188"/>
      <c r="BIH66" s="188"/>
      <c r="BII66" s="188"/>
      <c r="BIJ66" s="188"/>
      <c r="BIK66" s="188"/>
      <c r="BIL66" s="188"/>
      <c r="BIM66" s="188"/>
      <c r="BIN66" s="188"/>
      <c r="BIO66" s="188"/>
      <c r="BIP66" s="188"/>
    </row>
    <row r="67" spans="1:1602" ht="20.100000000000001" customHeight="1" x14ac:dyDescent="0.25">
      <c r="A67" s="78" t="s">
        <v>49</v>
      </c>
      <c r="B67" s="51"/>
      <c r="C67" s="230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87"/>
      <c r="BHG67" s="188"/>
      <c r="BHH67" s="188"/>
      <c r="BHI67" s="188"/>
      <c r="BHJ67" s="188"/>
      <c r="BHK67" s="188"/>
      <c r="BHL67" s="188"/>
      <c r="BHM67" s="188"/>
      <c r="BHN67" s="188"/>
      <c r="BHO67" s="188"/>
      <c r="BHP67" s="188"/>
      <c r="BHQ67" s="188"/>
      <c r="BHR67" s="188"/>
      <c r="BHS67" s="188"/>
      <c r="BHT67" s="188"/>
      <c r="BHU67" s="188"/>
      <c r="BHV67" s="188"/>
      <c r="BHW67" s="188"/>
      <c r="BHX67" s="188"/>
      <c r="BHY67" s="188"/>
      <c r="BHZ67" s="188"/>
      <c r="BIA67" s="188"/>
      <c r="BIB67" s="188"/>
      <c r="BIC67" s="188"/>
      <c r="BID67" s="188"/>
      <c r="BIE67" s="188"/>
      <c r="BIF67" s="188"/>
      <c r="BIG67" s="188"/>
      <c r="BIH67" s="188"/>
      <c r="BII67" s="188"/>
      <c r="BIJ67" s="188"/>
      <c r="BIK67" s="188"/>
      <c r="BIL67" s="188"/>
      <c r="BIM67" s="188"/>
      <c r="BIN67" s="188"/>
      <c r="BIO67" s="188"/>
      <c r="BIP67" s="188"/>
    </row>
    <row r="68" spans="1:1602" ht="20.100000000000001" customHeight="1" x14ac:dyDescent="0.25">
      <c r="A68" s="78" t="s">
        <v>50</v>
      </c>
      <c r="B68" s="51"/>
      <c r="C68" s="236"/>
      <c r="D68" s="120" t="str">
        <f t="shared" si="0"/>
        <v/>
      </c>
      <c r="E68" s="22">
        <v>0</v>
      </c>
      <c r="F68" s="189"/>
      <c r="G68" s="190"/>
      <c r="H68" s="190"/>
      <c r="I68" s="190"/>
      <c r="J68" s="190"/>
      <c r="K68" s="191"/>
      <c r="L68" s="190"/>
      <c r="M68" s="190"/>
      <c r="N68" s="190"/>
      <c r="O68" s="190"/>
      <c r="P68" s="190"/>
      <c r="Q68" s="192"/>
      <c r="R68" s="190"/>
      <c r="S68" s="190"/>
      <c r="T68" s="190"/>
      <c r="U68" s="190"/>
      <c r="V68" s="190"/>
      <c r="W68" s="193"/>
      <c r="X68" s="190"/>
      <c r="Y68" s="190"/>
      <c r="Z68" s="190"/>
      <c r="AA68" s="190"/>
      <c r="AB68" s="190"/>
      <c r="AC68" s="192"/>
      <c r="AD68" s="190"/>
      <c r="AE68" s="190"/>
      <c r="AF68" s="190"/>
      <c r="AG68" s="190"/>
      <c r="AH68" s="190"/>
      <c r="AI68" s="193"/>
      <c r="AJ68" s="190"/>
      <c r="AK68" s="190"/>
      <c r="AL68" s="190"/>
      <c r="AM68" s="190"/>
      <c r="AN68" s="190"/>
      <c r="AO68" s="192"/>
      <c r="AP68" s="190"/>
      <c r="AQ68" s="190"/>
      <c r="AR68" s="190"/>
      <c r="AS68" s="190"/>
      <c r="AT68" s="190"/>
      <c r="AU68" s="193"/>
      <c r="AV68" s="190"/>
      <c r="AW68" s="190"/>
      <c r="AX68" s="190"/>
      <c r="AY68" s="190"/>
      <c r="AZ68" s="190"/>
      <c r="BA68" s="192"/>
      <c r="BB68" s="190"/>
      <c r="BC68" s="190"/>
      <c r="BD68" s="190"/>
      <c r="BE68" s="190"/>
      <c r="BF68" s="190"/>
      <c r="BG68" s="193"/>
      <c r="BH68" s="190"/>
      <c r="BI68" s="190"/>
      <c r="BJ68" s="190"/>
      <c r="BK68" s="190"/>
      <c r="BL68" s="190"/>
      <c r="BM68" s="194"/>
      <c r="BN68" s="189"/>
      <c r="BO68" s="190"/>
      <c r="BP68" s="190"/>
      <c r="BQ68" s="190"/>
      <c r="BR68" s="190"/>
      <c r="BS68" s="191"/>
      <c r="BT68" s="190"/>
      <c r="BU68" s="190"/>
      <c r="BV68" s="190"/>
      <c r="BW68" s="190"/>
      <c r="BX68" s="190"/>
      <c r="BY68" s="192"/>
      <c r="BZ68" s="190"/>
      <c r="CA68" s="190"/>
      <c r="CB68" s="190"/>
      <c r="CC68" s="190"/>
      <c r="CD68" s="190"/>
      <c r="CE68" s="193"/>
      <c r="CF68" s="190"/>
      <c r="CG68" s="190"/>
      <c r="CH68" s="190"/>
      <c r="CI68" s="190"/>
      <c r="CJ68" s="190"/>
      <c r="CK68" s="192"/>
      <c r="CL68" s="190"/>
      <c r="CM68" s="190"/>
      <c r="CN68" s="190"/>
      <c r="CO68" s="190"/>
      <c r="CP68" s="190"/>
      <c r="CQ68" s="193"/>
      <c r="CR68" s="190"/>
      <c r="CS68" s="190"/>
      <c r="CT68" s="190"/>
      <c r="CU68" s="190"/>
      <c r="CV68" s="190"/>
      <c r="CW68" s="192"/>
      <c r="CX68" s="190"/>
      <c r="CY68" s="190"/>
      <c r="CZ68" s="190"/>
      <c r="DA68" s="190"/>
      <c r="DB68" s="190"/>
      <c r="DC68" s="193"/>
      <c r="DD68" s="190"/>
      <c r="DE68" s="190"/>
      <c r="DF68" s="190"/>
      <c r="DG68" s="190"/>
      <c r="DH68" s="190"/>
      <c r="DI68" s="192"/>
      <c r="DJ68" s="190"/>
      <c r="DK68" s="190"/>
      <c r="DL68" s="190"/>
      <c r="DM68" s="190"/>
      <c r="DN68" s="190"/>
      <c r="DO68" s="193"/>
      <c r="DP68" s="190"/>
      <c r="DQ68" s="190"/>
      <c r="DR68" s="190"/>
      <c r="DS68" s="190"/>
      <c r="DT68" s="190"/>
      <c r="DU68" s="194"/>
      <c r="DV68" s="189"/>
      <c r="DW68" s="190"/>
      <c r="DX68" s="190"/>
      <c r="DY68" s="190"/>
      <c r="DZ68" s="190"/>
      <c r="EA68" s="191"/>
      <c r="EB68" s="190"/>
      <c r="EC68" s="190"/>
      <c r="ED68" s="190"/>
      <c r="EE68" s="190"/>
      <c r="EF68" s="190"/>
      <c r="EG68" s="192"/>
      <c r="EH68" s="190"/>
      <c r="EI68" s="190"/>
      <c r="EJ68" s="190"/>
      <c r="EK68" s="190"/>
      <c r="EL68" s="190"/>
      <c r="EM68" s="193"/>
      <c r="EN68" s="190"/>
      <c r="EO68" s="190"/>
      <c r="EP68" s="190"/>
      <c r="EQ68" s="190"/>
      <c r="ER68" s="190"/>
      <c r="ES68" s="192"/>
      <c r="ET68" s="190"/>
      <c r="EU68" s="190"/>
      <c r="EV68" s="190"/>
      <c r="EW68" s="190"/>
      <c r="EX68" s="190"/>
      <c r="EY68" s="193"/>
      <c r="EZ68" s="190"/>
      <c r="FA68" s="190"/>
      <c r="FB68" s="190"/>
      <c r="FC68" s="190"/>
      <c r="FD68" s="190"/>
      <c r="FE68" s="192"/>
      <c r="FF68" s="190"/>
      <c r="FG68" s="190"/>
      <c r="FH68" s="190"/>
      <c r="FI68" s="190"/>
      <c r="FJ68" s="190"/>
      <c r="FK68" s="193"/>
      <c r="FL68" s="190"/>
      <c r="FM68" s="190"/>
      <c r="FN68" s="190"/>
      <c r="FO68" s="190"/>
      <c r="FP68" s="190"/>
      <c r="FQ68" s="192"/>
      <c r="FR68" s="190"/>
      <c r="FS68" s="190"/>
      <c r="FT68" s="190"/>
      <c r="FU68" s="190"/>
      <c r="FV68" s="190"/>
      <c r="FW68" s="193"/>
      <c r="FX68" s="190"/>
      <c r="FY68" s="190"/>
      <c r="FZ68" s="190"/>
      <c r="GA68" s="190"/>
      <c r="GB68" s="190"/>
      <c r="GC68" s="194"/>
      <c r="GD68" s="189"/>
      <c r="GE68" s="190"/>
      <c r="GF68" s="190"/>
      <c r="GG68" s="190"/>
      <c r="GH68" s="190"/>
      <c r="GI68" s="191"/>
      <c r="GJ68" s="190"/>
      <c r="GK68" s="190"/>
      <c r="GL68" s="190"/>
      <c r="GM68" s="190"/>
      <c r="GN68" s="190"/>
      <c r="GO68" s="192"/>
      <c r="GP68" s="190"/>
      <c r="GQ68" s="190"/>
      <c r="GR68" s="190"/>
      <c r="GS68" s="190"/>
      <c r="GT68" s="190"/>
      <c r="GU68" s="193"/>
      <c r="GV68" s="190"/>
      <c r="GW68" s="190"/>
      <c r="GX68" s="190"/>
      <c r="GY68" s="190"/>
      <c r="GZ68" s="190"/>
      <c r="HA68" s="192"/>
      <c r="HB68" s="190"/>
      <c r="HC68" s="190"/>
      <c r="HD68" s="190"/>
      <c r="HE68" s="190"/>
      <c r="HF68" s="190"/>
      <c r="HG68" s="193"/>
      <c r="HH68" s="190"/>
      <c r="HI68" s="190"/>
      <c r="HJ68" s="190"/>
      <c r="HK68" s="190"/>
      <c r="HL68" s="190"/>
      <c r="HM68" s="192"/>
      <c r="HN68" s="190"/>
      <c r="HO68" s="190"/>
      <c r="HP68" s="190"/>
      <c r="HQ68" s="190"/>
      <c r="HR68" s="190"/>
      <c r="HS68" s="193"/>
      <c r="HT68" s="190"/>
      <c r="HU68" s="190"/>
      <c r="HV68" s="190"/>
      <c r="HW68" s="190"/>
      <c r="HX68" s="190"/>
      <c r="HY68" s="192"/>
      <c r="HZ68" s="190"/>
      <c r="IA68" s="190"/>
      <c r="IB68" s="190"/>
      <c r="IC68" s="190"/>
      <c r="ID68" s="190"/>
      <c r="IE68" s="193"/>
      <c r="IF68" s="190"/>
      <c r="IG68" s="190"/>
      <c r="IH68" s="190"/>
      <c r="II68" s="190"/>
      <c r="IJ68" s="190"/>
      <c r="IK68" s="194"/>
      <c r="IL68" s="189"/>
      <c r="IM68" s="190"/>
      <c r="IN68" s="190"/>
      <c r="IO68" s="190"/>
      <c r="IP68" s="190"/>
      <c r="IQ68" s="191"/>
      <c r="IR68" s="190"/>
      <c r="IS68" s="190"/>
      <c r="IT68" s="190"/>
      <c r="IU68" s="190"/>
      <c r="IV68" s="190"/>
      <c r="IW68" s="192"/>
      <c r="IX68" s="190"/>
      <c r="IY68" s="190"/>
      <c r="IZ68" s="190"/>
      <c r="JA68" s="190"/>
      <c r="JB68" s="190"/>
      <c r="JC68" s="193"/>
      <c r="JD68" s="190"/>
      <c r="JE68" s="190"/>
      <c r="JF68" s="190"/>
      <c r="JG68" s="190"/>
      <c r="JH68" s="190"/>
      <c r="JI68" s="192"/>
      <c r="JJ68" s="190"/>
      <c r="JK68" s="190"/>
      <c r="JL68" s="190"/>
      <c r="JM68" s="190"/>
      <c r="JN68" s="190"/>
      <c r="JO68" s="193"/>
      <c r="JP68" s="190"/>
      <c r="JQ68" s="190"/>
      <c r="JR68" s="190"/>
      <c r="JS68" s="190"/>
      <c r="JT68" s="190"/>
      <c r="JU68" s="192"/>
      <c r="JV68" s="190"/>
      <c r="JW68" s="190"/>
      <c r="JX68" s="190"/>
      <c r="JY68" s="190"/>
      <c r="JZ68" s="190"/>
      <c r="KA68" s="193"/>
      <c r="KB68" s="190"/>
      <c r="KC68" s="190"/>
      <c r="KD68" s="190"/>
      <c r="KE68" s="190"/>
      <c r="KF68" s="190"/>
      <c r="KG68" s="192"/>
      <c r="KH68" s="190"/>
      <c r="KI68" s="190"/>
      <c r="KJ68" s="190"/>
      <c r="KK68" s="190"/>
      <c r="KL68" s="190"/>
      <c r="KM68" s="193"/>
      <c r="KN68" s="190"/>
      <c r="KO68" s="190"/>
      <c r="KP68" s="190"/>
      <c r="KQ68" s="190"/>
      <c r="KR68" s="190"/>
      <c r="KS68" s="194"/>
      <c r="KT68" s="189"/>
      <c r="KU68" s="190"/>
      <c r="KV68" s="190"/>
      <c r="KW68" s="190"/>
      <c r="KX68" s="190"/>
      <c r="KY68" s="191"/>
      <c r="KZ68" s="190"/>
      <c r="LA68" s="190"/>
      <c r="LB68" s="190"/>
      <c r="LC68" s="190"/>
      <c r="LD68" s="190"/>
      <c r="LE68" s="192"/>
      <c r="LF68" s="190"/>
      <c r="LG68" s="190"/>
      <c r="LH68" s="190"/>
      <c r="LI68" s="190"/>
      <c r="LJ68" s="190"/>
      <c r="LK68" s="193"/>
      <c r="LL68" s="190"/>
      <c r="LM68" s="190"/>
      <c r="LN68" s="190"/>
      <c r="LO68" s="190"/>
      <c r="LP68" s="190"/>
      <c r="LQ68" s="192"/>
      <c r="LR68" s="190"/>
      <c r="LS68" s="190"/>
      <c r="LT68" s="190"/>
      <c r="LU68" s="190"/>
      <c r="LV68" s="190"/>
      <c r="LW68" s="193"/>
      <c r="LX68" s="190"/>
      <c r="LY68" s="190"/>
      <c r="LZ68" s="190"/>
      <c r="MA68" s="190"/>
      <c r="MB68" s="190"/>
      <c r="MC68" s="192"/>
      <c r="MD68" s="190"/>
      <c r="ME68" s="190"/>
      <c r="MF68" s="190"/>
      <c r="MG68" s="190"/>
      <c r="MH68" s="190"/>
      <c r="MI68" s="193"/>
      <c r="MJ68" s="190"/>
      <c r="MK68" s="190"/>
      <c r="ML68" s="190"/>
      <c r="MM68" s="190"/>
      <c r="MN68" s="190"/>
      <c r="MO68" s="192"/>
      <c r="MP68" s="190"/>
      <c r="MQ68" s="190"/>
      <c r="MR68" s="190"/>
      <c r="MS68" s="190"/>
      <c r="MT68" s="190"/>
      <c r="MU68" s="193"/>
      <c r="MV68" s="190"/>
      <c r="MW68" s="190"/>
      <c r="MX68" s="190"/>
      <c r="MY68" s="190"/>
      <c r="MZ68" s="190"/>
      <c r="NA68" s="194"/>
      <c r="NB68" s="189"/>
      <c r="NC68" s="190"/>
      <c r="ND68" s="190"/>
      <c r="NE68" s="190"/>
      <c r="NF68" s="190"/>
      <c r="NG68" s="191"/>
      <c r="NH68" s="190"/>
      <c r="NI68" s="190"/>
      <c r="NJ68" s="190"/>
      <c r="NK68" s="190"/>
      <c r="NL68" s="190"/>
      <c r="NM68" s="192"/>
      <c r="NN68" s="190"/>
      <c r="NO68" s="190"/>
      <c r="NP68" s="190"/>
      <c r="NQ68" s="190"/>
      <c r="NR68" s="190"/>
      <c r="NS68" s="193"/>
      <c r="NT68" s="190"/>
      <c r="NU68" s="190"/>
      <c r="NV68" s="190"/>
      <c r="NW68" s="190"/>
      <c r="NX68" s="190"/>
      <c r="NY68" s="192"/>
      <c r="NZ68" s="190"/>
      <c r="OA68" s="190"/>
      <c r="OB68" s="190"/>
      <c r="OC68" s="190"/>
      <c r="OD68" s="190"/>
      <c r="OE68" s="193"/>
      <c r="OF68" s="190"/>
      <c r="OG68" s="190"/>
      <c r="OH68" s="190"/>
      <c r="OI68" s="190"/>
      <c r="OJ68" s="190"/>
      <c r="OK68" s="192"/>
      <c r="OL68" s="190"/>
      <c r="OM68" s="190"/>
      <c r="ON68" s="190"/>
      <c r="OO68" s="190"/>
      <c r="OP68" s="190"/>
      <c r="OQ68" s="193"/>
      <c r="OR68" s="190"/>
      <c r="OS68" s="190"/>
      <c r="OT68" s="190"/>
      <c r="OU68" s="190"/>
      <c r="OV68" s="190"/>
      <c r="OW68" s="192"/>
      <c r="OX68" s="190"/>
      <c r="OY68" s="190"/>
      <c r="OZ68" s="190"/>
      <c r="PA68" s="190"/>
      <c r="PB68" s="190"/>
      <c r="PC68" s="193"/>
      <c r="PD68" s="190"/>
      <c r="PE68" s="190"/>
      <c r="PF68" s="190"/>
      <c r="PG68" s="190"/>
      <c r="PH68" s="190"/>
      <c r="PI68" s="194"/>
      <c r="PJ68" s="189"/>
      <c r="PK68" s="190"/>
      <c r="PL68" s="190"/>
      <c r="PM68" s="190"/>
      <c r="PN68" s="190"/>
      <c r="PO68" s="191"/>
      <c r="PP68" s="190"/>
      <c r="PQ68" s="190"/>
      <c r="PR68" s="190"/>
      <c r="PS68" s="190"/>
      <c r="PT68" s="190"/>
      <c r="PU68" s="192"/>
      <c r="PV68" s="190"/>
      <c r="PW68" s="190"/>
      <c r="PX68" s="190"/>
      <c r="PY68" s="190"/>
      <c r="PZ68" s="190"/>
      <c r="QA68" s="193"/>
      <c r="QB68" s="190"/>
      <c r="QC68" s="190"/>
      <c r="QD68" s="190"/>
      <c r="QE68" s="190"/>
      <c r="QF68" s="190"/>
      <c r="QG68" s="192"/>
      <c r="QH68" s="190"/>
      <c r="QI68" s="190"/>
      <c r="QJ68" s="190"/>
      <c r="QK68" s="190"/>
      <c r="QL68" s="190"/>
      <c r="QM68" s="193"/>
      <c r="QN68" s="190"/>
      <c r="QO68" s="190"/>
      <c r="QP68" s="190"/>
      <c r="QQ68" s="190"/>
      <c r="QR68" s="190"/>
      <c r="QS68" s="192"/>
      <c r="QT68" s="190"/>
      <c r="QU68" s="190"/>
      <c r="QV68" s="190"/>
      <c r="QW68" s="190"/>
      <c r="QX68" s="190"/>
      <c r="QY68" s="193"/>
      <c r="QZ68" s="190"/>
      <c r="RA68" s="190"/>
      <c r="RB68" s="190"/>
      <c r="RC68" s="190"/>
      <c r="RD68" s="190"/>
      <c r="RE68" s="192"/>
      <c r="RF68" s="190"/>
      <c r="RG68" s="190"/>
      <c r="RH68" s="190"/>
      <c r="RI68" s="190"/>
      <c r="RJ68" s="190"/>
      <c r="RK68" s="193"/>
      <c r="RL68" s="190"/>
      <c r="RM68" s="190"/>
      <c r="RN68" s="190"/>
      <c r="RO68" s="190"/>
      <c r="RP68" s="190"/>
      <c r="RQ68" s="194"/>
      <c r="RR68" s="189"/>
      <c r="RS68" s="190"/>
      <c r="RT68" s="190"/>
      <c r="RU68" s="190"/>
      <c r="RV68" s="190"/>
      <c r="RW68" s="191"/>
      <c r="RX68" s="190"/>
      <c r="RY68" s="190"/>
      <c r="RZ68" s="190"/>
      <c r="SA68" s="190"/>
      <c r="SB68" s="190"/>
      <c r="SC68" s="192"/>
      <c r="SD68" s="190"/>
      <c r="SE68" s="190"/>
      <c r="SF68" s="190"/>
      <c r="SG68" s="190"/>
      <c r="SH68" s="190"/>
      <c r="SI68" s="193"/>
      <c r="SJ68" s="190"/>
      <c r="SK68" s="190"/>
      <c r="SL68" s="190"/>
      <c r="SM68" s="190"/>
      <c r="SN68" s="190"/>
      <c r="SO68" s="192"/>
      <c r="SP68" s="190"/>
      <c r="SQ68" s="190"/>
      <c r="SR68" s="190"/>
      <c r="SS68" s="190"/>
      <c r="ST68" s="190"/>
      <c r="SU68" s="193"/>
      <c r="SV68" s="190"/>
      <c r="SW68" s="190"/>
      <c r="SX68" s="190"/>
      <c r="SY68" s="190"/>
      <c r="SZ68" s="190"/>
      <c r="TA68" s="192"/>
      <c r="TB68" s="190"/>
      <c r="TC68" s="190"/>
      <c r="TD68" s="190"/>
      <c r="TE68" s="190"/>
      <c r="TF68" s="190"/>
      <c r="TG68" s="193"/>
      <c r="TH68" s="190"/>
      <c r="TI68" s="190"/>
      <c r="TJ68" s="190"/>
      <c r="TK68" s="190"/>
      <c r="TL68" s="190"/>
      <c r="TM68" s="192"/>
      <c r="TN68" s="190"/>
      <c r="TO68" s="190"/>
      <c r="TP68" s="190"/>
      <c r="TQ68" s="190"/>
      <c r="TR68" s="190"/>
      <c r="TS68" s="193"/>
      <c r="TT68" s="190"/>
      <c r="TU68" s="190"/>
      <c r="TV68" s="190"/>
      <c r="TW68" s="190"/>
      <c r="TX68" s="190"/>
      <c r="TY68" s="194"/>
      <c r="TZ68" s="189"/>
      <c r="UA68" s="190"/>
      <c r="UB68" s="190"/>
      <c r="UC68" s="190"/>
      <c r="UD68" s="190"/>
      <c r="UE68" s="191"/>
      <c r="UF68" s="190"/>
      <c r="UG68" s="190"/>
      <c r="UH68" s="190"/>
      <c r="UI68" s="190"/>
      <c r="UJ68" s="190"/>
      <c r="UK68" s="192"/>
      <c r="UL68" s="190"/>
      <c r="UM68" s="190"/>
      <c r="UN68" s="190"/>
      <c r="UO68" s="190"/>
      <c r="UP68" s="190"/>
      <c r="UQ68" s="193"/>
      <c r="UR68" s="190"/>
      <c r="US68" s="190"/>
      <c r="UT68" s="190"/>
      <c r="UU68" s="190"/>
      <c r="UV68" s="190"/>
      <c r="UW68" s="192"/>
      <c r="UX68" s="190"/>
      <c r="UY68" s="190"/>
      <c r="UZ68" s="190"/>
      <c r="VA68" s="190"/>
      <c r="VB68" s="190"/>
      <c r="VC68" s="193"/>
      <c r="VD68" s="190"/>
      <c r="VE68" s="190"/>
      <c r="VF68" s="190"/>
      <c r="VG68" s="190"/>
      <c r="VH68" s="190"/>
      <c r="VI68" s="192"/>
      <c r="VJ68" s="190"/>
      <c r="VK68" s="190"/>
      <c r="VL68" s="190"/>
      <c r="VM68" s="190"/>
      <c r="VN68" s="190"/>
      <c r="VO68" s="193"/>
      <c r="VP68" s="190"/>
      <c r="VQ68" s="190"/>
      <c r="VR68" s="190"/>
      <c r="VS68" s="190"/>
      <c r="VT68" s="190"/>
      <c r="VU68" s="192"/>
      <c r="VV68" s="190"/>
      <c r="VW68" s="190"/>
      <c r="VX68" s="190"/>
      <c r="VY68" s="190"/>
      <c r="VZ68" s="190"/>
      <c r="WA68" s="193"/>
      <c r="WB68" s="190"/>
      <c r="WC68" s="190"/>
      <c r="WD68" s="190"/>
      <c r="WE68" s="190"/>
      <c r="WF68" s="190"/>
      <c r="WG68" s="194"/>
      <c r="WH68" s="189"/>
      <c r="WI68" s="190"/>
      <c r="WJ68" s="190"/>
      <c r="WK68" s="190"/>
      <c r="WL68" s="190"/>
      <c r="WM68" s="191"/>
      <c r="WN68" s="190"/>
      <c r="WO68" s="190"/>
      <c r="WP68" s="190"/>
      <c r="WQ68" s="190"/>
      <c r="WR68" s="190"/>
      <c r="WS68" s="192"/>
      <c r="WT68" s="190"/>
      <c r="WU68" s="190"/>
      <c r="WV68" s="190"/>
      <c r="WW68" s="190"/>
      <c r="WX68" s="190"/>
      <c r="WY68" s="193"/>
      <c r="WZ68" s="190"/>
      <c r="XA68" s="190"/>
      <c r="XB68" s="190"/>
      <c r="XC68" s="190"/>
      <c r="XD68" s="190"/>
      <c r="XE68" s="192"/>
      <c r="XF68" s="190"/>
      <c r="XG68" s="190"/>
      <c r="XH68" s="190"/>
      <c r="XI68" s="190"/>
      <c r="XJ68" s="190"/>
      <c r="XK68" s="193"/>
      <c r="XL68" s="190"/>
      <c r="XM68" s="190"/>
      <c r="XN68" s="190"/>
      <c r="XO68" s="190"/>
      <c r="XP68" s="190"/>
      <c r="XQ68" s="192"/>
      <c r="XR68" s="190"/>
      <c r="XS68" s="190"/>
      <c r="XT68" s="190"/>
      <c r="XU68" s="190"/>
      <c r="XV68" s="190"/>
      <c r="XW68" s="193"/>
      <c r="XX68" s="190"/>
      <c r="XY68" s="190"/>
      <c r="XZ68" s="190"/>
      <c r="YA68" s="190"/>
      <c r="YB68" s="190"/>
      <c r="YC68" s="192"/>
      <c r="YD68" s="190"/>
      <c r="YE68" s="190"/>
      <c r="YF68" s="190"/>
      <c r="YG68" s="190"/>
      <c r="YH68" s="190"/>
      <c r="YI68" s="193"/>
      <c r="YJ68" s="190"/>
      <c r="YK68" s="190"/>
      <c r="YL68" s="190"/>
      <c r="YM68" s="190"/>
      <c r="YN68" s="190"/>
      <c r="YO68" s="194"/>
      <c r="YP68" s="189"/>
      <c r="YQ68" s="190"/>
      <c r="YR68" s="190"/>
      <c r="YS68" s="190"/>
      <c r="YT68" s="190"/>
      <c r="YU68" s="191"/>
      <c r="YV68" s="190"/>
      <c r="YW68" s="190"/>
      <c r="YX68" s="190"/>
      <c r="YY68" s="190"/>
      <c r="YZ68" s="190"/>
      <c r="ZA68" s="192"/>
      <c r="ZB68" s="190"/>
      <c r="ZC68" s="190"/>
      <c r="ZD68" s="190"/>
      <c r="ZE68" s="190"/>
      <c r="ZF68" s="190"/>
      <c r="ZG68" s="193"/>
      <c r="ZH68" s="190"/>
      <c r="ZI68" s="190"/>
      <c r="ZJ68" s="190"/>
      <c r="ZK68" s="190"/>
      <c r="ZL68" s="190"/>
      <c r="ZM68" s="192"/>
      <c r="ZN68" s="190"/>
      <c r="ZO68" s="190"/>
      <c r="ZP68" s="190"/>
      <c r="ZQ68" s="190"/>
      <c r="ZR68" s="190"/>
      <c r="ZS68" s="193"/>
      <c r="ZT68" s="190"/>
      <c r="ZU68" s="190"/>
      <c r="ZV68" s="190"/>
      <c r="ZW68" s="190"/>
      <c r="ZX68" s="190"/>
      <c r="ZY68" s="192"/>
      <c r="ZZ68" s="190"/>
      <c r="AAA68" s="190"/>
      <c r="AAB68" s="190"/>
      <c r="AAC68" s="190"/>
      <c r="AAD68" s="190"/>
      <c r="AAE68" s="193"/>
      <c r="AAF68" s="190"/>
      <c r="AAG68" s="190"/>
      <c r="AAH68" s="190"/>
      <c r="AAI68" s="190"/>
      <c r="AAJ68" s="190"/>
      <c r="AAK68" s="192"/>
      <c r="AAL68" s="190"/>
      <c r="AAM68" s="190"/>
      <c r="AAN68" s="190"/>
      <c r="AAO68" s="190"/>
      <c r="AAP68" s="190"/>
      <c r="AAQ68" s="193"/>
      <c r="AAR68" s="190"/>
      <c r="AAS68" s="190"/>
      <c r="AAT68" s="190"/>
      <c r="AAU68" s="190"/>
      <c r="AAV68" s="190"/>
      <c r="AAW68" s="194"/>
      <c r="AAX68" s="189"/>
      <c r="AAY68" s="190"/>
      <c r="AAZ68" s="190"/>
      <c r="ABA68" s="190"/>
      <c r="ABB68" s="190"/>
      <c r="ABC68" s="191"/>
      <c r="ABD68" s="190"/>
      <c r="ABE68" s="190"/>
      <c r="ABF68" s="190"/>
      <c r="ABG68" s="190"/>
      <c r="ABH68" s="190"/>
      <c r="ABI68" s="192"/>
      <c r="ABJ68" s="190"/>
      <c r="ABK68" s="190"/>
      <c r="ABL68" s="190"/>
      <c r="ABM68" s="190"/>
      <c r="ABN68" s="190"/>
      <c r="ABO68" s="193"/>
      <c r="ABP68" s="190"/>
      <c r="ABQ68" s="190"/>
      <c r="ABR68" s="190"/>
      <c r="ABS68" s="190"/>
      <c r="ABT68" s="190"/>
      <c r="ABU68" s="192"/>
      <c r="ABV68" s="190"/>
      <c r="ABW68" s="190"/>
      <c r="ABX68" s="190"/>
      <c r="ABY68" s="190"/>
      <c r="ABZ68" s="190"/>
      <c r="ACA68" s="193"/>
      <c r="ACB68" s="190"/>
      <c r="ACC68" s="190"/>
      <c r="ACD68" s="190"/>
      <c r="ACE68" s="190"/>
      <c r="ACF68" s="190"/>
      <c r="ACG68" s="192"/>
      <c r="ACH68" s="190"/>
      <c r="ACI68" s="190"/>
      <c r="ACJ68" s="190"/>
      <c r="ACK68" s="190"/>
      <c r="ACL68" s="190"/>
      <c r="ACM68" s="193"/>
      <c r="ACN68" s="190"/>
      <c r="ACO68" s="190"/>
      <c r="ACP68" s="190"/>
      <c r="ACQ68" s="190"/>
      <c r="ACR68" s="190"/>
      <c r="ACS68" s="192"/>
      <c r="ACT68" s="190"/>
      <c r="ACU68" s="190"/>
      <c r="ACV68" s="190"/>
      <c r="ACW68" s="190"/>
      <c r="ACX68" s="190"/>
      <c r="ACY68" s="193"/>
      <c r="ACZ68" s="190"/>
      <c r="ADA68" s="190"/>
      <c r="ADB68" s="190"/>
      <c r="ADC68" s="190"/>
      <c r="ADD68" s="190"/>
      <c r="ADE68" s="194"/>
      <c r="ADF68" s="189"/>
      <c r="ADG68" s="190"/>
      <c r="ADH68" s="190"/>
      <c r="ADI68" s="190"/>
      <c r="ADJ68" s="190"/>
      <c r="ADK68" s="191"/>
      <c r="ADL68" s="190"/>
      <c r="ADM68" s="190"/>
      <c r="ADN68" s="190"/>
      <c r="ADO68" s="190"/>
      <c r="ADP68" s="190"/>
      <c r="ADQ68" s="192"/>
      <c r="ADR68" s="190"/>
      <c r="ADS68" s="190"/>
      <c r="ADT68" s="190"/>
      <c r="ADU68" s="190"/>
      <c r="ADV68" s="190"/>
      <c r="ADW68" s="193"/>
      <c r="ADX68" s="190"/>
      <c r="ADY68" s="190"/>
      <c r="ADZ68" s="190"/>
      <c r="AEA68" s="190"/>
      <c r="AEB68" s="190"/>
      <c r="AEC68" s="192"/>
      <c r="AED68" s="190"/>
      <c r="AEE68" s="190"/>
      <c r="AEF68" s="190"/>
      <c r="AEG68" s="190"/>
      <c r="AEH68" s="190"/>
      <c r="AEI68" s="193"/>
      <c r="AEJ68" s="190"/>
      <c r="AEK68" s="190"/>
      <c r="AEL68" s="190"/>
      <c r="AEM68" s="190"/>
      <c r="AEN68" s="190"/>
      <c r="AEO68" s="192"/>
      <c r="AEP68" s="190"/>
      <c r="AEQ68" s="190"/>
      <c r="AER68" s="190"/>
      <c r="AES68" s="190"/>
      <c r="AET68" s="190"/>
      <c r="AEU68" s="193"/>
      <c r="AEV68" s="190"/>
      <c r="AEW68" s="190"/>
      <c r="AEX68" s="190"/>
      <c r="AEY68" s="190"/>
      <c r="AEZ68" s="190"/>
      <c r="AFA68" s="192"/>
      <c r="AFB68" s="190"/>
      <c r="AFC68" s="190"/>
      <c r="AFD68" s="190"/>
      <c r="AFE68" s="190"/>
      <c r="AFF68" s="190"/>
      <c r="AFG68" s="193"/>
      <c r="AFH68" s="190"/>
      <c r="AFI68" s="190"/>
      <c r="AFJ68" s="190"/>
      <c r="AFK68" s="190"/>
      <c r="AFL68" s="190"/>
      <c r="AFM68" s="194"/>
      <c r="AFN68" s="189"/>
      <c r="AFO68" s="190"/>
      <c r="AFP68" s="190"/>
      <c r="AFQ68" s="190"/>
      <c r="AFR68" s="190"/>
      <c r="AFS68" s="191"/>
      <c r="AFT68" s="190"/>
      <c r="AFU68" s="190"/>
      <c r="AFV68" s="190"/>
      <c r="AFW68" s="190"/>
      <c r="AFX68" s="190"/>
      <c r="AFY68" s="192"/>
      <c r="AFZ68" s="190"/>
      <c r="AGA68" s="190"/>
      <c r="AGB68" s="190"/>
      <c r="AGC68" s="190"/>
      <c r="AGD68" s="190"/>
      <c r="AGE68" s="193"/>
      <c r="AGF68" s="190"/>
      <c r="AGG68" s="190"/>
      <c r="AGH68" s="190"/>
      <c r="AGI68" s="190"/>
      <c r="AGJ68" s="190"/>
      <c r="AGK68" s="192"/>
      <c r="AGL68" s="190"/>
      <c r="AGM68" s="190"/>
      <c r="AGN68" s="190"/>
      <c r="AGO68" s="190"/>
      <c r="AGP68" s="190"/>
      <c r="AGQ68" s="193"/>
      <c r="AGR68" s="190"/>
      <c r="AGS68" s="190"/>
      <c r="AGT68" s="190"/>
      <c r="AGU68" s="190"/>
      <c r="AGV68" s="190"/>
      <c r="AGW68" s="192"/>
      <c r="AGX68" s="190"/>
      <c r="AGY68" s="190"/>
      <c r="AGZ68" s="190"/>
      <c r="AHA68" s="190"/>
      <c r="AHB68" s="190"/>
      <c r="AHC68" s="193"/>
      <c r="AHD68" s="190"/>
      <c r="AHE68" s="190"/>
      <c r="AHF68" s="190"/>
      <c r="AHG68" s="190"/>
      <c r="AHH68" s="190"/>
      <c r="AHI68" s="192"/>
      <c r="AHJ68" s="190"/>
      <c r="AHK68" s="190"/>
      <c r="AHL68" s="190"/>
      <c r="AHM68" s="190"/>
      <c r="AHN68" s="190"/>
      <c r="AHO68" s="193"/>
      <c r="AHP68" s="190"/>
      <c r="AHQ68" s="190"/>
      <c r="AHR68" s="190"/>
      <c r="AHS68" s="190"/>
      <c r="AHT68" s="190"/>
      <c r="AHU68" s="194"/>
      <c r="AHV68" s="189"/>
      <c r="AHW68" s="190"/>
      <c r="AHX68" s="190"/>
      <c r="AHY68" s="190"/>
      <c r="AHZ68" s="190"/>
      <c r="AIA68" s="191"/>
      <c r="AIB68" s="190"/>
      <c r="AIC68" s="190"/>
      <c r="AID68" s="190"/>
      <c r="AIE68" s="190"/>
      <c r="AIF68" s="190"/>
      <c r="AIG68" s="192"/>
      <c r="AIH68" s="190"/>
      <c r="AII68" s="190"/>
      <c r="AIJ68" s="190"/>
      <c r="AIK68" s="190"/>
      <c r="AIL68" s="190"/>
      <c r="AIM68" s="193"/>
      <c r="AIN68" s="190"/>
      <c r="AIO68" s="190"/>
      <c r="AIP68" s="190"/>
      <c r="AIQ68" s="190"/>
      <c r="AIR68" s="190"/>
      <c r="AIS68" s="192"/>
      <c r="AIT68" s="190"/>
      <c r="AIU68" s="190"/>
      <c r="AIV68" s="190"/>
      <c r="AIW68" s="190"/>
      <c r="AIX68" s="190"/>
      <c r="AIY68" s="193"/>
      <c r="AIZ68" s="190"/>
      <c r="AJA68" s="190"/>
      <c r="AJB68" s="190"/>
      <c r="AJC68" s="190"/>
      <c r="AJD68" s="190"/>
      <c r="AJE68" s="192"/>
      <c r="AJF68" s="190"/>
      <c r="AJG68" s="190"/>
      <c r="AJH68" s="190"/>
      <c r="AJI68" s="190"/>
      <c r="AJJ68" s="190"/>
      <c r="AJK68" s="193"/>
      <c r="AJL68" s="190"/>
      <c r="AJM68" s="190"/>
      <c r="AJN68" s="190"/>
      <c r="AJO68" s="190"/>
      <c r="AJP68" s="190"/>
      <c r="AJQ68" s="192"/>
      <c r="AJR68" s="190"/>
      <c r="AJS68" s="190"/>
      <c r="AJT68" s="190"/>
      <c r="AJU68" s="190"/>
      <c r="AJV68" s="190"/>
      <c r="AJW68" s="193"/>
      <c r="AJX68" s="190"/>
      <c r="AJY68" s="190"/>
      <c r="AJZ68" s="190"/>
      <c r="AKA68" s="190"/>
      <c r="AKB68" s="190"/>
      <c r="AKC68" s="194"/>
      <c r="AKD68" s="189"/>
      <c r="AKE68" s="190"/>
      <c r="AKF68" s="190"/>
      <c r="AKG68" s="190"/>
      <c r="AKH68" s="190"/>
      <c r="AKI68" s="191"/>
      <c r="AKJ68" s="190"/>
      <c r="AKK68" s="190"/>
      <c r="AKL68" s="190"/>
      <c r="AKM68" s="190"/>
      <c r="AKN68" s="190"/>
      <c r="AKO68" s="192"/>
      <c r="AKP68" s="190"/>
      <c r="AKQ68" s="190"/>
      <c r="AKR68" s="190"/>
      <c r="AKS68" s="190"/>
      <c r="AKT68" s="190"/>
      <c r="AKU68" s="193"/>
      <c r="AKV68" s="190"/>
      <c r="AKW68" s="190"/>
      <c r="AKX68" s="190"/>
      <c r="AKY68" s="190"/>
      <c r="AKZ68" s="190"/>
      <c r="ALA68" s="192"/>
      <c r="ALB68" s="190"/>
      <c r="ALC68" s="190"/>
      <c r="ALD68" s="190"/>
      <c r="ALE68" s="190"/>
      <c r="ALF68" s="190"/>
      <c r="ALG68" s="193"/>
      <c r="ALH68" s="190"/>
      <c r="ALI68" s="190"/>
      <c r="ALJ68" s="190"/>
      <c r="ALK68" s="190"/>
      <c r="ALL68" s="190"/>
      <c r="ALM68" s="192"/>
      <c r="ALN68" s="190"/>
      <c r="ALO68" s="190"/>
      <c r="ALP68" s="190"/>
      <c r="ALQ68" s="190"/>
      <c r="ALR68" s="190"/>
      <c r="ALS68" s="193"/>
      <c r="ALT68" s="190"/>
      <c r="ALU68" s="190"/>
      <c r="ALV68" s="190"/>
      <c r="ALW68" s="190"/>
      <c r="ALX68" s="190"/>
      <c r="ALY68" s="192"/>
      <c r="ALZ68" s="190"/>
      <c r="AMA68" s="190"/>
      <c r="AMB68" s="190"/>
      <c r="AMC68" s="190"/>
      <c r="AMD68" s="190"/>
      <c r="AME68" s="193"/>
      <c r="AMF68" s="190"/>
      <c r="AMG68" s="190"/>
      <c r="AMH68" s="190"/>
      <c r="AMI68" s="190"/>
      <c r="AMJ68" s="190"/>
      <c r="AMK68" s="194"/>
      <c r="AML68" s="189"/>
      <c r="AMM68" s="190"/>
      <c r="AMN68" s="190"/>
      <c r="AMO68" s="190"/>
      <c r="AMP68" s="190"/>
      <c r="AMQ68" s="191"/>
      <c r="AMR68" s="190"/>
      <c r="AMS68" s="190"/>
      <c r="AMT68" s="190"/>
      <c r="AMU68" s="190"/>
      <c r="AMV68" s="190"/>
      <c r="AMW68" s="192"/>
      <c r="AMX68" s="190"/>
      <c r="AMY68" s="190"/>
      <c r="AMZ68" s="190"/>
      <c r="ANA68" s="190"/>
      <c r="ANB68" s="190"/>
      <c r="ANC68" s="193"/>
      <c r="AND68" s="190"/>
      <c r="ANE68" s="190"/>
      <c r="ANF68" s="190"/>
      <c r="ANG68" s="190"/>
      <c r="ANH68" s="190"/>
      <c r="ANI68" s="192"/>
      <c r="ANJ68" s="190"/>
      <c r="ANK68" s="190"/>
      <c r="ANL68" s="190"/>
      <c r="ANM68" s="190"/>
      <c r="ANN68" s="190"/>
      <c r="ANO68" s="193"/>
      <c r="ANP68" s="190"/>
      <c r="ANQ68" s="190"/>
      <c r="ANR68" s="190"/>
      <c r="ANS68" s="190"/>
      <c r="ANT68" s="190"/>
      <c r="ANU68" s="192"/>
      <c r="ANV68" s="190"/>
      <c r="ANW68" s="190"/>
      <c r="ANX68" s="190"/>
      <c r="ANY68" s="190"/>
      <c r="ANZ68" s="190"/>
      <c r="AOA68" s="193"/>
      <c r="AOB68" s="190"/>
      <c r="AOC68" s="190"/>
      <c r="AOD68" s="190"/>
      <c r="AOE68" s="190"/>
      <c r="AOF68" s="190"/>
      <c r="AOG68" s="192"/>
      <c r="AOH68" s="190"/>
      <c r="AOI68" s="190"/>
      <c r="AOJ68" s="190"/>
      <c r="AOK68" s="190"/>
      <c r="AOL68" s="190"/>
      <c r="AOM68" s="193"/>
      <c r="AON68" s="190"/>
      <c r="AOO68" s="190"/>
      <c r="AOP68" s="190"/>
      <c r="AOQ68" s="190"/>
      <c r="AOR68" s="190"/>
      <c r="AOS68" s="194"/>
      <c r="AOT68" s="189"/>
      <c r="AOU68" s="190"/>
      <c r="AOV68" s="190"/>
      <c r="AOW68" s="190"/>
      <c r="AOX68" s="190"/>
      <c r="AOY68" s="191"/>
      <c r="AOZ68" s="190"/>
      <c r="APA68" s="190"/>
      <c r="APB68" s="190"/>
      <c r="APC68" s="190"/>
      <c r="APD68" s="190"/>
      <c r="APE68" s="192"/>
      <c r="APF68" s="190"/>
      <c r="APG68" s="190"/>
      <c r="APH68" s="190"/>
      <c r="API68" s="190"/>
      <c r="APJ68" s="190"/>
      <c r="APK68" s="193"/>
      <c r="APL68" s="190"/>
      <c r="APM68" s="190"/>
      <c r="APN68" s="190"/>
      <c r="APO68" s="190"/>
      <c r="APP68" s="190"/>
      <c r="APQ68" s="192"/>
      <c r="APR68" s="190"/>
      <c r="APS68" s="190"/>
      <c r="APT68" s="190"/>
      <c r="APU68" s="190"/>
      <c r="APV68" s="190"/>
      <c r="APW68" s="193"/>
      <c r="APX68" s="190"/>
      <c r="APY68" s="190"/>
      <c r="APZ68" s="190"/>
      <c r="AQA68" s="190"/>
      <c r="AQB68" s="190"/>
      <c r="AQC68" s="192"/>
      <c r="AQD68" s="190"/>
      <c r="AQE68" s="190"/>
      <c r="AQF68" s="190"/>
      <c r="AQG68" s="190"/>
      <c r="AQH68" s="190"/>
      <c r="AQI68" s="193"/>
      <c r="AQJ68" s="190"/>
      <c r="AQK68" s="190"/>
      <c r="AQL68" s="190"/>
      <c r="AQM68" s="190"/>
      <c r="AQN68" s="190"/>
      <c r="AQO68" s="192"/>
      <c r="AQP68" s="190"/>
      <c r="AQQ68" s="190"/>
      <c r="AQR68" s="190"/>
      <c r="AQS68" s="190"/>
      <c r="AQT68" s="190"/>
      <c r="AQU68" s="193"/>
      <c r="AQV68" s="190"/>
      <c r="AQW68" s="190"/>
      <c r="AQX68" s="190"/>
      <c r="AQY68" s="190"/>
      <c r="AQZ68" s="190"/>
      <c r="ARA68" s="194"/>
      <c r="ARB68" s="189"/>
      <c r="ARC68" s="190"/>
      <c r="ARD68" s="190"/>
      <c r="ARE68" s="190"/>
      <c r="ARF68" s="190"/>
      <c r="ARG68" s="191"/>
      <c r="ARH68" s="190"/>
      <c r="ARI68" s="190"/>
      <c r="ARJ68" s="190"/>
      <c r="ARK68" s="190"/>
      <c r="ARL68" s="190"/>
      <c r="ARM68" s="192"/>
      <c r="ARN68" s="190"/>
      <c r="ARO68" s="190"/>
      <c r="ARP68" s="190"/>
      <c r="ARQ68" s="190"/>
      <c r="ARR68" s="190"/>
      <c r="ARS68" s="193"/>
      <c r="ART68" s="190"/>
      <c r="ARU68" s="190"/>
      <c r="ARV68" s="190"/>
      <c r="ARW68" s="190"/>
      <c r="ARX68" s="190"/>
      <c r="ARY68" s="192"/>
      <c r="ARZ68" s="190"/>
      <c r="ASA68" s="190"/>
      <c r="ASB68" s="190"/>
      <c r="ASC68" s="190"/>
      <c r="ASD68" s="190"/>
      <c r="ASE68" s="193"/>
      <c r="ASF68" s="190"/>
      <c r="ASG68" s="190"/>
      <c r="ASH68" s="190"/>
      <c r="ASI68" s="190"/>
      <c r="ASJ68" s="190"/>
      <c r="ASK68" s="192"/>
      <c r="ASL68" s="190"/>
      <c r="ASM68" s="190"/>
      <c r="ASN68" s="190"/>
      <c r="ASO68" s="190"/>
      <c r="ASP68" s="190"/>
      <c r="ASQ68" s="193"/>
      <c r="ASR68" s="190"/>
      <c r="ASS68" s="190"/>
      <c r="AST68" s="190"/>
      <c r="ASU68" s="190"/>
      <c r="ASV68" s="190"/>
      <c r="ASW68" s="192"/>
      <c r="ASX68" s="190"/>
      <c r="ASY68" s="190"/>
      <c r="ASZ68" s="190"/>
      <c r="ATA68" s="190"/>
      <c r="ATB68" s="190"/>
      <c r="ATC68" s="193"/>
      <c r="ATD68" s="190"/>
      <c r="ATE68" s="190"/>
      <c r="ATF68" s="190"/>
      <c r="ATG68" s="190"/>
      <c r="ATH68" s="190"/>
      <c r="ATI68" s="194"/>
      <c r="ATJ68" s="189"/>
      <c r="ATK68" s="190"/>
      <c r="ATL68" s="190"/>
      <c r="ATM68" s="190"/>
      <c r="ATN68" s="190"/>
      <c r="ATO68" s="191"/>
      <c r="ATP68" s="190"/>
      <c r="ATQ68" s="190"/>
      <c r="ATR68" s="190"/>
      <c r="ATS68" s="190"/>
      <c r="ATT68" s="190"/>
      <c r="ATU68" s="192"/>
      <c r="ATV68" s="190"/>
      <c r="ATW68" s="190"/>
      <c r="ATX68" s="190"/>
      <c r="ATY68" s="190"/>
      <c r="ATZ68" s="190"/>
      <c r="AUA68" s="193"/>
      <c r="AUB68" s="190"/>
      <c r="AUC68" s="190"/>
      <c r="AUD68" s="190"/>
      <c r="AUE68" s="190"/>
      <c r="AUF68" s="190"/>
      <c r="AUG68" s="192"/>
      <c r="AUH68" s="190"/>
      <c r="AUI68" s="190"/>
      <c r="AUJ68" s="190"/>
      <c r="AUK68" s="190"/>
      <c r="AUL68" s="190"/>
      <c r="AUM68" s="193"/>
      <c r="AUN68" s="190"/>
      <c r="AUO68" s="190"/>
      <c r="AUP68" s="190"/>
      <c r="AUQ68" s="190"/>
      <c r="AUR68" s="190"/>
      <c r="AUS68" s="192"/>
      <c r="AUT68" s="190"/>
      <c r="AUU68" s="190"/>
      <c r="AUV68" s="190"/>
      <c r="AUW68" s="190"/>
      <c r="AUX68" s="190"/>
      <c r="AUY68" s="193"/>
      <c r="AUZ68" s="190"/>
      <c r="AVA68" s="190"/>
      <c r="AVB68" s="190"/>
      <c r="AVC68" s="190"/>
      <c r="AVD68" s="190"/>
      <c r="AVE68" s="192"/>
      <c r="AVF68" s="190"/>
      <c r="AVG68" s="190"/>
      <c r="AVH68" s="190"/>
      <c r="AVI68" s="190"/>
      <c r="AVJ68" s="190"/>
      <c r="AVK68" s="193"/>
      <c r="AVL68" s="190"/>
      <c r="AVM68" s="190"/>
      <c r="AVN68" s="190"/>
      <c r="AVO68" s="190"/>
      <c r="AVP68" s="190"/>
      <c r="AVQ68" s="194"/>
      <c r="AVR68" s="189"/>
      <c r="AVS68" s="190"/>
      <c r="AVT68" s="190"/>
      <c r="AVU68" s="190"/>
      <c r="AVV68" s="190"/>
      <c r="AVW68" s="191"/>
      <c r="AVX68" s="190"/>
      <c r="AVY68" s="190"/>
      <c r="AVZ68" s="190"/>
      <c r="AWA68" s="190"/>
      <c r="AWB68" s="190"/>
      <c r="AWC68" s="192"/>
      <c r="AWD68" s="190"/>
      <c r="AWE68" s="190"/>
      <c r="AWF68" s="190"/>
      <c r="AWG68" s="190"/>
      <c r="AWH68" s="190"/>
      <c r="AWI68" s="193"/>
      <c r="AWJ68" s="190"/>
      <c r="AWK68" s="190"/>
      <c r="AWL68" s="190"/>
      <c r="AWM68" s="190"/>
      <c r="AWN68" s="190"/>
      <c r="AWO68" s="192"/>
      <c r="AWP68" s="190"/>
      <c r="AWQ68" s="190"/>
      <c r="AWR68" s="190"/>
      <c r="AWS68" s="190"/>
      <c r="AWT68" s="190"/>
      <c r="AWU68" s="193"/>
      <c r="AWV68" s="190"/>
      <c r="AWW68" s="190"/>
      <c r="AWX68" s="190"/>
      <c r="AWY68" s="190"/>
      <c r="AWZ68" s="190"/>
      <c r="AXA68" s="192"/>
      <c r="AXB68" s="190"/>
      <c r="AXC68" s="190"/>
      <c r="AXD68" s="190"/>
      <c r="AXE68" s="190"/>
      <c r="AXF68" s="190"/>
      <c r="AXG68" s="193"/>
      <c r="AXH68" s="190"/>
      <c r="AXI68" s="190"/>
      <c r="AXJ68" s="190"/>
      <c r="AXK68" s="190"/>
      <c r="AXL68" s="190"/>
      <c r="AXM68" s="192"/>
      <c r="AXN68" s="190"/>
      <c r="AXO68" s="190"/>
      <c r="AXP68" s="190"/>
      <c r="AXQ68" s="190"/>
      <c r="AXR68" s="190"/>
      <c r="AXS68" s="193"/>
      <c r="AXT68" s="190"/>
      <c r="AXU68" s="190"/>
      <c r="AXV68" s="190"/>
      <c r="AXW68" s="190"/>
      <c r="AXX68" s="190"/>
      <c r="AXY68" s="194"/>
      <c r="AXZ68" s="189"/>
      <c r="AYA68" s="190"/>
      <c r="AYB68" s="190"/>
      <c r="AYC68" s="190"/>
      <c r="AYD68" s="190"/>
      <c r="AYE68" s="191"/>
      <c r="AYF68" s="190"/>
      <c r="AYG68" s="190"/>
      <c r="AYH68" s="190"/>
      <c r="AYI68" s="190"/>
      <c r="AYJ68" s="190"/>
      <c r="AYK68" s="192"/>
      <c r="AYL68" s="190"/>
      <c r="AYM68" s="190"/>
      <c r="AYN68" s="190"/>
      <c r="AYO68" s="190"/>
      <c r="AYP68" s="190"/>
      <c r="AYQ68" s="193"/>
      <c r="AYR68" s="190"/>
      <c r="AYS68" s="190"/>
      <c r="AYT68" s="190"/>
      <c r="AYU68" s="190"/>
      <c r="AYV68" s="190"/>
      <c r="AYW68" s="192"/>
      <c r="AYX68" s="190"/>
      <c r="AYY68" s="190"/>
      <c r="AYZ68" s="190"/>
      <c r="AZA68" s="190"/>
      <c r="AZB68" s="190"/>
      <c r="AZC68" s="193"/>
      <c r="AZD68" s="190"/>
      <c r="AZE68" s="190"/>
      <c r="AZF68" s="190"/>
      <c r="AZG68" s="190"/>
      <c r="AZH68" s="190"/>
      <c r="AZI68" s="192"/>
      <c r="AZJ68" s="190"/>
      <c r="AZK68" s="190"/>
      <c r="AZL68" s="190"/>
      <c r="AZM68" s="190"/>
      <c r="AZN68" s="190"/>
      <c r="AZO68" s="193"/>
      <c r="AZP68" s="190"/>
      <c r="AZQ68" s="190"/>
      <c r="AZR68" s="190"/>
      <c r="AZS68" s="190"/>
      <c r="AZT68" s="190"/>
      <c r="AZU68" s="192"/>
      <c r="AZV68" s="190"/>
      <c r="AZW68" s="190"/>
      <c r="AZX68" s="190"/>
      <c r="AZY68" s="190"/>
      <c r="AZZ68" s="190"/>
      <c r="BAA68" s="193"/>
      <c r="BAB68" s="190"/>
      <c r="BAC68" s="190"/>
      <c r="BAD68" s="190"/>
      <c r="BAE68" s="190"/>
      <c r="BAF68" s="190"/>
      <c r="BAG68" s="194"/>
      <c r="BAH68" s="189"/>
      <c r="BAI68" s="190"/>
      <c r="BAJ68" s="190"/>
      <c r="BAK68" s="190"/>
      <c r="BAL68" s="190"/>
      <c r="BAM68" s="191"/>
      <c r="BAN68" s="190"/>
      <c r="BAO68" s="190"/>
      <c r="BAP68" s="190"/>
      <c r="BAQ68" s="190"/>
      <c r="BAR68" s="190"/>
      <c r="BAS68" s="192"/>
      <c r="BAT68" s="190"/>
      <c r="BAU68" s="190"/>
      <c r="BAV68" s="190"/>
      <c r="BAW68" s="190"/>
      <c r="BAX68" s="190"/>
      <c r="BAY68" s="193"/>
      <c r="BAZ68" s="190"/>
      <c r="BBA68" s="190"/>
      <c r="BBB68" s="190"/>
      <c r="BBC68" s="190"/>
      <c r="BBD68" s="190"/>
      <c r="BBE68" s="192"/>
      <c r="BBF68" s="190"/>
      <c r="BBG68" s="190"/>
      <c r="BBH68" s="190"/>
      <c r="BBI68" s="190"/>
      <c r="BBJ68" s="190"/>
      <c r="BBK68" s="193"/>
      <c r="BBL68" s="190"/>
      <c r="BBM68" s="190"/>
      <c r="BBN68" s="190"/>
      <c r="BBO68" s="190"/>
      <c r="BBP68" s="190"/>
      <c r="BBQ68" s="192"/>
      <c r="BBR68" s="190"/>
      <c r="BBS68" s="190"/>
      <c r="BBT68" s="190"/>
      <c r="BBU68" s="190"/>
      <c r="BBV68" s="190"/>
      <c r="BBW68" s="193"/>
      <c r="BBX68" s="190"/>
      <c r="BBY68" s="190"/>
      <c r="BBZ68" s="190"/>
      <c r="BCA68" s="190"/>
      <c r="BCB68" s="190"/>
      <c r="BCC68" s="192"/>
      <c r="BCD68" s="190"/>
      <c r="BCE68" s="190"/>
      <c r="BCF68" s="190"/>
      <c r="BCG68" s="190"/>
      <c r="BCH68" s="190"/>
      <c r="BCI68" s="193"/>
      <c r="BCJ68" s="190"/>
      <c r="BCK68" s="190"/>
      <c r="BCL68" s="190"/>
      <c r="BCM68" s="190"/>
      <c r="BCN68" s="190"/>
      <c r="BCO68" s="194"/>
      <c r="BCP68" s="189"/>
      <c r="BCQ68" s="190"/>
      <c r="BCR68" s="190"/>
      <c r="BCS68" s="190"/>
      <c r="BCT68" s="190"/>
      <c r="BCU68" s="191"/>
      <c r="BCV68" s="190"/>
      <c r="BCW68" s="190"/>
      <c r="BCX68" s="190"/>
      <c r="BCY68" s="190"/>
      <c r="BCZ68" s="190"/>
      <c r="BDA68" s="192"/>
      <c r="BDB68" s="190"/>
      <c r="BDC68" s="190"/>
      <c r="BDD68" s="190"/>
      <c r="BDE68" s="190"/>
      <c r="BDF68" s="190"/>
      <c r="BDG68" s="193"/>
      <c r="BDH68" s="190"/>
      <c r="BDI68" s="190"/>
      <c r="BDJ68" s="190"/>
      <c r="BDK68" s="190"/>
      <c r="BDL68" s="190"/>
      <c r="BDM68" s="192"/>
      <c r="BDN68" s="190"/>
      <c r="BDO68" s="190"/>
      <c r="BDP68" s="190"/>
      <c r="BDQ68" s="190"/>
      <c r="BDR68" s="190"/>
      <c r="BDS68" s="193"/>
      <c r="BDT68" s="190"/>
      <c r="BDU68" s="190"/>
      <c r="BDV68" s="190"/>
      <c r="BDW68" s="190"/>
      <c r="BDX68" s="190"/>
      <c r="BDY68" s="192"/>
      <c r="BDZ68" s="190"/>
      <c r="BEA68" s="190"/>
      <c r="BEB68" s="190"/>
      <c r="BEC68" s="190"/>
      <c r="BED68" s="190"/>
      <c r="BEE68" s="193"/>
      <c r="BEF68" s="190"/>
      <c r="BEG68" s="190"/>
      <c r="BEH68" s="190"/>
      <c r="BEI68" s="190"/>
      <c r="BEJ68" s="190"/>
      <c r="BEK68" s="192"/>
      <c r="BEL68" s="190"/>
      <c r="BEM68" s="190"/>
      <c r="BEN68" s="190"/>
      <c r="BEO68" s="190"/>
      <c r="BEP68" s="190"/>
      <c r="BEQ68" s="193"/>
      <c r="BER68" s="190"/>
      <c r="BES68" s="190"/>
      <c r="BET68" s="190"/>
      <c r="BEU68" s="190"/>
      <c r="BEV68" s="190"/>
      <c r="BEW68" s="194"/>
      <c r="BEX68" s="189"/>
      <c r="BEY68" s="190"/>
      <c r="BEZ68" s="190"/>
      <c r="BFA68" s="190"/>
      <c r="BFB68" s="190"/>
      <c r="BFC68" s="191"/>
      <c r="BFD68" s="190"/>
      <c r="BFE68" s="190"/>
      <c r="BFF68" s="190"/>
      <c r="BFG68" s="190"/>
      <c r="BFH68" s="190"/>
      <c r="BFI68" s="192"/>
      <c r="BFJ68" s="190"/>
      <c r="BFK68" s="190"/>
      <c r="BFL68" s="190"/>
      <c r="BFM68" s="190"/>
      <c r="BFN68" s="190"/>
      <c r="BFO68" s="193"/>
      <c r="BFP68" s="190"/>
      <c r="BFQ68" s="190"/>
      <c r="BFR68" s="190"/>
      <c r="BFS68" s="190"/>
      <c r="BFT68" s="190"/>
      <c r="BFU68" s="192"/>
      <c r="BFV68" s="190"/>
      <c r="BFW68" s="190"/>
      <c r="BFX68" s="190"/>
      <c r="BFY68" s="190"/>
      <c r="BFZ68" s="190"/>
      <c r="BGA68" s="193"/>
      <c r="BGB68" s="190"/>
      <c r="BGC68" s="190"/>
      <c r="BGD68" s="190"/>
      <c r="BGE68" s="190"/>
      <c r="BGF68" s="190"/>
      <c r="BGG68" s="192"/>
      <c r="BGH68" s="190"/>
      <c r="BGI68" s="190"/>
      <c r="BGJ68" s="190"/>
      <c r="BGK68" s="190"/>
      <c r="BGL68" s="190"/>
      <c r="BGM68" s="193"/>
      <c r="BGN68" s="190"/>
      <c r="BGO68" s="190"/>
      <c r="BGP68" s="190"/>
      <c r="BGQ68" s="190"/>
      <c r="BGR68" s="190"/>
      <c r="BGS68" s="192"/>
      <c r="BGT68" s="190"/>
      <c r="BGU68" s="190"/>
      <c r="BGV68" s="190"/>
      <c r="BGW68" s="190"/>
      <c r="BGX68" s="190"/>
      <c r="BGY68" s="193"/>
      <c r="BGZ68" s="190"/>
      <c r="BHA68" s="190"/>
      <c r="BHB68" s="190"/>
      <c r="BHC68" s="190"/>
      <c r="BHD68" s="190"/>
      <c r="BHE68" s="194"/>
      <c r="BHF68" s="187"/>
      <c r="BHG68" s="188"/>
      <c r="BHH68" s="188"/>
      <c r="BHI68" s="188"/>
      <c r="BHJ68" s="188"/>
      <c r="BHK68" s="188"/>
      <c r="BHL68" s="188"/>
      <c r="BHM68" s="188"/>
      <c r="BHN68" s="188"/>
      <c r="BHO68" s="188"/>
      <c r="BHP68" s="188"/>
      <c r="BHQ68" s="188"/>
      <c r="BHR68" s="188"/>
      <c r="BHS68" s="188"/>
      <c r="BHT68" s="188"/>
      <c r="BHU68" s="188"/>
      <c r="BHV68" s="188"/>
      <c r="BHW68" s="188"/>
      <c r="BHX68" s="188"/>
      <c r="BHY68" s="188"/>
      <c r="BHZ68" s="188"/>
      <c r="BIA68" s="188"/>
      <c r="BIB68" s="188"/>
      <c r="BIC68" s="188"/>
      <c r="BID68" s="188"/>
      <c r="BIE68" s="188"/>
      <c r="BIF68" s="188"/>
      <c r="BIG68" s="188"/>
      <c r="BIH68" s="188"/>
      <c r="BII68" s="188"/>
      <c r="BIJ68" s="188"/>
      <c r="BIK68" s="188"/>
      <c r="BIL68" s="188"/>
      <c r="BIM68" s="188"/>
      <c r="BIN68" s="188"/>
      <c r="BIO68" s="188"/>
      <c r="BIP68" s="188"/>
    </row>
    <row r="69" spans="1:1602" ht="20.100000000000001" customHeight="1" x14ac:dyDescent="0.25">
      <c r="A69" s="78" t="s">
        <v>49</v>
      </c>
      <c r="B69" s="51"/>
      <c r="C69" s="230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87"/>
      <c r="BHG69" s="188"/>
      <c r="BHH69" s="188"/>
      <c r="BHI69" s="188"/>
      <c r="BHJ69" s="188"/>
      <c r="BHK69" s="188"/>
      <c r="BHL69" s="188"/>
      <c r="BHM69" s="188"/>
      <c r="BHN69" s="188"/>
      <c r="BHO69" s="188"/>
      <c r="BHP69" s="188"/>
      <c r="BHQ69" s="188"/>
      <c r="BHR69" s="188"/>
      <c r="BHS69" s="188"/>
      <c r="BHT69" s="188"/>
      <c r="BHU69" s="188"/>
      <c r="BHV69" s="188"/>
      <c r="BHW69" s="188"/>
      <c r="BHX69" s="188"/>
      <c r="BHY69" s="188"/>
      <c r="BHZ69" s="188"/>
      <c r="BIA69" s="188"/>
      <c r="BIB69" s="188"/>
      <c r="BIC69" s="188"/>
      <c r="BID69" s="188"/>
      <c r="BIE69" s="188"/>
      <c r="BIF69" s="188"/>
      <c r="BIG69" s="188"/>
      <c r="BIH69" s="188"/>
      <c r="BII69" s="188"/>
      <c r="BIJ69" s="188"/>
      <c r="BIK69" s="188"/>
      <c r="BIL69" s="188"/>
      <c r="BIM69" s="188"/>
      <c r="BIN69" s="188"/>
      <c r="BIO69" s="188"/>
      <c r="BIP69" s="188"/>
    </row>
    <row r="70" spans="1:1602" ht="20.100000000000001" customHeight="1" x14ac:dyDescent="0.3">
      <c r="A70" s="78" t="s">
        <v>50</v>
      </c>
      <c r="B70" s="51"/>
      <c r="C70" s="231"/>
      <c r="D70" s="121" t="str">
        <f t="shared" si="0"/>
        <v/>
      </c>
      <c r="E70" s="30">
        <v>0</v>
      </c>
      <c r="F70" s="195"/>
      <c r="G70" s="196"/>
      <c r="H70" s="196"/>
      <c r="I70" s="196"/>
      <c r="J70" s="196"/>
      <c r="K70" s="197"/>
      <c r="L70" s="196"/>
      <c r="M70" s="196"/>
      <c r="N70" s="196"/>
      <c r="O70" s="196"/>
      <c r="P70" s="196"/>
      <c r="Q70" s="198"/>
      <c r="R70" s="196"/>
      <c r="S70" s="196"/>
      <c r="T70" s="196"/>
      <c r="U70" s="196"/>
      <c r="V70" s="196"/>
      <c r="W70" s="199"/>
      <c r="X70" s="196"/>
      <c r="Y70" s="196"/>
      <c r="Z70" s="196"/>
      <c r="AA70" s="196"/>
      <c r="AB70" s="196"/>
      <c r="AC70" s="198"/>
      <c r="AD70" s="196"/>
      <c r="AE70" s="196"/>
      <c r="AF70" s="196"/>
      <c r="AG70" s="196"/>
      <c r="AH70" s="196"/>
      <c r="AI70" s="199"/>
      <c r="AJ70" s="196"/>
      <c r="AK70" s="196"/>
      <c r="AL70" s="196"/>
      <c r="AM70" s="196"/>
      <c r="AN70" s="196"/>
      <c r="AO70" s="198"/>
      <c r="AP70" s="196"/>
      <c r="AQ70" s="196"/>
      <c r="AR70" s="196"/>
      <c r="AS70" s="196"/>
      <c r="AT70" s="196"/>
      <c r="AU70" s="199"/>
      <c r="AV70" s="196"/>
      <c r="AW70" s="196"/>
      <c r="AX70" s="196"/>
      <c r="AY70" s="196"/>
      <c r="AZ70" s="196"/>
      <c r="BA70" s="198"/>
      <c r="BB70" s="196"/>
      <c r="BC70" s="196"/>
      <c r="BD70" s="196"/>
      <c r="BE70" s="196"/>
      <c r="BF70" s="196"/>
      <c r="BG70" s="199"/>
      <c r="BH70" s="196"/>
      <c r="BI70" s="196"/>
      <c r="BJ70" s="196"/>
      <c r="BK70" s="196"/>
      <c r="BL70" s="196"/>
      <c r="BM70" s="200"/>
      <c r="BN70" s="195"/>
      <c r="BO70" s="196"/>
      <c r="BP70" s="196"/>
      <c r="BQ70" s="196"/>
      <c r="BR70" s="196"/>
      <c r="BS70" s="197"/>
      <c r="BT70" s="196"/>
      <c r="BU70" s="196"/>
      <c r="BV70" s="196"/>
      <c r="BW70" s="196"/>
      <c r="BX70" s="196"/>
      <c r="BY70" s="198"/>
      <c r="BZ70" s="196"/>
      <c r="CA70" s="196"/>
      <c r="CB70" s="196"/>
      <c r="CC70" s="196"/>
      <c r="CD70" s="196"/>
      <c r="CE70" s="199"/>
      <c r="CF70" s="196"/>
      <c r="CG70" s="196"/>
      <c r="CH70" s="196"/>
      <c r="CI70" s="196"/>
      <c r="CJ70" s="196"/>
      <c r="CK70" s="198"/>
      <c r="CL70" s="196"/>
      <c r="CM70" s="196"/>
      <c r="CN70" s="196"/>
      <c r="CO70" s="196"/>
      <c r="CP70" s="196"/>
      <c r="CQ70" s="199"/>
      <c r="CR70" s="196"/>
      <c r="CS70" s="196"/>
      <c r="CT70" s="196"/>
      <c r="CU70" s="196"/>
      <c r="CV70" s="196"/>
      <c r="CW70" s="198"/>
      <c r="CX70" s="196"/>
      <c r="CY70" s="196"/>
      <c r="CZ70" s="196"/>
      <c r="DA70" s="196"/>
      <c r="DB70" s="196"/>
      <c r="DC70" s="199"/>
      <c r="DD70" s="196"/>
      <c r="DE70" s="196"/>
      <c r="DF70" s="196"/>
      <c r="DG70" s="196"/>
      <c r="DH70" s="196"/>
      <c r="DI70" s="198"/>
      <c r="DJ70" s="196"/>
      <c r="DK70" s="196"/>
      <c r="DL70" s="196"/>
      <c r="DM70" s="196"/>
      <c r="DN70" s="196"/>
      <c r="DO70" s="199"/>
      <c r="DP70" s="196"/>
      <c r="DQ70" s="196"/>
      <c r="DR70" s="196"/>
      <c r="DS70" s="196"/>
      <c r="DT70" s="196"/>
      <c r="DU70" s="200"/>
      <c r="DV70" s="195"/>
      <c r="DW70" s="196"/>
      <c r="DX70" s="196"/>
      <c r="DY70" s="196"/>
      <c r="DZ70" s="196"/>
      <c r="EA70" s="197"/>
      <c r="EB70" s="196"/>
      <c r="EC70" s="196"/>
      <c r="ED70" s="196"/>
      <c r="EE70" s="196"/>
      <c r="EF70" s="196"/>
      <c r="EG70" s="198"/>
      <c r="EH70" s="196"/>
      <c r="EI70" s="196"/>
      <c r="EJ70" s="196"/>
      <c r="EK70" s="196"/>
      <c r="EL70" s="196"/>
      <c r="EM70" s="199"/>
      <c r="EN70" s="196"/>
      <c r="EO70" s="196"/>
      <c r="EP70" s="196"/>
      <c r="EQ70" s="196"/>
      <c r="ER70" s="196"/>
      <c r="ES70" s="198"/>
      <c r="ET70" s="196"/>
      <c r="EU70" s="196"/>
      <c r="EV70" s="196"/>
      <c r="EW70" s="196"/>
      <c r="EX70" s="196"/>
      <c r="EY70" s="199"/>
      <c r="EZ70" s="196"/>
      <c r="FA70" s="196"/>
      <c r="FB70" s="196"/>
      <c r="FC70" s="196"/>
      <c r="FD70" s="196"/>
      <c r="FE70" s="198"/>
      <c r="FF70" s="196"/>
      <c r="FG70" s="196"/>
      <c r="FH70" s="196"/>
      <c r="FI70" s="196"/>
      <c r="FJ70" s="196"/>
      <c r="FK70" s="199"/>
      <c r="FL70" s="196"/>
      <c r="FM70" s="196"/>
      <c r="FN70" s="196"/>
      <c r="FO70" s="196"/>
      <c r="FP70" s="196"/>
      <c r="FQ70" s="198"/>
      <c r="FR70" s="196"/>
      <c r="FS70" s="196"/>
      <c r="FT70" s="196"/>
      <c r="FU70" s="196"/>
      <c r="FV70" s="196"/>
      <c r="FW70" s="199"/>
      <c r="FX70" s="196"/>
      <c r="FY70" s="196"/>
      <c r="FZ70" s="196"/>
      <c r="GA70" s="196"/>
      <c r="GB70" s="196"/>
      <c r="GC70" s="200"/>
      <c r="GD70" s="195"/>
      <c r="GE70" s="196"/>
      <c r="GF70" s="196"/>
      <c r="GG70" s="196"/>
      <c r="GH70" s="196"/>
      <c r="GI70" s="197"/>
      <c r="GJ70" s="196"/>
      <c r="GK70" s="196"/>
      <c r="GL70" s="196"/>
      <c r="GM70" s="196"/>
      <c r="GN70" s="196"/>
      <c r="GO70" s="198"/>
      <c r="GP70" s="196"/>
      <c r="GQ70" s="196"/>
      <c r="GR70" s="196"/>
      <c r="GS70" s="196"/>
      <c r="GT70" s="196"/>
      <c r="GU70" s="199"/>
      <c r="GV70" s="196"/>
      <c r="GW70" s="196"/>
      <c r="GX70" s="196"/>
      <c r="GY70" s="196"/>
      <c r="GZ70" s="196"/>
      <c r="HA70" s="198"/>
      <c r="HB70" s="196"/>
      <c r="HC70" s="196"/>
      <c r="HD70" s="196"/>
      <c r="HE70" s="196"/>
      <c r="HF70" s="196"/>
      <c r="HG70" s="199"/>
      <c r="HH70" s="196"/>
      <c r="HI70" s="196"/>
      <c r="HJ70" s="196"/>
      <c r="HK70" s="196"/>
      <c r="HL70" s="196"/>
      <c r="HM70" s="198"/>
      <c r="HN70" s="196"/>
      <c r="HO70" s="196"/>
      <c r="HP70" s="196"/>
      <c r="HQ70" s="196"/>
      <c r="HR70" s="196"/>
      <c r="HS70" s="199"/>
      <c r="HT70" s="196"/>
      <c r="HU70" s="196"/>
      <c r="HV70" s="196"/>
      <c r="HW70" s="196"/>
      <c r="HX70" s="196"/>
      <c r="HY70" s="198"/>
      <c r="HZ70" s="196"/>
      <c r="IA70" s="196"/>
      <c r="IB70" s="196"/>
      <c r="IC70" s="196"/>
      <c r="ID70" s="196"/>
      <c r="IE70" s="199"/>
      <c r="IF70" s="196"/>
      <c r="IG70" s="196"/>
      <c r="IH70" s="196"/>
      <c r="II70" s="196"/>
      <c r="IJ70" s="196"/>
      <c r="IK70" s="200"/>
      <c r="IL70" s="195"/>
      <c r="IM70" s="196"/>
      <c r="IN70" s="196"/>
      <c r="IO70" s="196"/>
      <c r="IP70" s="196"/>
      <c r="IQ70" s="197"/>
      <c r="IR70" s="196"/>
      <c r="IS70" s="196"/>
      <c r="IT70" s="196"/>
      <c r="IU70" s="196"/>
      <c r="IV70" s="196"/>
      <c r="IW70" s="198"/>
      <c r="IX70" s="196"/>
      <c r="IY70" s="196"/>
      <c r="IZ70" s="196"/>
      <c r="JA70" s="196"/>
      <c r="JB70" s="196"/>
      <c r="JC70" s="199"/>
      <c r="JD70" s="196"/>
      <c r="JE70" s="196"/>
      <c r="JF70" s="196"/>
      <c r="JG70" s="196"/>
      <c r="JH70" s="196"/>
      <c r="JI70" s="198"/>
      <c r="JJ70" s="196"/>
      <c r="JK70" s="196"/>
      <c r="JL70" s="196"/>
      <c r="JM70" s="196"/>
      <c r="JN70" s="196"/>
      <c r="JO70" s="199"/>
      <c r="JP70" s="196"/>
      <c r="JQ70" s="196"/>
      <c r="JR70" s="196"/>
      <c r="JS70" s="196"/>
      <c r="JT70" s="196"/>
      <c r="JU70" s="198"/>
      <c r="JV70" s="196"/>
      <c r="JW70" s="196"/>
      <c r="JX70" s="196"/>
      <c r="JY70" s="196"/>
      <c r="JZ70" s="196"/>
      <c r="KA70" s="199"/>
      <c r="KB70" s="196"/>
      <c r="KC70" s="196"/>
      <c r="KD70" s="196"/>
      <c r="KE70" s="196"/>
      <c r="KF70" s="196"/>
      <c r="KG70" s="198"/>
      <c r="KH70" s="196"/>
      <c r="KI70" s="196"/>
      <c r="KJ70" s="196"/>
      <c r="KK70" s="196"/>
      <c r="KL70" s="196"/>
      <c r="KM70" s="199"/>
      <c r="KN70" s="196"/>
      <c r="KO70" s="196"/>
      <c r="KP70" s="196"/>
      <c r="KQ70" s="196"/>
      <c r="KR70" s="196"/>
      <c r="KS70" s="200"/>
      <c r="KT70" s="195"/>
      <c r="KU70" s="196"/>
      <c r="KV70" s="196"/>
      <c r="KW70" s="196"/>
      <c r="KX70" s="196"/>
      <c r="KY70" s="197"/>
      <c r="KZ70" s="196"/>
      <c r="LA70" s="196"/>
      <c r="LB70" s="196"/>
      <c r="LC70" s="196"/>
      <c r="LD70" s="196"/>
      <c r="LE70" s="198"/>
      <c r="LF70" s="196"/>
      <c r="LG70" s="196"/>
      <c r="LH70" s="196"/>
      <c r="LI70" s="196"/>
      <c r="LJ70" s="196"/>
      <c r="LK70" s="199"/>
      <c r="LL70" s="196"/>
      <c r="LM70" s="196"/>
      <c r="LN70" s="196"/>
      <c r="LO70" s="196"/>
      <c r="LP70" s="196"/>
      <c r="LQ70" s="198"/>
      <c r="LR70" s="196"/>
      <c r="LS70" s="196"/>
      <c r="LT70" s="196"/>
      <c r="LU70" s="196"/>
      <c r="LV70" s="196"/>
      <c r="LW70" s="199"/>
      <c r="LX70" s="196"/>
      <c r="LY70" s="196"/>
      <c r="LZ70" s="196"/>
      <c r="MA70" s="196"/>
      <c r="MB70" s="196"/>
      <c r="MC70" s="198"/>
      <c r="MD70" s="196"/>
      <c r="ME70" s="196"/>
      <c r="MF70" s="196"/>
      <c r="MG70" s="196"/>
      <c r="MH70" s="196"/>
      <c r="MI70" s="199"/>
      <c r="MJ70" s="196"/>
      <c r="MK70" s="196"/>
      <c r="ML70" s="196"/>
      <c r="MM70" s="196"/>
      <c r="MN70" s="196"/>
      <c r="MO70" s="198"/>
      <c r="MP70" s="196"/>
      <c r="MQ70" s="196"/>
      <c r="MR70" s="196"/>
      <c r="MS70" s="196"/>
      <c r="MT70" s="196"/>
      <c r="MU70" s="199"/>
      <c r="MV70" s="196"/>
      <c r="MW70" s="196"/>
      <c r="MX70" s="196"/>
      <c r="MY70" s="196"/>
      <c r="MZ70" s="196"/>
      <c r="NA70" s="200"/>
      <c r="NB70" s="195"/>
      <c r="NC70" s="196"/>
      <c r="ND70" s="196"/>
      <c r="NE70" s="196"/>
      <c r="NF70" s="196"/>
      <c r="NG70" s="197"/>
      <c r="NH70" s="196"/>
      <c r="NI70" s="196"/>
      <c r="NJ70" s="196"/>
      <c r="NK70" s="196"/>
      <c r="NL70" s="196"/>
      <c r="NM70" s="198"/>
      <c r="NN70" s="196"/>
      <c r="NO70" s="196"/>
      <c r="NP70" s="196"/>
      <c r="NQ70" s="196"/>
      <c r="NR70" s="196"/>
      <c r="NS70" s="199"/>
      <c r="NT70" s="196"/>
      <c r="NU70" s="196"/>
      <c r="NV70" s="196"/>
      <c r="NW70" s="196"/>
      <c r="NX70" s="196"/>
      <c r="NY70" s="198"/>
      <c r="NZ70" s="196"/>
      <c r="OA70" s="196"/>
      <c r="OB70" s="196"/>
      <c r="OC70" s="196"/>
      <c r="OD70" s="196"/>
      <c r="OE70" s="199"/>
      <c r="OF70" s="196"/>
      <c r="OG70" s="196"/>
      <c r="OH70" s="196"/>
      <c r="OI70" s="196"/>
      <c r="OJ70" s="196"/>
      <c r="OK70" s="198"/>
      <c r="OL70" s="196"/>
      <c r="OM70" s="196"/>
      <c r="ON70" s="196"/>
      <c r="OO70" s="196"/>
      <c r="OP70" s="196"/>
      <c r="OQ70" s="199"/>
      <c r="OR70" s="196"/>
      <c r="OS70" s="196"/>
      <c r="OT70" s="196"/>
      <c r="OU70" s="196"/>
      <c r="OV70" s="196"/>
      <c r="OW70" s="198"/>
      <c r="OX70" s="196"/>
      <c r="OY70" s="196"/>
      <c r="OZ70" s="196"/>
      <c r="PA70" s="196"/>
      <c r="PB70" s="196"/>
      <c r="PC70" s="199"/>
      <c r="PD70" s="196"/>
      <c r="PE70" s="196"/>
      <c r="PF70" s="196"/>
      <c r="PG70" s="196"/>
      <c r="PH70" s="196"/>
      <c r="PI70" s="200"/>
      <c r="PJ70" s="195"/>
      <c r="PK70" s="196"/>
      <c r="PL70" s="196"/>
      <c r="PM70" s="196"/>
      <c r="PN70" s="196"/>
      <c r="PO70" s="197"/>
      <c r="PP70" s="196"/>
      <c r="PQ70" s="196"/>
      <c r="PR70" s="196"/>
      <c r="PS70" s="196"/>
      <c r="PT70" s="196"/>
      <c r="PU70" s="198"/>
      <c r="PV70" s="196"/>
      <c r="PW70" s="196"/>
      <c r="PX70" s="196"/>
      <c r="PY70" s="196"/>
      <c r="PZ70" s="196"/>
      <c r="QA70" s="199"/>
      <c r="QB70" s="196"/>
      <c r="QC70" s="196"/>
      <c r="QD70" s="196"/>
      <c r="QE70" s="196"/>
      <c r="QF70" s="196"/>
      <c r="QG70" s="198"/>
      <c r="QH70" s="196"/>
      <c r="QI70" s="196"/>
      <c r="QJ70" s="196"/>
      <c r="QK70" s="196"/>
      <c r="QL70" s="196"/>
      <c r="QM70" s="199"/>
      <c r="QN70" s="196"/>
      <c r="QO70" s="196"/>
      <c r="QP70" s="196"/>
      <c r="QQ70" s="196"/>
      <c r="QR70" s="196"/>
      <c r="QS70" s="198"/>
      <c r="QT70" s="196"/>
      <c r="QU70" s="196"/>
      <c r="QV70" s="196"/>
      <c r="QW70" s="196"/>
      <c r="QX70" s="196"/>
      <c r="QY70" s="199"/>
      <c r="QZ70" s="196"/>
      <c r="RA70" s="196"/>
      <c r="RB70" s="196"/>
      <c r="RC70" s="196"/>
      <c r="RD70" s="196"/>
      <c r="RE70" s="198"/>
      <c r="RF70" s="196"/>
      <c r="RG70" s="196"/>
      <c r="RH70" s="196"/>
      <c r="RI70" s="196"/>
      <c r="RJ70" s="196"/>
      <c r="RK70" s="199"/>
      <c r="RL70" s="196"/>
      <c r="RM70" s="196"/>
      <c r="RN70" s="196"/>
      <c r="RO70" s="196"/>
      <c r="RP70" s="196"/>
      <c r="RQ70" s="200"/>
      <c r="RR70" s="195"/>
      <c r="RS70" s="196"/>
      <c r="RT70" s="196"/>
      <c r="RU70" s="196"/>
      <c r="RV70" s="196"/>
      <c r="RW70" s="197"/>
      <c r="RX70" s="196"/>
      <c r="RY70" s="196"/>
      <c r="RZ70" s="196"/>
      <c r="SA70" s="196"/>
      <c r="SB70" s="196"/>
      <c r="SC70" s="198"/>
      <c r="SD70" s="196"/>
      <c r="SE70" s="196"/>
      <c r="SF70" s="196"/>
      <c r="SG70" s="196"/>
      <c r="SH70" s="196"/>
      <c r="SI70" s="199"/>
      <c r="SJ70" s="196"/>
      <c r="SK70" s="196"/>
      <c r="SL70" s="196"/>
      <c r="SM70" s="196"/>
      <c r="SN70" s="196"/>
      <c r="SO70" s="198"/>
      <c r="SP70" s="196"/>
      <c r="SQ70" s="196"/>
      <c r="SR70" s="196"/>
      <c r="SS70" s="196"/>
      <c r="ST70" s="196"/>
      <c r="SU70" s="199"/>
      <c r="SV70" s="196"/>
      <c r="SW70" s="196"/>
      <c r="SX70" s="196"/>
      <c r="SY70" s="196"/>
      <c r="SZ70" s="196"/>
      <c r="TA70" s="198"/>
      <c r="TB70" s="196"/>
      <c r="TC70" s="196"/>
      <c r="TD70" s="196"/>
      <c r="TE70" s="196"/>
      <c r="TF70" s="196"/>
      <c r="TG70" s="199"/>
      <c r="TH70" s="196"/>
      <c r="TI70" s="196"/>
      <c r="TJ70" s="196"/>
      <c r="TK70" s="196"/>
      <c r="TL70" s="196"/>
      <c r="TM70" s="198"/>
      <c r="TN70" s="196"/>
      <c r="TO70" s="196"/>
      <c r="TP70" s="196"/>
      <c r="TQ70" s="196"/>
      <c r="TR70" s="196"/>
      <c r="TS70" s="199"/>
      <c r="TT70" s="196"/>
      <c r="TU70" s="196"/>
      <c r="TV70" s="196"/>
      <c r="TW70" s="196"/>
      <c r="TX70" s="196"/>
      <c r="TY70" s="200"/>
      <c r="TZ70" s="195"/>
      <c r="UA70" s="196"/>
      <c r="UB70" s="196"/>
      <c r="UC70" s="196"/>
      <c r="UD70" s="196"/>
      <c r="UE70" s="197"/>
      <c r="UF70" s="196"/>
      <c r="UG70" s="196"/>
      <c r="UH70" s="196"/>
      <c r="UI70" s="196"/>
      <c r="UJ70" s="196"/>
      <c r="UK70" s="198"/>
      <c r="UL70" s="196"/>
      <c r="UM70" s="196"/>
      <c r="UN70" s="196"/>
      <c r="UO70" s="196"/>
      <c r="UP70" s="196"/>
      <c r="UQ70" s="199"/>
      <c r="UR70" s="196"/>
      <c r="US70" s="196"/>
      <c r="UT70" s="196"/>
      <c r="UU70" s="196"/>
      <c r="UV70" s="196"/>
      <c r="UW70" s="198"/>
      <c r="UX70" s="196"/>
      <c r="UY70" s="196"/>
      <c r="UZ70" s="196"/>
      <c r="VA70" s="196"/>
      <c r="VB70" s="196"/>
      <c r="VC70" s="199"/>
      <c r="VD70" s="196"/>
      <c r="VE70" s="196"/>
      <c r="VF70" s="196"/>
      <c r="VG70" s="196"/>
      <c r="VH70" s="196"/>
      <c r="VI70" s="198"/>
      <c r="VJ70" s="196"/>
      <c r="VK70" s="196"/>
      <c r="VL70" s="196"/>
      <c r="VM70" s="196"/>
      <c r="VN70" s="196"/>
      <c r="VO70" s="199"/>
      <c r="VP70" s="196"/>
      <c r="VQ70" s="196"/>
      <c r="VR70" s="196"/>
      <c r="VS70" s="196"/>
      <c r="VT70" s="196"/>
      <c r="VU70" s="198"/>
      <c r="VV70" s="196"/>
      <c r="VW70" s="196"/>
      <c r="VX70" s="196"/>
      <c r="VY70" s="196"/>
      <c r="VZ70" s="196"/>
      <c r="WA70" s="199"/>
      <c r="WB70" s="196"/>
      <c r="WC70" s="196"/>
      <c r="WD70" s="196"/>
      <c r="WE70" s="196"/>
      <c r="WF70" s="196"/>
      <c r="WG70" s="200"/>
      <c r="WH70" s="195"/>
      <c r="WI70" s="196"/>
      <c r="WJ70" s="196"/>
      <c r="WK70" s="196"/>
      <c r="WL70" s="196"/>
      <c r="WM70" s="197"/>
      <c r="WN70" s="196"/>
      <c r="WO70" s="196"/>
      <c r="WP70" s="196"/>
      <c r="WQ70" s="196"/>
      <c r="WR70" s="196"/>
      <c r="WS70" s="198"/>
      <c r="WT70" s="196"/>
      <c r="WU70" s="196"/>
      <c r="WV70" s="196"/>
      <c r="WW70" s="196"/>
      <c r="WX70" s="196"/>
      <c r="WY70" s="199"/>
      <c r="WZ70" s="196"/>
      <c r="XA70" s="196"/>
      <c r="XB70" s="196"/>
      <c r="XC70" s="196"/>
      <c r="XD70" s="196"/>
      <c r="XE70" s="198"/>
      <c r="XF70" s="196"/>
      <c r="XG70" s="196"/>
      <c r="XH70" s="196"/>
      <c r="XI70" s="196"/>
      <c r="XJ70" s="196"/>
      <c r="XK70" s="199"/>
      <c r="XL70" s="196"/>
      <c r="XM70" s="196"/>
      <c r="XN70" s="196"/>
      <c r="XO70" s="196"/>
      <c r="XP70" s="196"/>
      <c r="XQ70" s="198"/>
      <c r="XR70" s="196"/>
      <c r="XS70" s="196"/>
      <c r="XT70" s="196"/>
      <c r="XU70" s="196"/>
      <c r="XV70" s="196"/>
      <c r="XW70" s="199"/>
      <c r="XX70" s="196"/>
      <c r="XY70" s="196"/>
      <c r="XZ70" s="196"/>
      <c r="YA70" s="196"/>
      <c r="YB70" s="196"/>
      <c r="YC70" s="198"/>
      <c r="YD70" s="196"/>
      <c r="YE70" s="196"/>
      <c r="YF70" s="196"/>
      <c r="YG70" s="196"/>
      <c r="YH70" s="196"/>
      <c r="YI70" s="199"/>
      <c r="YJ70" s="196"/>
      <c r="YK70" s="196"/>
      <c r="YL70" s="196"/>
      <c r="YM70" s="196"/>
      <c r="YN70" s="196"/>
      <c r="YO70" s="200"/>
      <c r="YP70" s="195"/>
      <c r="YQ70" s="196"/>
      <c r="YR70" s="196"/>
      <c r="YS70" s="196"/>
      <c r="YT70" s="196"/>
      <c r="YU70" s="197"/>
      <c r="YV70" s="196"/>
      <c r="YW70" s="196"/>
      <c r="YX70" s="196"/>
      <c r="YY70" s="196"/>
      <c r="YZ70" s="196"/>
      <c r="ZA70" s="198"/>
      <c r="ZB70" s="196"/>
      <c r="ZC70" s="196"/>
      <c r="ZD70" s="196"/>
      <c r="ZE70" s="196"/>
      <c r="ZF70" s="196"/>
      <c r="ZG70" s="199"/>
      <c r="ZH70" s="196"/>
      <c r="ZI70" s="196"/>
      <c r="ZJ70" s="196"/>
      <c r="ZK70" s="196"/>
      <c r="ZL70" s="196"/>
      <c r="ZM70" s="198"/>
      <c r="ZN70" s="196"/>
      <c r="ZO70" s="196"/>
      <c r="ZP70" s="196"/>
      <c r="ZQ70" s="196"/>
      <c r="ZR70" s="196"/>
      <c r="ZS70" s="199"/>
      <c r="ZT70" s="196"/>
      <c r="ZU70" s="196"/>
      <c r="ZV70" s="196"/>
      <c r="ZW70" s="196"/>
      <c r="ZX70" s="196"/>
      <c r="ZY70" s="198"/>
      <c r="ZZ70" s="196"/>
      <c r="AAA70" s="196"/>
      <c r="AAB70" s="196"/>
      <c r="AAC70" s="196"/>
      <c r="AAD70" s="196"/>
      <c r="AAE70" s="199"/>
      <c r="AAF70" s="196"/>
      <c r="AAG70" s="196"/>
      <c r="AAH70" s="196"/>
      <c r="AAI70" s="196"/>
      <c r="AAJ70" s="196"/>
      <c r="AAK70" s="198"/>
      <c r="AAL70" s="196"/>
      <c r="AAM70" s="196"/>
      <c r="AAN70" s="196"/>
      <c r="AAO70" s="196"/>
      <c r="AAP70" s="196"/>
      <c r="AAQ70" s="199"/>
      <c r="AAR70" s="196"/>
      <c r="AAS70" s="196"/>
      <c r="AAT70" s="196"/>
      <c r="AAU70" s="196"/>
      <c r="AAV70" s="196"/>
      <c r="AAW70" s="200"/>
      <c r="AAX70" s="195"/>
      <c r="AAY70" s="196"/>
      <c r="AAZ70" s="196"/>
      <c r="ABA70" s="196"/>
      <c r="ABB70" s="196"/>
      <c r="ABC70" s="197"/>
      <c r="ABD70" s="196"/>
      <c r="ABE70" s="196"/>
      <c r="ABF70" s="196"/>
      <c r="ABG70" s="196"/>
      <c r="ABH70" s="196"/>
      <c r="ABI70" s="198"/>
      <c r="ABJ70" s="196"/>
      <c r="ABK70" s="196"/>
      <c r="ABL70" s="196"/>
      <c r="ABM70" s="196"/>
      <c r="ABN70" s="196"/>
      <c r="ABO70" s="199"/>
      <c r="ABP70" s="196"/>
      <c r="ABQ70" s="196"/>
      <c r="ABR70" s="196"/>
      <c r="ABS70" s="196"/>
      <c r="ABT70" s="196"/>
      <c r="ABU70" s="198"/>
      <c r="ABV70" s="196"/>
      <c r="ABW70" s="196"/>
      <c r="ABX70" s="196"/>
      <c r="ABY70" s="196"/>
      <c r="ABZ70" s="196"/>
      <c r="ACA70" s="199"/>
      <c r="ACB70" s="196"/>
      <c r="ACC70" s="196"/>
      <c r="ACD70" s="196"/>
      <c r="ACE70" s="196"/>
      <c r="ACF70" s="196"/>
      <c r="ACG70" s="198"/>
      <c r="ACH70" s="196"/>
      <c r="ACI70" s="196"/>
      <c r="ACJ70" s="196"/>
      <c r="ACK70" s="196"/>
      <c r="ACL70" s="196"/>
      <c r="ACM70" s="199"/>
      <c r="ACN70" s="196"/>
      <c r="ACO70" s="196"/>
      <c r="ACP70" s="196"/>
      <c r="ACQ70" s="196"/>
      <c r="ACR70" s="196"/>
      <c r="ACS70" s="198"/>
      <c r="ACT70" s="196"/>
      <c r="ACU70" s="196"/>
      <c r="ACV70" s="196"/>
      <c r="ACW70" s="196"/>
      <c r="ACX70" s="196"/>
      <c r="ACY70" s="199"/>
      <c r="ACZ70" s="196"/>
      <c r="ADA70" s="196"/>
      <c r="ADB70" s="196"/>
      <c r="ADC70" s="196"/>
      <c r="ADD70" s="196"/>
      <c r="ADE70" s="200"/>
      <c r="ADF70" s="195"/>
      <c r="ADG70" s="196"/>
      <c r="ADH70" s="196"/>
      <c r="ADI70" s="196"/>
      <c r="ADJ70" s="196"/>
      <c r="ADK70" s="197"/>
      <c r="ADL70" s="196"/>
      <c r="ADM70" s="196"/>
      <c r="ADN70" s="196"/>
      <c r="ADO70" s="196"/>
      <c r="ADP70" s="196"/>
      <c r="ADQ70" s="198"/>
      <c r="ADR70" s="196"/>
      <c r="ADS70" s="196"/>
      <c r="ADT70" s="196"/>
      <c r="ADU70" s="196"/>
      <c r="ADV70" s="196"/>
      <c r="ADW70" s="199"/>
      <c r="ADX70" s="196"/>
      <c r="ADY70" s="196"/>
      <c r="ADZ70" s="196"/>
      <c r="AEA70" s="196"/>
      <c r="AEB70" s="196"/>
      <c r="AEC70" s="198"/>
      <c r="AED70" s="196"/>
      <c r="AEE70" s="196"/>
      <c r="AEF70" s="196"/>
      <c r="AEG70" s="196"/>
      <c r="AEH70" s="196"/>
      <c r="AEI70" s="199"/>
      <c r="AEJ70" s="196"/>
      <c r="AEK70" s="196"/>
      <c r="AEL70" s="196"/>
      <c r="AEM70" s="196"/>
      <c r="AEN70" s="196"/>
      <c r="AEO70" s="198"/>
      <c r="AEP70" s="196"/>
      <c r="AEQ70" s="196"/>
      <c r="AER70" s="196"/>
      <c r="AES70" s="196"/>
      <c r="AET70" s="196"/>
      <c r="AEU70" s="199"/>
      <c r="AEV70" s="196"/>
      <c r="AEW70" s="196"/>
      <c r="AEX70" s="196"/>
      <c r="AEY70" s="196"/>
      <c r="AEZ70" s="196"/>
      <c r="AFA70" s="198"/>
      <c r="AFB70" s="196"/>
      <c r="AFC70" s="196"/>
      <c r="AFD70" s="196"/>
      <c r="AFE70" s="196"/>
      <c r="AFF70" s="196"/>
      <c r="AFG70" s="199"/>
      <c r="AFH70" s="196"/>
      <c r="AFI70" s="196"/>
      <c r="AFJ70" s="196"/>
      <c r="AFK70" s="196"/>
      <c r="AFL70" s="196"/>
      <c r="AFM70" s="200"/>
      <c r="AFN70" s="195"/>
      <c r="AFO70" s="196"/>
      <c r="AFP70" s="196"/>
      <c r="AFQ70" s="196"/>
      <c r="AFR70" s="196"/>
      <c r="AFS70" s="197"/>
      <c r="AFT70" s="196"/>
      <c r="AFU70" s="196"/>
      <c r="AFV70" s="196"/>
      <c r="AFW70" s="196"/>
      <c r="AFX70" s="196"/>
      <c r="AFY70" s="198"/>
      <c r="AFZ70" s="196"/>
      <c r="AGA70" s="196"/>
      <c r="AGB70" s="196"/>
      <c r="AGC70" s="196"/>
      <c r="AGD70" s="196"/>
      <c r="AGE70" s="199"/>
      <c r="AGF70" s="196"/>
      <c r="AGG70" s="196"/>
      <c r="AGH70" s="196"/>
      <c r="AGI70" s="196"/>
      <c r="AGJ70" s="196"/>
      <c r="AGK70" s="198"/>
      <c r="AGL70" s="196"/>
      <c r="AGM70" s="196"/>
      <c r="AGN70" s="196"/>
      <c r="AGO70" s="196"/>
      <c r="AGP70" s="196"/>
      <c r="AGQ70" s="199"/>
      <c r="AGR70" s="196"/>
      <c r="AGS70" s="196"/>
      <c r="AGT70" s="196"/>
      <c r="AGU70" s="196"/>
      <c r="AGV70" s="196"/>
      <c r="AGW70" s="198"/>
      <c r="AGX70" s="196"/>
      <c r="AGY70" s="196"/>
      <c r="AGZ70" s="196"/>
      <c r="AHA70" s="196"/>
      <c r="AHB70" s="196"/>
      <c r="AHC70" s="199"/>
      <c r="AHD70" s="196"/>
      <c r="AHE70" s="196"/>
      <c r="AHF70" s="196"/>
      <c r="AHG70" s="196"/>
      <c r="AHH70" s="196"/>
      <c r="AHI70" s="198"/>
      <c r="AHJ70" s="196"/>
      <c r="AHK70" s="196"/>
      <c r="AHL70" s="196"/>
      <c r="AHM70" s="196"/>
      <c r="AHN70" s="196"/>
      <c r="AHO70" s="199"/>
      <c r="AHP70" s="196"/>
      <c r="AHQ70" s="196"/>
      <c r="AHR70" s="196"/>
      <c r="AHS70" s="196"/>
      <c r="AHT70" s="196"/>
      <c r="AHU70" s="200"/>
      <c r="AHV70" s="195"/>
      <c r="AHW70" s="196"/>
      <c r="AHX70" s="196"/>
      <c r="AHY70" s="196"/>
      <c r="AHZ70" s="196"/>
      <c r="AIA70" s="197"/>
      <c r="AIB70" s="196"/>
      <c r="AIC70" s="196"/>
      <c r="AID70" s="196"/>
      <c r="AIE70" s="196"/>
      <c r="AIF70" s="196"/>
      <c r="AIG70" s="198"/>
      <c r="AIH70" s="196"/>
      <c r="AII70" s="196"/>
      <c r="AIJ70" s="196"/>
      <c r="AIK70" s="196"/>
      <c r="AIL70" s="196"/>
      <c r="AIM70" s="199"/>
      <c r="AIN70" s="196"/>
      <c r="AIO70" s="196"/>
      <c r="AIP70" s="196"/>
      <c r="AIQ70" s="196"/>
      <c r="AIR70" s="196"/>
      <c r="AIS70" s="198"/>
      <c r="AIT70" s="196"/>
      <c r="AIU70" s="196"/>
      <c r="AIV70" s="196"/>
      <c r="AIW70" s="196"/>
      <c r="AIX70" s="196"/>
      <c r="AIY70" s="199"/>
      <c r="AIZ70" s="196"/>
      <c r="AJA70" s="196"/>
      <c r="AJB70" s="196"/>
      <c r="AJC70" s="196"/>
      <c r="AJD70" s="196"/>
      <c r="AJE70" s="198"/>
      <c r="AJF70" s="196"/>
      <c r="AJG70" s="196"/>
      <c r="AJH70" s="196"/>
      <c r="AJI70" s="196"/>
      <c r="AJJ70" s="196"/>
      <c r="AJK70" s="199"/>
      <c r="AJL70" s="196"/>
      <c r="AJM70" s="196"/>
      <c r="AJN70" s="196"/>
      <c r="AJO70" s="196"/>
      <c r="AJP70" s="196"/>
      <c r="AJQ70" s="198"/>
      <c r="AJR70" s="196"/>
      <c r="AJS70" s="196"/>
      <c r="AJT70" s="196"/>
      <c r="AJU70" s="196"/>
      <c r="AJV70" s="196"/>
      <c r="AJW70" s="199"/>
      <c r="AJX70" s="196"/>
      <c r="AJY70" s="196"/>
      <c r="AJZ70" s="196"/>
      <c r="AKA70" s="196"/>
      <c r="AKB70" s="196"/>
      <c r="AKC70" s="200"/>
      <c r="AKD70" s="195"/>
      <c r="AKE70" s="196"/>
      <c r="AKF70" s="196"/>
      <c r="AKG70" s="196"/>
      <c r="AKH70" s="196"/>
      <c r="AKI70" s="197"/>
      <c r="AKJ70" s="196"/>
      <c r="AKK70" s="196"/>
      <c r="AKL70" s="196"/>
      <c r="AKM70" s="196"/>
      <c r="AKN70" s="196"/>
      <c r="AKO70" s="198"/>
      <c r="AKP70" s="196"/>
      <c r="AKQ70" s="196"/>
      <c r="AKR70" s="196"/>
      <c r="AKS70" s="196"/>
      <c r="AKT70" s="196"/>
      <c r="AKU70" s="199"/>
      <c r="AKV70" s="196"/>
      <c r="AKW70" s="196"/>
      <c r="AKX70" s="196"/>
      <c r="AKY70" s="196"/>
      <c r="AKZ70" s="196"/>
      <c r="ALA70" s="198"/>
      <c r="ALB70" s="196"/>
      <c r="ALC70" s="196"/>
      <c r="ALD70" s="196"/>
      <c r="ALE70" s="196"/>
      <c r="ALF70" s="196"/>
      <c r="ALG70" s="199"/>
      <c r="ALH70" s="196"/>
      <c r="ALI70" s="196"/>
      <c r="ALJ70" s="196"/>
      <c r="ALK70" s="196"/>
      <c r="ALL70" s="196"/>
      <c r="ALM70" s="198"/>
      <c r="ALN70" s="196"/>
      <c r="ALO70" s="196"/>
      <c r="ALP70" s="196"/>
      <c r="ALQ70" s="196"/>
      <c r="ALR70" s="196"/>
      <c r="ALS70" s="199"/>
      <c r="ALT70" s="196"/>
      <c r="ALU70" s="196"/>
      <c r="ALV70" s="196"/>
      <c r="ALW70" s="196"/>
      <c r="ALX70" s="196"/>
      <c r="ALY70" s="198"/>
      <c r="ALZ70" s="196"/>
      <c r="AMA70" s="196"/>
      <c r="AMB70" s="196"/>
      <c r="AMC70" s="196"/>
      <c r="AMD70" s="196"/>
      <c r="AME70" s="199"/>
      <c r="AMF70" s="196"/>
      <c r="AMG70" s="196"/>
      <c r="AMH70" s="196"/>
      <c r="AMI70" s="196"/>
      <c r="AMJ70" s="196"/>
      <c r="AMK70" s="200"/>
      <c r="AML70" s="195"/>
      <c r="AMM70" s="196"/>
      <c r="AMN70" s="196"/>
      <c r="AMO70" s="196"/>
      <c r="AMP70" s="196"/>
      <c r="AMQ70" s="197"/>
      <c r="AMR70" s="196"/>
      <c r="AMS70" s="196"/>
      <c r="AMT70" s="196"/>
      <c r="AMU70" s="196"/>
      <c r="AMV70" s="196"/>
      <c r="AMW70" s="198"/>
      <c r="AMX70" s="196"/>
      <c r="AMY70" s="196"/>
      <c r="AMZ70" s="196"/>
      <c r="ANA70" s="196"/>
      <c r="ANB70" s="196"/>
      <c r="ANC70" s="199"/>
      <c r="AND70" s="196"/>
      <c r="ANE70" s="196"/>
      <c r="ANF70" s="196"/>
      <c r="ANG70" s="196"/>
      <c r="ANH70" s="196"/>
      <c r="ANI70" s="198"/>
      <c r="ANJ70" s="196"/>
      <c r="ANK70" s="196"/>
      <c r="ANL70" s="196"/>
      <c r="ANM70" s="196"/>
      <c r="ANN70" s="196"/>
      <c r="ANO70" s="199"/>
      <c r="ANP70" s="196"/>
      <c r="ANQ70" s="196"/>
      <c r="ANR70" s="196"/>
      <c r="ANS70" s="196"/>
      <c r="ANT70" s="196"/>
      <c r="ANU70" s="198"/>
      <c r="ANV70" s="196"/>
      <c r="ANW70" s="196"/>
      <c r="ANX70" s="196"/>
      <c r="ANY70" s="196"/>
      <c r="ANZ70" s="196"/>
      <c r="AOA70" s="199"/>
      <c r="AOB70" s="196"/>
      <c r="AOC70" s="196"/>
      <c r="AOD70" s="196"/>
      <c r="AOE70" s="196"/>
      <c r="AOF70" s="196"/>
      <c r="AOG70" s="198"/>
      <c r="AOH70" s="196"/>
      <c r="AOI70" s="196"/>
      <c r="AOJ70" s="196"/>
      <c r="AOK70" s="196"/>
      <c r="AOL70" s="196"/>
      <c r="AOM70" s="199"/>
      <c r="AON70" s="196"/>
      <c r="AOO70" s="196"/>
      <c r="AOP70" s="196"/>
      <c r="AOQ70" s="196"/>
      <c r="AOR70" s="196"/>
      <c r="AOS70" s="200"/>
      <c r="AOT70" s="195"/>
      <c r="AOU70" s="196"/>
      <c r="AOV70" s="196"/>
      <c r="AOW70" s="196"/>
      <c r="AOX70" s="196"/>
      <c r="AOY70" s="197"/>
      <c r="AOZ70" s="196"/>
      <c r="APA70" s="196"/>
      <c r="APB70" s="196"/>
      <c r="APC70" s="196"/>
      <c r="APD70" s="196"/>
      <c r="APE70" s="198"/>
      <c r="APF70" s="196"/>
      <c r="APG70" s="196"/>
      <c r="APH70" s="196"/>
      <c r="API70" s="196"/>
      <c r="APJ70" s="196"/>
      <c r="APK70" s="199"/>
      <c r="APL70" s="196"/>
      <c r="APM70" s="196"/>
      <c r="APN70" s="196"/>
      <c r="APO70" s="196"/>
      <c r="APP70" s="196"/>
      <c r="APQ70" s="198"/>
      <c r="APR70" s="196"/>
      <c r="APS70" s="196"/>
      <c r="APT70" s="196"/>
      <c r="APU70" s="196"/>
      <c r="APV70" s="196"/>
      <c r="APW70" s="199"/>
      <c r="APX70" s="196"/>
      <c r="APY70" s="196"/>
      <c r="APZ70" s="196"/>
      <c r="AQA70" s="196"/>
      <c r="AQB70" s="196"/>
      <c r="AQC70" s="198"/>
      <c r="AQD70" s="196"/>
      <c r="AQE70" s="196"/>
      <c r="AQF70" s="196"/>
      <c r="AQG70" s="196"/>
      <c r="AQH70" s="196"/>
      <c r="AQI70" s="199"/>
      <c r="AQJ70" s="196"/>
      <c r="AQK70" s="196"/>
      <c r="AQL70" s="196"/>
      <c r="AQM70" s="196"/>
      <c r="AQN70" s="196"/>
      <c r="AQO70" s="198"/>
      <c r="AQP70" s="196"/>
      <c r="AQQ70" s="196"/>
      <c r="AQR70" s="196"/>
      <c r="AQS70" s="196"/>
      <c r="AQT70" s="196"/>
      <c r="AQU70" s="199"/>
      <c r="AQV70" s="196"/>
      <c r="AQW70" s="196"/>
      <c r="AQX70" s="196"/>
      <c r="AQY70" s="196"/>
      <c r="AQZ70" s="196"/>
      <c r="ARA70" s="200"/>
      <c r="ARB70" s="195"/>
      <c r="ARC70" s="196"/>
      <c r="ARD70" s="196"/>
      <c r="ARE70" s="196"/>
      <c r="ARF70" s="196"/>
      <c r="ARG70" s="197"/>
      <c r="ARH70" s="196"/>
      <c r="ARI70" s="196"/>
      <c r="ARJ70" s="196"/>
      <c r="ARK70" s="196"/>
      <c r="ARL70" s="196"/>
      <c r="ARM70" s="198"/>
      <c r="ARN70" s="196"/>
      <c r="ARO70" s="196"/>
      <c r="ARP70" s="196"/>
      <c r="ARQ70" s="196"/>
      <c r="ARR70" s="196"/>
      <c r="ARS70" s="199"/>
      <c r="ART70" s="196"/>
      <c r="ARU70" s="196"/>
      <c r="ARV70" s="196"/>
      <c r="ARW70" s="196"/>
      <c r="ARX70" s="196"/>
      <c r="ARY70" s="198"/>
      <c r="ARZ70" s="196"/>
      <c r="ASA70" s="196"/>
      <c r="ASB70" s="196"/>
      <c r="ASC70" s="196"/>
      <c r="ASD70" s="196"/>
      <c r="ASE70" s="199"/>
      <c r="ASF70" s="196"/>
      <c r="ASG70" s="196"/>
      <c r="ASH70" s="196"/>
      <c r="ASI70" s="196"/>
      <c r="ASJ70" s="196"/>
      <c r="ASK70" s="198"/>
      <c r="ASL70" s="196"/>
      <c r="ASM70" s="196"/>
      <c r="ASN70" s="196"/>
      <c r="ASO70" s="196"/>
      <c r="ASP70" s="196"/>
      <c r="ASQ70" s="199"/>
      <c r="ASR70" s="196"/>
      <c r="ASS70" s="196"/>
      <c r="AST70" s="196"/>
      <c r="ASU70" s="196"/>
      <c r="ASV70" s="196"/>
      <c r="ASW70" s="198"/>
      <c r="ASX70" s="196"/>
      <c r="ASY70" s="196"/>
      <c r="ASZ70" s="196"/>
      <c r="ATA70" s="196"/>
      <c r="ATB70" s="196"/>
      <c r="ATC70" s="199"/>
      <c r="ATD70" s="196"/>
      <c r="ATE70" s="196"/>
      <c r="ATF70" s="196"/>
      <c r="ATG70" s="196"/>
      <c r="ATH70" s="196"/>
      <c r="ATI70" s="200"/>
      <c r="ATJ70" s="195"/>
      <c r="ATK70" s="196"/>
      <c r="ATL70" s="196"/>
      <c r="ATM70" s="196"/>
      <c r="ATN70" s="196"/>
      <c r="ATO70" s="197"/>
      <c r="ATP70" s="196"/>
      <c r="ATQ70" s="196"/>
      <c r="ATR70" s="196"/>
      <c r="ATS70" s="196"/>
      <c r="ATT70" s="196"/>
      <c r="ATU70" s="198"/>
      <c r="ATV70" s="196"/>
      <c r="ATW70" s="196"/>
      <c r="ATX70" s="196"/>
      <c r="ATY70" s="196"/>
      <c r="ATZ70" s="196"/>
      <c r="AUA70" s="199"/>
      <c r="AUB70" s="196"/>
      <c r="AUC70" s="196"/>
      <c r="AUD70" s="196"/>
      <c r="AUE70" s="196"/>
      <c r="AUF70" s="196"/>
      <c r="AUG70" s="198"/>
      <c r="AUH70" s="196"/>
      <c r="AUI70" s="196"/>
      <c r="AUJ70" s="196"/>
      <c r="AUK70" s="196"/>
      <c r="AUL70" s="196"/>
      <c r="AUM70" s="199"/>
      <c r="AUN70" s="196"/>
      <c r="AUO70" s="196"/>
      <c r="AUP70" s="196"/>
      <c r="AUQ70" s="196"/>
      <c r="AUR70" s="196"/>
      <c r="AUS70" s="198"/>
      <c r="AUT70" s="196"/>
      <c r="AUU70" s="196"/>
      <c r="AUV70" s="196"/>
      <c r="AUW70" s="196"/>
      <c r="AUX70" s="196"/>
      <c r="AUY70" s="199"/>
      <c r="AUZ70" s="196"/>
      <c r="AVA70" s="196"/>
      <c r="AVB70" s="196"/>
      <c r="AVC70" s="196"/>
      <c r="AVD70" s="196"/>
      <c r="AVE70" s="198"/>
      <c r="AVF70" s="196"/>
      <c r="AVG70" s="196"/>
      <c r="AVH70" s="196"/>
      <c r="AVI70" s="196"/>
      <c r="AVJ70" s="196"/>
      <c r="AVK70" s="199"/>
      <c r="AVL70" s="196"/>
      <c r="AVM70" s="196"/>
      <c r="AVN70" s="196"/>
      <c r="AVO70" s="196"/>
      <c r="AVP70" s="196"/>
      <c r="AVQ70" s="200"/>
      <c r="AVR70" s="195"/>
      <c r="AVS70" s="196"/>
      <c r="AVT70" s="196"/>
      <c r="AVU70" s="196"/>
      <c r="AVV70" s="196"/>
      <c r="AVW70" s="197"/>
      <c r="AVX70" s="196"/>
      <c r="AVY70" s="196"/>
      <c r="AVZ70" s="196"/>
      <c r="AWA70" s="196"/>
      <c r="AWB70" s="196"/>
      <c r="AWC70" s="198"/>
      <c r="AWD70" s="196"/>
      <c r="AWE70" s="196"/>
      <c r="AWF70" s="196"/>
      <c r="AWG70" s="196"/>
      <c r="AWH70" s="196"/>
      <c r="AWI70" s="199"/>
      <c r="AWJ70" s="196"/>
      <c r="AWK70" s="196"/>
      <c r="AWL70" s="196"/>
      <c r="AWM70" s="196"/>
      <c r="AWN70" s="196"/>
      <c r="AWO70" s="198"/>
      <c r="AWP70" s="196"/>
      <c r="AWQ70" s="196"/>
      <c r="AWR70" s="196"/>
      <c r="AWS70" s="196"/>
      <c r="AWT70" s="196"/>
      <c r="AWU70" s="199"/>
      <c r="AWV70" s="196"/>
      <c r="AWW70" s="196"/>
      <c r="AWX70" s="196"/>
      <c r="AWY70" s="196"/>
      <c r="AWZ70" s="196"/>
      <c r="AXA70" s="198"/>
      <c r="AXB70" s="196"/>
      <c r="AXC70" s="196"/>
      <c r="AXD70" s="196"/>
      <c r="AXE70" s="196"/>
      <c r="AXF70" s="196"/>
      <c r="AXG70" s="199"/>
      <c r="AXH70" s="196"/>
      <c r="AXI70" s="196"/>
      <c r="AXJ70" s="196"/>
      <c r="AXK70" s="196"/>
      <c r="AXL70" s="196"/>
      <c r="AXM70" s="198"/>
      <c r="AXN70" s="196"/>
      <c r="AXO70" s="196"/>
      <c r="AXP70" s="196"/>
      <c r="AXQ70" s="196"/>
      <c r="AXR70" s="196"/>
      <c r="AXS70" s="199"/>
      <c r="AXT70" s="196"/>
      <c r="AXU70" s="196"/>
      <c r="AXV70" s="196"/>
      <c r="AXW70" s="196"/>
      <c r="AXX70" s="196"/>
      <c r="AXY70" s="200"/>
      <c r="AXZ70" s="195"/>
      <c r="AYA70" s="196"/>
      <c r="AYB70" s="196"/>
      <c r="AYC70" s="196"/>
      <c r="AYD70" s="196"/>
      <c r="AYE70" s="197"/>
      <c r="AYF70" s="196"/>
      <c r="AYG70" s="196"/>
      <c r="AYH70" s="196"/>
      <c r="AYI70" s="196"/>
      <c r="AYJ70" s="196"/>
      <c r="AYK70" s="198"/>
      <c r="AYL70" s="196"/>
      <c r="AYM70" s="196"/>
      <c r="AYN70" s="196"/>
      <c r="AYO70" s="196"/>
      <c r="AYP70" s="196"/>
      <c r="AYQ70" s="199"/>
      <c r="AYR70" s="196"/>
      <c r="AYS70" s="196"/>
      <c r="AYT70" s="196"/>
      <c r="AYU70" s="196"/>
      <c r="AYV70" s="196"/>
      <c r="AYW70" s="198"/>
      <c r="AYX70" s="196"/>
      <c r="AYY70" s="196"/>
      <c r="AYZ70" s="196"/>
      <c r="AZA70" s="196"/>
      <c r="AZB70" s="196"/>
      <c r="AZC70" s="199"/>
      <c r="AZD70" s="196"/>
      <c r="AZE70" s="196"/>
      <c r="AZF70" s="196"/>
      <c r="AZG70" s="196"/>
      <c r="AZH70" s="196"/>
      <c r="AZI70" s="198"/>
      <c r="AZJ70" s="196"/>
      <c r="AZK70" s="196"/>
      <c r="AZL70" s="196"/>
      <c r="AZM70" s="196"/>
      <c r="AZN70" s="196"/>
      <c r="AZO70" s="199"/>
      <c r="AZP70" s="196"/>
      <c r="AZQ70" s="196"/>
      <c r="AZR70" s="196"/>
      <c r="AZS70" s="196"/>
      <c r="AZT70" s="196"/>
      <c r="AZU70" s="198"/>
      <c r="AZV70" s="196"/>
      <c r="AZW70" s="196"/>
      <c r="AZX70" s="196"/>
      <c r="AZY70" s="196"/>
      <c r="AZZ70" s="196"/>
      <c r="BAA70" s="199"/>
      <c r="BAB70" s="196"/>
      <c r="BAC70" s="196"/>
      <c r="BAD70" s="196"/>
      <c r="BAE70" s="196"/>
      <c r="BAF70" s="196"/>
      <c r="BAG70" s="200"/>
      <c r="BAH70" s="195"/>
      <c r="BAI70" s="196"/>
      <c r="BAJ70" s="196"/>
      <c r="BAK70" s="196"/>
      <c r="BAL70" s="196"/>
      <c r="BAM70" s="197"/>
      <c r="BAN70" s="196"/>
      <c r="BAO70" s="196"/>
      <c r="BAP70" s="196"/>
      <c r="BAQ70" s="196"/>
      <c r="BAR70" s="196"/>
      <c r="BAS70" s="198"/>
      <c r="BAT70" s="196"/>
      <c r="BAU70" s="196"/>
      <c r="BAV70" s="196"/>
      <c r="BAW70" s="196"/>
      <c r="BAX70" s="196"/>
      <c r="BAY70" s="199"/>
      <c r="BAZ70" s="196"/>
      <c r="BBA70" s="196"/>
      <c r="BBB70" s="196"/>
      <c r="BBC70" s="196"/>
      <c r="BBD70" s="196"/>
      <c r="BBE70" s="198"/>
      <c r="BBF70" s="196"/>
      <c r="BBG70" s="196"/>
      <c r="BBH70" s="196"/>
      <c r="BBI70" s="196"/>
      <c r="BBJ70" s="196"/>
      <c r="BBK70" s="199"/>
      <c r="BBL70" s="196"/>
      <c r="BBM70" s="196"/>
      <c r="BBN70" s="196"/>
      <c r="BBO70" s="196"/>
      <c r="BBP70" s="196"/>
      <c r="BBQ70" s="198"/>
      <c r="BBR70" s="196"/>
      <c r="BBS70" s="196"/>
      <c r="BBT70" s="196"/>
      <c r="BBU70" s="196"/>
      <c r="BBV70" s="196"/>
      <c r="BBW70" s="199"/>
      <c r="BBX70" s="196"/>
      <c r="BBY70" s="196"/>
      <c r="BBZ70" s="196"/>
      <c r="BCA70" s="196"/>
      <c r="BCB70" s="196"/>
      <c r="BCC70" s="198"/>
      <c r="BCD70" s="196"/>
      <c r="BCE70" s="196"/>
      <c r="BCF70" s="196"/>
      <c r="BCG70" s="196"/>
      <c r="BCH70" s="196"/>
      <c r="BCI70" s="199"/>
      <c r="BCJ70" s="196"/>
      <c r="BCK70" s="196"/>
      <c r="BCL70" s="196"/>
      <c r="BCM70" s="196"/>
      <c r="BCN70" s="196"/>
      <c r="BCO70" s="200"/>
      <c r="BCP70" s="195"/>
      <c r="BCQ70" s="196"/>
      <c r="BCR70" s="196"/>
      <c r="BCS70" s="196"/>
      <c r="BCT70" s="196"/>
      <c r="BCU70" s="197"/>
      <c r="BCV70" s="196"/>
      <c r="BCW70" s="196"/>
      <c r="BCX70" s="196"/>
      <c r="BCY70" s="196"/>
      <c r="BCZ70" s="196"/>
      <c r="BDA70" s="198"/>
      <c r="BDB70" s="196"/>
      <c r="BDC70" s="196"/>
      <c r="BDD70" s="196"/>
      <c r="BDE70" s="196"/>
      <c r="BDF70" s="196"/>
      <c r="BDG70" s="199"/>
      <c r="BDH70" s="196"/>
      <c r="BDI70" s="196"/>
      <c r="BDJ70" s="196"/>
      <c r="BDK70" s="196"/>
      <c r="BDL70" s="196"/>
      <c r="BDM70" s="198"/>
      <c r="BDN70" s="196"/>
      <c r="BDO70" s="196"/>
      <c r="BDP70" s="196"/>
      <c r="BDQ70" s="196"/>
      <c r="BDR70" s="196"/>
      <c r="BDS70" s="199"/>
      <c r="BDT70" s="196"/>
      <c r="BDU70" s="196"/>
      <c r="BDV70" s="196"/>
      <c r="BDW70" s="196"/>
      <c r="BDX70" s="196"/>
      <c r="BDY70" s="198"/>
      <c r="BDZ70" s="196"/>
      <c r="BEA70" s="196"/>
      <c r="BEB70" s="196"/>
      <c r="BEC70" s="196"/>
      <c r="BED70" s="196"/>
      <c r="BEE70" s="199"/>
      <c r="BEF70" s="196"/>
      <c r="BEG70" s="196"/>
      <c r="BEH70" s="196"/>
      <c r="BEI70" s="196"/>
      <c r="BEJ70" s="196"/>
      <c r="BEK70" s="198"/>
      <c r="BEL70" s="196"/>
      <c r="BEM70" s="196"/>
      <c r="BEN70" s="196"/>
      <c r="BEO70" s="196"/>
      <c r="BEP70" s="196"/>
      <c r="BEQ70" s="199"/>
      <c r="BER70" s="196"/>
      <c r="BES70" s="196"/>
      <c r="BET70" s="196"/>
      <c r="BEU70" s="196"/>
      <c r="BEV70" s="196"/>
      <c r="BEW70" s="200"/>
      <c r="BEX70" s="195"/>
      <c r="BEY70" s="196"/>
      <c r="BEZ70" s="196"/>
      <c r="BFA70" s="196"/>
      <c r="BFB70" s="196"/>
      <c r="BFC70" s="197"/>
      <c r="BFD70" s="196"/>
      <c r="BFE70" s="196"/>
      <c r="BFF70" s="196"/>
      <c r="BFG70" s="196"/>
      <c r="BFH70" s="196"/>
      <c r="BFI70" s="198"/>
      <c r="BFJ70" s="196"/>
      <c r="BFK70" s="196"/>
      <c r="BFL70" s="196"/>
      <c r="BFM70" s="196"/>
      <c r="BFN70" s="196"/>
      <c r="BFO70" s="199"/>
      <c r="BFP70" s="196"/>
      <c r="BFQ70" s="196"/>
      <c r="BFR70" s="196"/>
      <c r="BFS70" s="196"/>
      <c r="BFT70" s="196"/>
      <c r="BFU70" s="198"/>
      <c r="BFV70" s="196"/>
      <c r="BFW70" s="196"/>
      <c r="BFX70" s="196"/>
      <c r="BFY70" s="196"/>
      <c r="BFZ70" s="196"/>
      <c r="BGA70" s="199"/>
      <c r="BGB70" s="196"/>
      <c r="BGC70" s="196"/>
      <c r="BGD70" s="196"/>
      <c r="BGE70" s="196"/>
      <c r="BGF70" s="196"/>
      <c r="BGG70" s="198"/>
      <c r="BGH70" s="196"/>
      <c r="BGI70" s="196"/>
      <c r="BGJ70" s="196"/>
      <c r="BGK70" s="196"/>
      <c r="BGL70" s="196"/>
      <c r="BGM70" s="199"/>
      <c r="BGN70" s="196"/>
      <c r="BGO70" s="196"/>
      <c r="BGP70" s="196"/>
      <c r="BGQ70" s="196"/>
      <c r="BGR70" s="196"/>
      <c r="BGS70" s="198"/>
      <c r="BGT70" s="196"/>
      <c r="BGU70" s="196"/>
      <c r="BGV70" s="196"/>
      <c r="BGW70" s="196"/>
      <c r="BGX70" s="196"/>
      <c r="BGY70" s="199"/>
      <c r="BGZ70" s="196"/>
      <c r="BHA70" s="196"/>
      <c r="BHB70" s="196"/>
      <c r="BHC70" s="196"/>
      <c r="BHD70" s="196"/>
      <c r="BHE70" s="200"/>
      <c r="BHF70" s="187"/>
      <c r="BHG70" s="188"/>
      <c r="BHH70" s="188"/>
      <c r="BHI70" s="188"/>
      <c r="BHJ70" s="188"/>
      <c r="BHK70" s="188"/>
      <c r="BHL70" s="188"/>
      <c r="BHM70" s="188"/>
      <c r="BHN70" s="188"/>
      <c r="BHO70" s="188"/>
      <c r="BHP70" s="188"/>
      <c r="BHQ70" s="188"/>
      <c r="BHR70" s="188"/>
      <c r="BHS70" s="188"/>
      <c r="BHT70" s="188"/>
      <c r="BHU70" s="188"/>
      <c r="BHV70" s="188"/>
      <c r="BHW70" s="188"/>
      <c r="BHX70" s="188"/>
      <c r="BHY70" s="188"/>
      <c r="BHZ70" s="188"/>
      <c r="BIA70" s="188"/>
      <c r="BIB70" s="188"/>
      <c r="BIC70" s="188"/>
      <c r="BID70" s="188"/>
      <c r="BIE70" s="188"/>
      <c r="BIF70" s="188"/>
      <c r="BIG70" s="188"/>
      <c r="BIH70" s="188"/>
      <c r="BII70" s="188"/>
      <c r="BIJ70" s="188"/>
      <c r="BIK70" s="188"/>
      <c r="BIL70" s="188"/>
      <c r="BIM70" s="188"/>
      <c r="BIN70" s="188"/>
      <c r="BIO70" s="188"/>
      <c r="BIP70" s="188"/>
    </row>
    <row r="71" spans="1:1602" ht="20.100000000000001" customHeight="1" x14ac:dyDescent="0.25">
      <c r="A71" s="78" t="s">
        <v>49</v>
      </c>
      <c r="B71" s="51"/>
      <c r="C71" s="23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87"/>
      <c r="BHG71" s="188"/>
      <c r="BHH71" s="188"/>
      <c r="BHI71" s="188"/>
      <c r="BHJ71" s="188"/>
      <c r="BHK71" s="188"/>
      <c r="BHL71" s="188"/>
      <c r="BHM71" s="188"/>
      <c r="BHN71" s="188"/>
      <c r="BHO71" s="188"/>
      <c r="BHP71" s="188"/>
      <c r="BHQ71" s="188"/>
      <c r="BHR71" s="188"/>
      <c r="BHS71" s="188"/>
      <c r="BHT71" s="188"/>
      <c r="BHU71" s="188"/>
      <c r="BHV71" s="188"/>
      <c r="BHW71" s="188"/>
      <c r="BHX71" s="188"/>
      <c r="BHY71" s="188"/>
      <c r="BHZ71" s="188"/>
      <c r="BIA71" s="188"/>
      <c r="BIB71" s="188"/>
      <c r="BIC71" s="188"/>
      <c r="BID71" s="188"/>
      <c r="BIE71" s="188"/>
      <c r="BIF71" s="188"/>
      <c r="BIG71" s="188"/>
      <c r="BIH71" s="188"/>
      <c r="BII71" s="188"/>
      <c r="BIJ71" s="188"/>
      <c r="BIK71" s="188"/>
      <c r="BIL71" s="188"/>
      <c r="BIM71" s="188"/>
      <c r="BIN71" s="188"/>
      <c r="BIO71" s="188"/>
      <c r="BIP71" s="188"/>
    </row>
    <row r="72" spans="1:1602" ht="20.100000000000001" customHeight="1" x14ac:dyDescent="0.25">
      <c r="A72" s="78" t="s">
        <v>50</v>
      </c>
      <c r="B72" s="51"/>
      <c r="C72" s="236"/>
      <c r="D72" s="120" t="str">
        <f t="shared" si="0"/>
        <v/>
      </c>
      <c r="E72" s="22">
        <v>0</v>
      </c>
      <c r="F72" s="189"/>
      <c r="G72" s="190"/>
      <c r="H72" s="190"/>
      <c r="I72" s="190"/>
      <c r="J72" s="190"/>
      <c r="K72" s="191"/>
      <c r="L72" s="190"/>
      <c r="M72" s="190"/>
      <c r="N72" s="190"/>
      <c r="O72" s="190"/>
      <c r="P72" s="190"/>
      <c r="Q72" s="192"/>
      <c r="R72" s="190"/>
      <c r="S72" s="190"/>
      <c r="T72" s="190"/>
      <c r="U72" s="190"/>
      <c r="V72" s="190"/>
      <c r="W72" s="193"/>
      <c r="X72" s="190"/>
      <c r="Y72" s="190"/>
      <c r="Z72" s="190"/>
      <c r="AA72" s="190"/>
      <c r="AB72" s="190"/>
      <c r="AC72" s="192"/>
      <c r="AD72" s="190"/>
      <c r="AE72" s="190"/>
      <c r="AF72" s="190"/>
      <c r="AG72" s="190"/>
      <c r="AH72" s="190"/>
      <c r="AI72" s="193"/>
      <c r="AJ72" s="190"/>
      <c r="AK72" s="190"/>
      <c r="AL72" s="190"/>
      <c r="AM72" s="190"/>
      <c r="AN72" s="190"/>
      <c r="AO72" s="192"/>
      <c r="AP72" s="190"/>
      <c r="AQ72" s="190"/>
      <c r="AR72" s="190"/>
      <c r="AS72" s="190"/>
      <c r="AT72" s="190"/>
      <c r="AU72" s="193"/>
      <c r="AV72" s="190"/>
      <c r="AW72" s="190"/>
      <c r="AX72" s="190"/>
      <c r="AY72" s="190"/>
      <c r="AZ72" s="190"/>
      <c r="BA72" s="192"/>
      <c r="BB72" s="190"/>
      <c r="BC72" s="190"/>
      <c r="BD72" s="190"/>
      <c r="BE72" s="190"/>
      <c r="BF72" s="190"/>
      <c r="BG72" s="193"/>
      <c r="BH72" s="190"/>
      <c r="BI72" s="190"/>
      <c r="BJ72" s="190"/>
      <c r="BK72" s="190"/>
      <c r="BL72" s="190"/>
      <c r="BM72" s="194"/>
      <c r="BN72" s="189"/>
      <c r="BO72" s="190"/>
      <c r="BP72" s="190"/>
      <c r="BQ72" s="190"/>
      <c r="BR72" s="190"/>
      <c r="BS72" s="191"/>
      <c r="BT72" s="190"/>
      <c r="BU72" s="190"/>
      <c r="BV72" s="190"/>
      <c r="BW72" s="190"/>
      <c r="BX72" s="190"/>
      <c r="BY72" s="192"/>
      <c r="BZ72" s="190"/>
      <c r="CA72" s="190"/>
      <c r="CB72" s="190"/>
      <c r="CC72" s="190"/>
      <c r="CD72" s="190"/>
      <c r="CE72" s="193"/>
      <c r="CF72" s="190"/>
      <c r="CG72" s="190"/>
      <c r="CH72" s="190"/>
      <c r="CI72" s="190"/>
      <c r="CJ72" s="190"/>
      <c r="CK72" s="192"/>
      <c r="CL72" s="190"/>
      <c r="CM72" s="190"/>
      <c r="CN72" s="190"/>
      <c r="CO72" s="190"/>
      <c r="CP72" s="190"/>
      <c r="CQ72" s="193"/>
      <c r="CR72" s="190"/>
      <c r="CS72" s="190"/>
      <c r="CT72" s="190"/>
      <c r="CU72" s="190"/>
      <c r="CV72" s="190"/>
      <c r="CW72" s="192"/>
      <c r="CX72" s="190"/>
      <c r="CY72" s="190"/>
      <c r="CZ72" s="190"/>
      <c r="DA72" s="190"/>
      <c r="DB72" s="190"/>
      <c r="DC72" s="193"/>
      <c r="DD72" s="190"/>
      <c r="DE72" s="190"/>
      <c r="DF72" s="190"/>
      <c r="DG72" s="190"/>
      <c r="DH72" s="190"/>
      <c r="DI72" s="192"/>
      <c r="DJ72" s="190"/>
      <c r="DK72" s="190"/>
      <c r="DL72" s="190"/>
      <c r="DM72" s="190"/>
      <c r="DN72" s="190"/>
      <c r="DO72" s="193"/>
      <c r="DP72" s="190"/>
      <c r="DQ72" s="190"/>
      <c r="DR72" s="190"/>
      <c r="DS72" s="190"/>
      <c r="DT72" s="190"/>
      <c r="DU72" s="194"/>
      <c r="DV72" s="189"/>
      <c r="DW72" s="190"/>
      <c r="DX72" s="190"/>
      <c r="DY72" s="190"/>
      <c r="DZ72" s="190"/>
      <c r="EA72" s="191"/>
      <c r="EB72" s="190"/>
      <c r="EC72" s="190"/>
      <c r="ED72" s="190"/>
      <c r="EE72" s="190"/>
      <c r="EF72" s="190"/>
      <c r="EG72" s="192"/>
      <c r="EH72" s="190"/>
      <c r="EI72" s="190"/>
      <c r="EJ72" s="190"/>
      <c r="EK72" s="190"/>
      <c r="EL72" s="190"/>
      <c r="EM72" s="193"/>
      <c r="EN72" s="190"/>
      <c r="EO72" s="190"/>
      <c r="EP72" s="190"/>
      <c r="EQ72" s="190"/>
      <c r="ER72" s="190"/>
      <c r="ES72" s="192"/>
      <c r="ET72" s="190"/>
      <c r="EU72" s="190"/>
      <c r="EV72" s="190"/>
      <c r="EW72" s="190"/>
      <c r="EX72" s="190"/>
      <c r="EY72" s="193"/>
      <c r="EZ72" s="190"/>
      <c r="FA72" s="190"/>
      <c r="FB72" s="190"/>
      <c r="FC72" s="190"/>
      <c r="FD72" s="190"/>
      <c r="FE72" s="192"/>
      <c r="FF72" s="190"/>
      <c r="FG72" s="190"/>
      <c r="FH72" s="190"/>
      <c r="FI72" s="190"/>
      <c r="FJ72" s="190"/>
      <c r="FK72" s="193"/>
      <c r="FL72" s="190"/>
      <c r="FM72" s="190"/>
      <c r="FN72" s="190"/>
      <c r="FO72" s="190"/>
      <c r="FP72" s="190"/>
      <c r="FQ72" s="192"/>
      <c r="FR72" s="190"/>
      <c r="FS72" s="190"/>
      <c r="FT72" s="190"/>
      <c r="FU72" s="190"/>
      <c r="FV72" s="190"/>
      <c r="FW72" s="193"/>
      <c r="FX72" s="190"/>
      <c r="FY72" s="190"/>
      <c r="FZ72" s="190"/>
      <c r="GA72" s="190"/>
      <c r="GB72" s="190"/>
      <c r="GC72" s="194"/>
      <c r="GD72" s="189"/>
      <c r="GE72" s="190"/>
      <c r="GF72" s="190"/>
      <c r="GG72" s="190"/>
      <c r="GH72" s="190"/>
      <c r="GI72" s="191"/>
      <c r="GJ72" s="190"/>
      <c r="GK72" s="190"/>
      <c r="GL72" s="190"/>
      <c r="GM72" s="190"/>
      <c r="GN72" s="190"/>
      <c r="GO72" s="192"/>
      <c r="GP72" s="190"/>
      <c r="GQ72" s="190"/>
      <c r="GR72" s="190"/>
      <c r="GS72" s="190"/>
      <c r="GT72" s="190"/>
      <c r="GU72" s="193"/>
      <c r="GV72" s="190"/>
      <c r="GW72" s="190"/>
      <c r="GX72" s="190"/>
      <c r="GY72" s="190"/>
      <c r="GZ72" s="190"/>
      <c r="HA72" s="192"/>
      <c r="HB72" s="190"/>
      <c r="HC72" s="190"/>
      <c r="HD72" s="190"/>
      <c r="HE72" s="190"/>
      <c r="HF72" s="190"/>
      <c r="HG72" s="193"/>
      <c r="HH72" s="190"/>
      <c r="HI72" s="190"/>
      <c r="HJ72" s="190"/>
      <c r="HK72" s="190"/>
      <c r="HL72" s="190"/>
      <c r="HM72" s="192"/>
      <c r="HN72" s="190"/>
      <c r="HO72" s="190"/>
      <c r="HP72" s="190"/>
      <c r="HQ72" s="190"/>
      <c r="HR72" s="190"/>
      <c r="HS72" s="193"/>
      <c r="HT72" s="190"/>
      <c r="HU72" s="190"/>
      <c r="HV72" s="190"/>
      <c r="HW72" s="190"/>
      <c r="HX72" s="190"/>
      <c r="HY72" s="192"/>
      <c r="HZ72" s="190"/>
      <c r="IA72" s="190"/>
      <c r="IB72" s="190"/>
      <c r="IC72" s="190"/>
      <c r="ID72" s="190"/>
      <c r="IE72" s="193"/>
      <c r="IF72" s="190"/>
      <c r="IG72" s="190"/>
      <c r="IH72" s="190"/>
      <c r="II72" s="190"/>
      <c r="IJ72" s="190"/>
      <c r="IK72" s="194"/>
      <c r="IL72" s="189"/>
      <c r="IM72" s="190"/>
      <c r="IN72" s="190"/>
      <c r="IO72" s="190"/>
      <c r="IP72" s="190"/>
      <c r="IQ72" s="191"/>
      <c r="IR72" s="190"/>
      <c r="IS72" s="190"/>
      <c r="IT72" s="190"/>
      <c r="IU72" s="190"/>
      <c r="IV72" s="190"/>
      <c r="IW72" s="192"/>
      <c r="IX72" s="190"/>
      <c r="IY72" s="190"/>
      <c r="IZ72" s="190"/>
      <c r="JA72" s="190"/>
      <c r="JB72" s="190"/>
      <c r="JC72" s="193"/>
      <c r="JD72" s="190"/>
      <c r="JE72" s="190"/>
      <c r="JF72" s="190"/>
      <c r="JG72" s="190"/>
      <c r="JH72" s="190"/>
      <c r="JI72" s="192"/>
      <c r="JJ72" s="190"/>
      <c r="JK72" s="190"/>
      <c r="JL72" s="190"/>
      <c r="JM72" s="190"/>
      <c r="JN72" s="190"/>
      <c r="JO72" s="193"/>
      <c r="JP72" s="190"/>
      <c r="JQ72" s="190"/>
      <c r="JR72" s="190"/>
      <c r="JS72" s="190"/>
      <c r="JT72" s="190"/>
      <c r="JU72" s="192"/>
      <c r="JV72" s="190"/>
      <c r="JW72" s="190"/>
      <c r="JX72" s="190"/>
      <c r="JY72" s="190"/>
      <c r="JZ72" s="190"/>
      <c r="KA72" s="193"/>
      <c r="KB72" s="190"/>
      <c r="KC72" s="190"/>
      <c r="KD72" s="190"/>
      <c r="KE72" s="190"/>
      <c r="KF72" s="190"/>
      <c r="KG72" s="192"/>
      <c r="KH72" s="190"/>
      <c r="KI72" s="190"/>
      <c r="KJ72" s="190"/>
      <c r="KK72" s="190"/>
      <c r="KL72" s="190"/>
      <c r="KM72" s="193"/>
      <c r="KN72" s="190"/>
      <c r="KO72" s="190"/>
      <c r="KP72" s="190"/>
      <c r="KQ72" s="190"/>
      <c r="KR72" s="190"/>
      <c r="KS72" s="194"/>
      <c r="KT72" s="189"/>
      <c r="KU72" s="190"/>
      <c r="KV72" s="190"/>
      <c r="KW72" s="190"/>
      <c r="KX72" s="190"/>
      <c r="KY72" s="191"/>
      <c r="KZ72" s="190"/>
      <c r="LA72" s="190"/>
      <c r="LB72" s="190"/>
      <c r="LC72" s="190"/>
      <c r="LD72" s="190"/>
      <c r="LE72" s="192"/>
      <c r="LF72" s="190"/>
      <c r="LG72" s="190"/>
      <c r="LH72" s="190"/>
      <c r="LI72" s="190"/>
      <c r="LJ72" s="190"/>
      <c r="LK72" s="193"/>
      <c r="LL72" s="190"/>
      <c r="LM72" s="190"/>
      <c r="LN72" s="190"/>
      <c r="LO72" s="190"/>
      <c r="LP72" s="190"/>
      <c r="LQ72" s="192"/>
      <c r="LR72" s="190"/>
      <c r="LS72" s="190"/>
      <c r="LT72" s="190"/>
      <c r="LU72" s="190"/>
      <c r="LV72" s="190"/>
      <c r="LW72" s="193"/>
      <c r="LX72" s="190"/>
      <c r="LY72" s="190"/>
      <c r="LZ72" s="190"/>
      <c r="MA72" s="190"/>
      <c r="MB72" s="190"/>
      <c r="MC72" s="192"/>
      <c r="MD72" s="190"/>
      <c r="ME72" s="190"/>
      <c r="MF72" s="190"/>
      <c r="MG72" s="190"/>
      <c r="MH72" s="190"/>
      <c r="MI72" s="193"/>
      <c r="MJ72" s="190"/>
      <c r="MK72" s="190"/>
      <c r="ML72" s="190"/>
      <c r="MM72" s="190"/>
      <c r="MN72" s="190"/>
      <c r="MO72" s="192"/>
      <c r="MP72" s="190"/>
      <c r="MQ72" s="190"/>
      <c r="MR72" s="190"/>
      <c r="MS72" s="190"/>
      <c r="MT72" s="190"/>
      <c r="MU72" s="193"/>
      <c r="MV72" s="190"/>
      <c r="MW72" s="190"/>
      <c r="MX72" s="190"/>
      <c r="MY72" s="190"/>
      <c r="MZ72" s="190"/>
      <c r="NA72" s="194"/>
      <c r="NB72" s="189"/>
      <c r="NC72" s="190"/>
      <c r="ND72" s="190"/>
      <c r="NE72" s="190"/>
      <c r="NF72" s="190"/>
      <c r="NG72" s="191"/>
      <c r="NH72" s="190"/>
      <c r="NI72" s="190"/>
      <c r="NJ72" s="190"/>
      <c r="NK72" s="190"/>
      <c r="NL72" s="190"/>
      <c r="NM72" s="192"/>
      <c r="NN72" s="190"/>
      <c r="NO72" s="190"/>
      <c r="NP72" s="190"/>
      <c r="NQ72" s="190"/>
      <c r="NR72" s="190"/>
      <c r="NS72" s="193"/>
      <c r="NT72" s="190"/>
      <c r="NU72" s="190"/>
      <c r="NV72" s="190"/>
      <c r="NW72" s="190"/>
      <c r="NX72" s="190"/>
      <c r="NY72" s="192"/>
      <c r="NZ72" s="190"/>
      <c r="OA72" s="190"/>
      <c r="OB72" s="190"/>
      <c r="OC72" s="190"/>
      <c r="OD72" s="190"/>
      <c r="OE72" s="193"/>
      <c r="OF72" s="190"/>
      <c r="OG72" s="190"/>
      <c r="OH72" s="190"/>
      <c r="OI72" s="190"/>
      <c r="OJ72" s="190"/>
      <c r="OK72" s="192"/>
      <c r="OL72" s="190"/>
      <c r="OM72" s="190"/>
      <c r="ON72" s="190"/>
      <c r="OO72" s="190"/>
      <c r="OP72" s="190"/>
      <c r="OQ72" s="193"/>
      <c r="OR72" s="190"/>
      <c r="OS72" s="190"/>
      <c r="OT72" s="190"/>
      <c r="OU72" s="190"/>
      <c r="OV72" s="190"/>
      <c r="OW72" s="192"/>
      <c r="OX72" s="190"/>
      <c r="OY72" s="190"/>
      <c r="OZ72" s="190"/>
      <c r="PA72" s="190"/>
      <c r="PB72" s="190"/>
      <c r="PC72" s="193"/>
      <c r="PD72" s="190"/>
      <c r="PE72" s="190"/>
      <c r="PF72" s="190"/>
      <c r="PG72" s="190"/>
      <c r="PH72" s="190"/>
      <c r="PI72" s="194"/>
      <c r="PJ72" s="189"/>
      <c r="PK72" s="190"/>
      <c r="PL72" s="190"/>
      <c r="PM72" s="190"/>
      <c r="PN72" s="190"/>
      <c r="PO72" s="191"/>
      <c r="PP72" s="190"/>
      <c r="PQ72" s="190"/>
      <c r="PR72" s="190"/>
      <c r="PS72" s="190"/>
      <c r="PT72" s="190"/>
      <c r="PU72" s="192"/>
      <c r="PV72" s="190"/>
      <c r="PW72" s="190"/>
      <c r="PX72" s="190"/>
      <c r="PY72" s="190"/>
      <c r="PZ72" s="190"/>
      <c r="QA72" s="193"/>
      <c r="QB72" s="190"/>
      <c r="QC72" s="190"/>
      <c r="QD72" s="190"/>
      <c r="QE72" s="190"/>
      <c r="QF72" s="190"/>
      <c r="QG72" s="192"/>
      <c r="QH72" s="190"/>
      <c r="QI72" s="190"/>
      <c r="QJ72" s="190"/>
      <c r="QK72" s="190"/>
      <c r="QL72" s="190"/>
      <c r="QM72" s="193"/>
      <c r="QN72" s="190"/>
      <c r="QO72" s="190"/>
      <c r="QP72" s="190"/>
      <c r="QQ72" s="190"/>
      <c r="QR72" s="190"/>
      <c r="QS72" s="192"/>
      <c r="QT72" s="190"/>
      <c r="QU72" s="190"/>
      <c r="QV72" s="190"/>
      <c r="QW72" s="190"/>
      <c r="QX72" s="190"/>
      <c r="QY72" s="193"/>
      <c r="QZ72" s="190"/>
      <c r="RA72" s="190"/>
      <c r="RB72" s="190"/>
      <c r="RC72" s="190"/>
      <c r="RD72" s="190"/>
      <c r="RE72" s="192"/>
      <c r="RF72" s="190"/>
      <c r="RG72" s="190"/>
      <c r="RH72" s="190"/>
      <c r="RI72" s="190"/>
      <c r="RJ72" s="190"/>
      <c r="RK72" s="193"/>
      <c r="RL72" s="190"/>
      <c r="RM72" s="190"/>
      <c r="RN72" s="190"/>
      <c r="RO72" s="190"/>
      <c r="RP72" s="190"/>
      <c r="RQ72" s="194"/>
      <c r="RR72" s="189"/>
      <c r="RS72" s="190"/>
      <c r="RT72" s="190"/>
      <c r="RU72" s="190"/>
      <c r="RV72" s="190"/>
      <c r="RW72" s="191"/>
      <c r="RX72" s="190"/>
      <c r="RY72" s="190"/>
      <c r="RZ72" s="190"/>
      <c r="SA72" s="190"/>
      <c r="SB72" s="190"/>
      <c r="SC72" s="192"/>
      <c r="SD72" s="190"/>
      <c r="SE72" s="190"/>
      <c r="SF72" s="190"/>
      <c r="SG72" s="190"/>
      <c r="SH72" s="190"/>
      <c r="SI72" s="193"/>
      <c r="SJ72" s="190"/>
      <c r="SK72" s="190"/>
      <c r="SL72" s="190"/>
      <c r="SM72" s="190"/>
      <c r="SN72" s="190"/>
      <c r="SO72" s="192"/>
      <c r="SP72" s="190"/>
      <c r="SQ72" s="190"/>
      <c r="SR72" s="190"/>
      <c r="SS72" s="190"/>
      <c r="ST72" s="190"/>
      <c r="SU72" s="193"/>
      <c r="SV72" s="190"/>
      <c r="SW72" s="190"/>
      <c r="SX72" s="190"/>
      <c r="SY72" s="190"/>
      <c r="SZ72" s="190"/>
      <c r="TA72" s="192"/>
      <c r="TB72" s="190"/>
      <c r="TC72" s="190"/>
      <c r="TD72" s="190"/>
      <c r="TE72" s="190"/>
      <c r="TF72" s="190"/>
      <c r="TG72" s="193"/>
      <c r="TH72" s="190"/>
      <c r="TI72" s="190"/>
      <c r="TJ72" s="190"/>
      <c r="TK72" s="190"/>
      <c r="TL72" s="190"/>
      <c r="TM72" s="192"/>
      <c r="TN72" s="190"/>
      <c r="TO72" s="190"/>
      <c r="TP72" s="190"/>
      <c r="TQ72" s="190"/>
      <c r="TR72" s="190"/>
      <c r="TS72" s="193"/>
      <c r="TT72" s="190"/>
      <c r="TU72" s="190"/>
      <c r="TV72" s="190"/>
      <c r="TW72" s="190"/>
      <c r="TX72" s="190"/>
      <c r="TY72" s="194"/>
      <c r="TZ72" s="189"/>
      <c r="UA72" s="190"/>
      <c r="UB72" s="190"/>
      <c r="UC72" s="190"/>
      <c r="UD72" s="190"/>
      <c r="UE72" s="191"/>
      <c r="UF72" s="190"/>
      <c r="UG72" s="190"/>
      <c r="UH72" s="190"/>
      <c r="UI72" s="190"/>
      <c r="UJ72" s="190"/>
      <c r="UK72" s="192"/>
      <c r="UL72" s="190"/>
      <c r="UM72" s="190"/>
      <c r="UN72" s="190"/>
      <c r="UO72" s="190"/>
      <c r="UP72" s="190"/>
      <c r="UQ72" s="193"/>
      <c r="UR72" s="190"/>
      <c r="US72" s="190"/>
      <c r="UT72" s="190"/>
      <c r="UU72" s="190"/>
      <c r="UV72" s="190"/>
      <c r="UW72" s="192"/>
      <c r="UX72" s="190"/>
      <c r="UY72" s="190"/>
      <c r="UZ72" s="190"/>
      <c r="VA72" s="190"/>
      <c r="VB72" s="190"/>
      <c r="VC72" s="193"/>
      <c r="VD72" s="190"/>
      <c r="VE72" s="190"/>
      <c r="VF72" s="190"/>
      <c r="VG72" s="190"/>
      <c r="VH72" s="190"/>
      <c r="VI72" s="192"/>
      <c r="VJ72" s="190"/>
      <c r="VK72" s="190"/>
      <c r="VL72" s="190"/>
      <c r="VM72" s="190"/>
      <c r="VN72" s="190"/>
      <c r="VO72" s="193"/>
      <c r="VP72" s="190"/>
      <c r="VQ72" s="190"/>
      <c r="VR72" s="190"/>
      <c r="VS72" s="190"/>
      <c r="VT72" s="190"/>
      <c r="VU72" s="192"/>
      <c r="VV72" s="190"/>
      <c r="VW72" s="190"/>
      <c r="VX72" s="190"/>
      <c r="VY72" s="190"/>
      <c r="VZ72" s="190"/>
      <c r="WA72" s="193"/>
      <c r="WB72" s="190"/>
      <c r="WC72" s="190"/>
      <c r="WD72" s="190"/>
      <c r="WE72" s="190"/>
      <c r="WF72" s="190"/>
      <c r="WG72" s="194"/>
      <c r="WH72" s="189"/>
      <c r="WI72" s="190"/>
      <c r="WJ72" s="190"/>
      <c r="WK72" s="190"/>
      <c r="WL72" s="190"/>
      <c r="WM72" s="191"/>
      <c r="WN72" s="190"/>
      <c r="WO72" s="190"/>
      <c r="WP72" s="190"/>
      <c r="WQ72" s="190"/>
      <c r="WR72" s="190"/>
      <c r="WS72" s="192"/>
      <c r="WT72" s="190"/>
      <c r="WU72" s="190"/>
      <c r="WV72" s="190"/>
      <c r="WW72" s="190"/>
      <c r="WX72" s="190"/>
      <c r="WY72" s="193"/>
      <c r="WZ72" s="190"/>
      <c r="XA72" s="190"/>
      <c r="XB72" s="190"/>
      <c r="XC72" s="190"/>
      <c r="XD72" s="190"/>
      <c r="XE72" s="192"/>
      <c r="XF72" s="190"/>
      <c r="XG72" s="190"/>
      <c r="XH72" s="190"/>
      <c r="XI72" s="190"/>
      <c r="XJ72" s="190"/>
      <c r="XK72" s="193"/>
      <c r="XL72" s="190"/>
      <c r="XM72" s="190"/>
      <c r="XN72" s="190"/>
      <c r="XO72" s="190"/>
      <c r="XP72" s="190"/>
      <c r="XQ72" s="192"/>
      <c r="XR72" s="190"/>
      <c r="XS72" s="190"/>
      <c r="XT72" s="190"/>
      <c r="XU72" s="190"/>
      <c r="XV72" s="190"/>
      <c r="XW72" s="193"/>
      <c r="XX72" s="190"/>
      <c r="XY72" s="190"/>
      <c r="XZ72" s="190"/>
      <c r="YA72" s="190"/>
      <c r="YB72" s="190"/>
      <c r="YC72" s="192"/>
      <c r="YD72" s="190"/>
      <c r="YE72" s="190"/>
      <c r="YF72" s="190"/>
      <c r="YG72" s="190"/>
      <c r="YH72" s="190"/>
      <c r="YI72" s="193"/>
      <c r="YJ72" s="190"/>
      <c r="YK72" s="190"/>
      <c r="YL72" s="190"/>
      <c r="YM72" s="190"/>
      <c r="YN72" s="190"/>
      <c r="YO72" s="194"/>
      <c r="YP72" s="189"/>
      <c r="YQ72" s="190"/>
      <c r="YR72" s="190"/>
      <c r="YS72" s="190"/>
      <c r="YT72" s="190"/>
      <c r="YU72" s="191"/>
      <c r="YV72" s="190"/>
      <c r="YW72" s="190"/>
      <c r="YX72" s="190"/>
      <c r="YY72" s="190"/>
      <c r="YZ72" s="190"/>
      <c r="ZA72" s="192"/>
      <c r="ZB72" s="190"/>
      <c r="ZC72" s="190"/>
      <c r="ZD72" s="190"/>
      <c r="ZE72" s="190"/>
      <c r="ZF72" s="190"/>
      <c r="ZG72" s="193"/>
      <c r="ZH72" s="190"/>
      <c r="ZI72" s="190"/>
      <c r="ZJ72" s="190"/>
      <c r="ZK72" s="190"/>
      <c r="ZL72" s="190"/>
      <c r="ZM72" s="192"/>
      <c r="ZN72" s="190"/>
      <c r="ZO72" s="190"/>
      <c r="ZP72" s="190"/>
      <c r="ZQ72" s="190"/>
      <c r="ZR72" s="190"/>
      <c r="ZS72" s="193"/>
      <c r="ZT72" s="190"/>
      <c r="ZU72" s="190"/>
      <c r="ZV72" s="190"/>
      <c r="ZW72" s="190"/>
      <c r="ZX72" s="190"/>
      <c r="ZY72" s="192"/>
      <c r="ZZ72" s="190"/>
      <c r="AAA72" s="190"/>
      <c r="AAB72" s="190"/>
      <c r="AAC72" s="190"/>
      <c r="AAD72" s="190"/>
      <c r="AAE72" s="193"/>
      <c r="AAF72" s="190"/>
      <c r="AAG72" s="190"/>
      <c r="AAH72" s="190"/>
      <c r="AAI72" s="190"/>
      <c r="AAJ72" s="190"/>
      <c r="AAK72" s="192"/>
      <c r="AAL72" s="190"/>
      <c r="AAM72" s="190"/>
      <c r="AAN72" s="190"/>
      <c r="AAO72" s="190"/>
      <c r="AAP72" s="190"/>
      <c r="AAQ72" s="193"/>
      <c r="AAR72" s="190"/>
      <c r="AAS72" s="190"/>
      <c r="AAT72" s="190"/>
      <c r="AAU72" s="190"/>
      <c r="AAV72" s="190"/>
      <c r="AAW72" s="194"/>
      <c r="AAX72" s="189"/>
      <c r="AAY72" s="190"/>
      <c r="AAZ72" s="190"/>
      <c r="ABA72" s="190"/>
      <c r="ABB72" s="190"/>
      <c r="ABC72" s="191"/>
      <c r="ABD72" s="190"/>
      <c r="ABE72" s="190"/>
      <c r="ABF72" s="190"/>
      <c r="ABG72" s="190"/>
      <c r="ABH72" s="190"/>
      <c r="ABI72" s="192"/>
      <c r="ABJ72" s="190"/>
      <c r="ABK72" s="190"/>
      <c r="ABL72" s="190"/>
      <c r="ABM72" s="190"/>
      <c r="ABN72" s="190"/>
      <c r="ABO72" s="193"/>
      <c r="ABP72" s="190"/>
      <c r="ABQ72" s="190"/>
      <c r="ABR72" s="190"/>
      <c r="ABS72" s="190"/>
      <c r="ABT72" s="190"/>
      <c r="ABU72" s="192"/>
      <c r="ABV72" s="190"/>
      <c r="ABW72" s="190"/>
      <c r="ABX72" s="190"/>
      <c r="ABY72" s="190"/>
      <c r="ABZ72" s="190"/>
      <c r="ACA72" s="193"/>
      <c r="ACB72" s="190"/>
      <c r="ACC72" s="190"/>
      <c r="ACD72" s="190"/>
      <c r="ACE72" s="190"/>
      <c r="ACF72" s="190"/>
      <c r="ACG72" s="192"/>
      <c r="ACH72" s="190"/>
      <c r="ACI72" s="190"/>
      <c r="ACJ72" s="190"/>
      <c r="ACK72" s="190"/>
      <c r="ACL72" s="190"/>
      <c r="ACM72" s="193"/>
      <c r="ACN72" s="190"/>
      <c r="ACO72" s="190"/>
      <c r="ACP72" s="190"/>
      <c r="ACQ72" s="190"/>
      <c r="ACR72" s="190"/>
      <c r="ACS72" s="192"/>
      <c r="ACT72" s="190"/>
      <c r="ACU72" s="190"/>
      <c r="ACV72" s="190"/>
      <c r="ACW72" s="190"/>
      <c r="ACX72" s="190"/>
      <c r="ACY72" s="193"/>
      <c r="ACZ72" s="190"/>
      <c r="ADA72" s="190"/>
      <c r="ADB72" s="190"/>
      <c r="ADC72" s="190"/>
      <c r="ADD72" s="190"/>
      <c r="ADE72" s="194"/>
      <c r="ADF72" s="189"/>
      <c r="ADG72" s="190"/>
      <c r="ADH72" s="190"/>
      <c r="ADI72" s="190"/>
      <c r="ADJ72" s="190"/>
      <c r="ADK72" s="191"/>
      <c r="ADL72" s="190"/>
      <c r="ADM72" s="190"/>
      <c r="ADN72" s="190"/>
      <c r="ADO72" s="190"/>
      <c r="ADP72" s="190"/>
      <c r="ADQ72" s="192"/>
      <c r="ADR72" s="190"/>
      <c r="ADS72" s="190"/>
      <c r="ADT72" s="190"/>
      <c r="ADU72" s="190"/>
      <c r="ADV72" s="190"/>
      <c r="ADW72" s="193"/>
      <c r="ADX72" s="190"/>
      <c r="ADY72" s="190"/>
      <c r="ADZ72" s="190"/>
      <c r="AEA72" s="190"/>
      <c r="AEB72" s="190"/>
      <c r="AEC72" s="192"/>
      <c r="AED72" s="190"/>
      <c r="AEE72" s="190"/>
      <c r="AEF72" s="190"/>
      <c r="AEG72" s="190"/>
      <c r="AEH72" s="190"/>
      <c r="AEI72" s="193"/>
      <c r="AEJ72" s="190"/>
      <c r="AEK72" s="190"/>
      <c r="AEL72" s="190"/>
      <c r="AEM72" s="190"/>
      <c r="AEN72" s="190"/>
      <c r="AEO72" s="192"/>
      <c r="AEP72" s="190"/>
      <c r="AEQ72" s="190"/>
      <c r="AER72" s="190"/>
      <c r="AES72" s="190"/>
      <c r="AET72" s="190"/>
      <c r="AEU72" s="193"/>
      <c r="AEV72" s="190"/>
      <c r="AEW72" s="190"/>
      <c r="AEX72" s="190"/>
      <c r="AEY72" s="190"/>
      <c r="AEZ72" s="190"/>
      <c r="AFA72" s="192"/>
      <c r="AFB72" s="190"/>
      <c r="AFC72" s="190"/>
      <c r="AFD72" s="190"/>
      <c r="AFE72" s="190"/>
      <c r="AFF72" s="190"/>
      <c r="AFG72" s="193"/>
      <c r="AFH72" s="190"/>
      <c r="AFI72" s="190"/>
      <c r="AFJ72" s="190"/>
      <c r="AFK72" s="190"/>
      <c r="AFL72" s="190"/>
      <c r="AFM72" s="194"/>
      <c r="AFN72" s="189"/>
      <c r="AFO72" s="190"/>
      <c r="AFP72" s="190"/>
      <c r="AFQ72" s="190"/>
      <c r="AFR72" s="190"/>
      <c r="AFS72" s="191"/>
      <c r="AFT72" s="190"/>
      <c r="AFU72" s="190"/>
      <c r="AFV72" s="190"/>
      <c r="AFW72" s="190"/>
      <c r="AFX72" s="190"/>
      <c r="AFY72" s="192"/>
      <c r="AFZ72" s="190"/>
      <c r="AGA72" s="190"/>
      <c r="AGB72" s="190"/>
      <c r="AGC72" s="190"/>
      <c r="AGD72" s="190"/>
      <c r="AGE72" s="193"/>
      <c r="AGF72" s="190"/>
      <c r="AGG72" s="190"/>
      <c r="AGH72" s="190"/>
      <c r="AGI72" s="190"/>
      <c r="AGJ72" s="190"/>
      <c r="AGK72" s="192"/>
      <c r="AGL72" s="190"/>
      <c r="AGM72" s="190"/>
      <c r="AGN72" s="190"/>
      <c r="AGO72" s="190"/>
      <c r="AGP72" s="190"/>
      <c r="AGQ72" s="193"/>
      <c r="AGR72" s="190"/>
      <c r="AGS72" s="190"/>
      <c r="AGT72" s="190"/>
      <c r="AGU72" s="190"/>
      <c r="AGV72" s="190"/>
      <c r="AGW72" s="192"/>
      <c r="AGX72" s="190"/>
      <c r="AGY72" s="190"/>
      <c r="AGZ72" s="190"/>
      <c r="AHA72" s="190"/>
      <c r="AHB72" s="190"/>
      <c r="AHC72" s="193"/>
      <c r="AHD72" s="190"/>
      <c r="AHE72" s="190"/>
      <c r="AHF72" s="190"/>
      <c r="AHG72" s="190"/>
      <c r="AHH72" s="190"/>
      <c r="AHI72" s="192"/>
      <c r="AHJ72" s="190"/>
      <c r="AHK72" s="190"/>
      <c r="AHL72" s="190"/>
      <c r="AHM72" s="190"/>
      <c r="AHN72" s="190"/>
      <c r="AHO72" s="193"/>
      <c r="AHP72" s="190"/>
      <c r="AHQ72" s="190"/>
      <c r="AHR72" s="190"/>
      <c r="AHS72" s="190"/>
      <c r="AHT72" s="190"/>
      <c r="AHU72" s="194"/>
      <c r="AHV72" s="189"/>
      <c r="AHW72" s="190"/>
      <c r="AHX72" s="190"/>
      <c r="AHY72" s="190"/>
      <c r="AHZ72" s="190"/>
      <c r="AIA72" s="191"/>
      <c r="AIB72" s="190"/>
      <c r="AIC72" s="190"/>
      <c r="AID72" s="190"/>
      <c r="AIE72" s="190"/>
      <c r="AIF72" s="190"/>
      <c r="AIG72" s="192"/>
      <c r="AIH72" s="190"/>
      <c r="AII72" s="190"/>
      <c r="AIJ72" s="190"/>
      <c r="AIK72" s="190"/>
      <c r="AIL72" s="190"/>
      <c r="AIM72" s="193"/>
      <c r="AIN72" s="190"/>
      <c r="AIO72" s="190"/>
      <c r="AIP72" s="190"/>
      <c r="AIQ72" s="190"/>
      <c r="AIR72" s="190"/>
      <c r="AIS72" s="192"/>
      <c r="AIT72" s="190"/>
      <c r="AIU72" s="190"/>
      <c r="AIV72" s="190"/>
      <c r="AIW72" s="190"/>
      <c r="AIX72" s="190"/>
      <c r="AIY72" s="193"/>
      <c r="AIZ72" s="190"/>
      <c r="AJA72" s="190"/>
      <c r="AJB72" s="190"/>
      <c r="AJC72" s="190"/>
      <c r="AJD72" s="190"/>
      <c r="AJE72" s="192"/>
      <c r="AJF72" s="190"/>
      <c r="AJG72" s="190"/>
      <c r="AJH72" s="190"/>
      <c r="AJI72" s="190"/>
      <c r="AJJ72" s="190"/>
      <c r="AJK72" s="193"/>
      <c r="AJL72" s="190"/>
      <c r="AJM72" s="190"/>
      <c r="AJN72" s="190"/>
      <c r="AJO72" s="190"/>
      <c r="AJP72" s="190"/>
      <c r="AJQ72" s="192"/>
      <c r="AJR72" s="190"/>
      <c r="AJS72" s="190"/>
      <c r="AJT72" s="190"/>
      <c r="AJU72" s="190"/>
      <c r="AJV72" s="190"/>
      <c r="AJW72" s="193"/>
      <c r="AJX72" s="190"/>
      <c r="AJY72" s="190"/>
      <c r="AJZ72" s="190"/>
      <c r="AKA72" s="190"/>
      <c r="AKB72" s="190"/>
      <c r="AKC72" s="194"/>
      <c r="AKD72" s="189"/>
      <c r="AKE72" s="190"/>
      <c r="AKF72" s="190"/>
      <c r="AKG72" s="190"/>
      <c r="AKH72" s="190"/>
      <c r="AKI72" s="191"/>
      <c r="AKJ72" s="190"/>
      <c r="AKK72" s="190"/>
      <c r="AKL72" s="190"/>
      <c r="AKM72" s="190"/>
      <c r="AKN72" s="190"/>
      <c r="AKO72" s="192"/>
      <c r="AKP72" s="190"/>
      <c r="AKQ72" s="190"/>
      <c r="AKR72" s="190"/>
      <c r="AKS72" s="190"/>
      <c r="AKT72" s="190"/>
      <c r="AKU72" s="193"/>
      <c r="AKV72" s="190"/>
      <c r="AKW72" s="190"/>
      <c r="AKX72" s="190"/>
      <c r="AKY72" s="190"/>
      <c r="AKZ72" s="190"/>
      <c r="ALA72" s="192"/>
      <c r="ALB72" s="190"/>
      <c r="ALC72" s="190"/>
      <c r="ALD72" s="190"/>
      <c r="ALE72" s="190"/>
      <c r="ALF72" s="190"/>
      <c r="ALG72" s="193"/>
      <c r="ALH72" s="190"/>
      <c r="ALI72" s="190"/>
      <c r="ALJ72" s="190"/>
      <c r="ALK72" s="190"/>
      <c r="ALL72" s="190"/>
      <c r="ALM72" s="192"/>
      <c r="ALN72" s="190"/>
      <c r="ALO72" s="190"/>
      <c r="ALP72" s="190"/>
      <c r="ALQ72" s="190"/>
      <c r="ALR72" s="190"/>
      <c r="ALS72" s="193"/>
      <c r="ALT72" s="190"/>
      <c r="ALU72" s="190"/>
      <c r="ALV72" s="190"/>
      <c r="ALW72" s="190"/>
      <c r="ALX72" s="190"/>
      <c r="ALY72" s="192"/>
      <c r="ALZ72" s="190"/>
      <c r="AMA72" s="190"/>
      <c r="AMB72" s="190"/>
      <c r="AMC72" s="190"/>
      <c r="AMD72" s="190"/>
      <c r="AME72" s="193"/>
      <c r="AMF72" s="190"/>
      <c r="AMG72" s="190"/>
      <c r="AMH72" s="190"/>
      <c r="AMI72" s="190"/>
      <c r="AMJ72" s="190"/>
      <c r="AMK72" s="194"/>
      <c r="AML72" s="189"/>
      <c r="AMM72" s="190"/>
      <c r="AMN72" s="190"/>
      <c r="AMO72" s="190"/>
      <c r="AMP72" s="190"/>
      <c r="AMQ72" s="191"/>
      <c r="AMR72" s="190"/>
      <c r="AMS72" s="190"/>
      <c r="AMT72" s="190"/>
      <c r="AMU72" s="190"/>
      <c r="AMV72" s="190"/>
      <c r="AMW72" s="192"/>
      <c r="AMX72" s="190"/>
      <c r="AMY72" s="190"/>
      <c r="AMZ72" s="190"/>
      <c r="ANA72" s="190"/>
      <c r="ANB72" s="190"/>
      <c r="ANC72" s="193"/>
      <c r="AND72" s="190"/>
      <c r="ANE72" s="190"/>
      <c r="ANF72" s="190"/>
      <c r="ANG72" s="190"/>
      <c r="ANH72" s="190"/>
      <c r="ANI72" s="192"/>
      <c r="ANJ72" s="190"/>
      <c r="ANK72" s="190"/>
      <c r="ANL72" s="190"/>
      <c r="ANM72" s="190"/>
      <c r="ANN72" s="190"/>
      <c r="ANO72" s="193"/>
      <c r="ANP72" s="190"/>
      <c r="ANQ72" s="190"/>
      <c r="ANR72" s="190"/>
      <c r="ANS72" s="190"/>
      <c r="ANT72" s="190"/>
      <c r="ANU72" s="192"/>
      <c r="ANV72" s="190"/>
      <c r="ANW72" s="190"/>
      <c r="ANX72" s="190"/>
      <c r="ANY72" s="190"/>
      <c r="ANZ72" s="190"/>
      <c r="AOA72" s="193"/>
      <c r="AOB72" s="190"/>
      <c r="AOC72" s="190"/>
      <c r="AOD72" s="190"/>
      <c r="AOE72" s="190"/>
      <c r="AOF72" s="190"/>
      <c r="AOG72" s="192"/>
      <c r="AOH72" s="190"/>
      <c r="AOI72" s="190"/>
      <c r="AOJ72" s="190"/>
      <c r="AOK72" s="190"/>
      <c r="AOL72" s="190"/>
      <c r="AOM72" s="193"/>
      <c r="AON72" s="190"/>
      <c r="AOO72" s="190"/>
      <c r="AOP72" s="190"/>
      <c r="AOQ72" s="190"/>
      <c r="AOR72" s="190"/>
      <c r="AOS72" s="194"/>
      <c r="AOT72" s="189"/>
      <c r="AOU72" s="190"/>
      <c r="AOV72" s="190"/>
      <c r="AOW72" s="190"/>
      <c r="AOX72" s="190"/>
      <c r="AOY72" s="191"/>
      <c r="AOZ72" s="190"/>
      <c r="APA72" s="190"/>
      <c r="APB72" s="190"/>
      <c r="APC72" s="190"/>
      <c r="APD72" s="190"/>
      <c r="APE72" s="192"/>
      <c r="APF72" s="190"/>
      <c r="APG72" s="190"/>
      <c r="APH72" s="190"/>
      <c r="API72" s="190"/>
      <c r="APJ72" s="190"/>
      <c r="APK72" s="193"/>
      <c r="APL72" s="190"/>
      <c r="APM72" s="190"/>
      <c r="APN72" s="190"/>
      <c r="APO72" s="190"/>
      <c r="APP72" s="190"/>
      <c r="APQ72" s="192"/>
      <c r="APR72" s="190"/>
      <c r="APS72" s="190"/>
      <c r="APT72" s="190"/>
      <c r="APU72" s="190"/>
      <c r="APV72" s="190"/>
      <c r="APW72" s="193"/>
      <c r="APX72" s="190"/>
      <c r="APY72" s="190"/>
      <c r="APZ72" s="190"/>
      <c r="AQA72" s="190"/>
      <c r="AQB72" s="190"/>
      <c r="AQC72" s="192"/>
      <c r="AQD72" s="190"/>
      <c r="AQE72" s="190"/>
      <c r="AQF72" s="190"/>
      <c r="AQG72" s="190"/>
      <c r="AQH72" s="190"/>
      <c r="AQI72" s="193"/>
      <c r="AQJ72" s="190"/>
      <c r="AQK72" s="190"/>
      <c r="AQL72" s="190"/>
      <c r="AQM72" s="190"/>
      <c r="AQN72" s="190"/>
      <c r="AQO72" s="192"/>
      <c r="AQP72" s="190"/>
      <c r="AQQ72" s="190"/>
      <c r="AQR72" s="190"/>
      <c r="AQS72" s="190"/>
      <c r="AQT72" s="190"/>
      <c r="AQU72" s="193"/>
      <c r="AQV72" s="190"/>
      <c r="AQW72" s="190"/>
      <c r="AQX72" s="190"/>
      <c r="AQY72" s="190"/>
      <c r="AQZ72" s="190"/>
      <c r="ARA72" s="194"/>
      <c r="ARB72" s="189"/>
      <c r="ARC72" s="190"/>
      <c r="ARD72" s="190"/>
      <c r="ARE72" s="190"/>
      <c r="ARF72" s="190"/>
      <c r="ARG72" s="191"/>
      <c r="ARH72" s="190"/>
      <c r="ARI72" s="190"/>
      <c r="ARJ72" s="190"/>
      <c r="ARK72" s="190"/>
      <c r="ARL72" s="190"/>
      <c r="ARM72" s="192"/>
      <c r="ARN72" s="190"/>
      <c r="ARO72" s="190"/>
      <c r="ARP72" s="190"/>
      <c r="ARQ72" s="190"/>
      <c r="ARR72" s="190"/>
      <c r="ARS72" s="193"/>
      <c r="ART72" s="190"/>
      <c r="ARU72" s="190"/>
      <c r="ARV72" s="190"/>
      <c r="ARW72" s="190"/>
      <c r="ARX72" s="190"/>
      <c r="ARY72" s="192"/>
      <c r="ARZ72" s="190"/>
      <c r="ASA72" s="190"/>
      <c r="ASB72" s="190"/>
      <c r="ASC72" s="190"/>
      <c r="ASD72" s="190"/>
      <c r="ASE72" s="193"/>
      <c r="ASF72" s="190"/>
      <c r="ASG72" s="190"/>
      <c r="ASH72" s="190"/>
      <c r="ASI72" s="190"/>
      <c r="ASJ72" s="190"/>
      <c r="ASK72" s="192"/>
      <c r="ASL72" s="190"/>
      <c r="ASM72" s="190"/>
      <c r="ASN72" s="190"/>
      <c r="ASO72" s="190"/>
      <c r="ASP72" s="190"/>
      <c r="ASQ72" s="193"/>
      <c r="ASR72" s="190"/>
      <c r="ASS72" s="190"/>
      <c r="AST72" s="190"/>
      <c r="ASU72" s="190"/>
      <c r="ASV72" s="190"/>
      <c r="ASW72" s="192"/>
      <c r="ASX72" s="190"/>
      <c r="ASY72" s="190"/>
      <c r="ASZ72" s="190"/>
      <c r="ATA72" s="190"/>
      <c r="ATB72" s="190"/>
      <c r="ATC72" s="193"/>
      <c r="ATD72" s="190"/>
      <c r="ATE72" s="190"/>
      <c r="ATF72" s="190"/>
      <c r="ATG72" s="190"/>
      <c r="ATH72" s="190"/>
      <c r="ATI72" s="194"/>
      <c r="ATJ72" s="189"/>
      <c r="ATK72" s="190"/>
      <c r="ATL72" s="190"/>
      <c r="ATM72" s="190"/>
      <c r="ATN72" s="190"/>
      <c r="ATO72" s="191"/>
      <c r="ATP72" s="190"/>
      <c r="ATQ72" s="190"/>
      <c r="ATR72" s="190"/>
      <c r="ATS72" s="190"/>
      <c r="ATT72" s="190"/>
      <c r="ATU72" s="192"/>
      <c r="ATV72" s="190"/>
      <c r="ATW72" s="190"/>
      <c r="ATX72" s="190"/>
      <c r="ATY72" s="190"/>
      <c r="ATZ72" s="190"/>
      <c r="AUA72" s="193"/>
      <c r="AUB72" s="190"/>
      <c r="AUC72" s="190"/>
      <c r="AUD72" s="190"/>
      <c r="AUE72" s="190"/>
      <c r="AUF72" s="190"/>
      <c r="AUG72" s="192"/>
      <c r="AUH72" s="190"/>
      <c r="AUI72" s="190"/>
      <c r="AUJ72" s="190"/>
      <c r="AUK72" s="190"/>
      <c r="AUL72" s="190"/>
      <c r="AUM72" s="193"/>
      <c r="AUN72" s="190"/>
      <c r="AUO72" s="190"/>
      <c r="AUP72" s="190"/>
      <c r="AUQ72" s="190"/>
      <c r="AUR72" s="190"/>
      <c r="AUS72" s="192"/>
      <c r="AUT72" s="190"/>
      <c r="AUU72" s="190"/>
      <c r="AUV72" s="190"/>
      <c r="AUW72" s="190"/>
      <c r="AUX72" s="190"/>
      <c r="AUY72" s="193"/>
      <c r="AUZ72" s="190"/>
      <c r="AVA72" s="190"/>
      <c r="AVB72" s="190"/>
      <c r="AVC72" s="190"/>
      <c r="AVD72" s="190"/>
      <c r="AVE72" s="192"/>
      <c r="AVF72" s="190"/>
      <c r="AVG72" s="190"/>
      <c r="AVH72" s="190"/>
      <c r="AVI72" s="190"/>
      <c r="AVJ72" s="190"/>
      <c r="AVK72" s="193"/>
      <c r="AVL72" s="190"/>
      <c r="AVM72" s="190"/>
      <c r="AVN72" s="190"/>
      <c r="AVO72" s="190"/>
      <c r="AVP72" s="190"/>
      <c r="AVQ72" s="194"/>
      <c r="AVR72" s="189"/>
      <c r="AVS72" s="190"/>
      <c r="AVT72" s="190"/>
      <c r="AVU72" s="190"/>
      <c r="AVV72" s="190"/>
      <c r="AVW72" s="191"/>
      <c r="AVX72" s="190"/>
      <c r="AVY72" s="190"/>
      <c r="AVZ72" s="190"/>
      <c r="AWA72" s="190"/>
      <c r="AWB72" s="190"/>
      <c r="AWC72" s="192"/>
      <c r="AWD72" s="190"/>
      <c r="AWE72" s="190"/>
      <c r="AWF72" s="190"/>
      <c r="AWG72" s="190"/>
      <c r="AWH72" s="190"/>
      <c r="AWI72" s="193"/>
      <c r="AWJ72" s="190"/>
      <c r="AWK72" s="190"/>
      <c r="AWL72" s="190"/>
      <c r="AWM72" s="190"/>
      <c r="AWN72" s="190"/>
      <c r="AWO72" s="192"/>
      <c r="AWP72" s="190"/>
      <c r="AWQ72" s="190"/>
      <c r="AWR72" s="190"/>
      <c r="AWS72" s="190"/>
      <c r="AWT72" s="190"/>
      <c r="AWU72" s="193"/>
      <c r="AWV72" s="190"/>
      <c r="AWW72" s="190"/>
      <c r="AWX72" s="190"/>
      <c r="AWY72" s="190"/>
      <c r="AWZ72" s="190"/>
      <c r="AXA72" s="192"/>
      <c r="AXB72" s="190"/>
      <c r="AXC72" s="190"/>
      <c r="AXD72" s="190"/>
      <c r="AXE72" s="190"/>
      <c r="AXF72" s="190"/>
      <c r="AXG72" s="193"/>
      <c r="AXH72" s="190"/>
      <c r="AXI72" s="190"/>
      <c r="AXJ72" s="190"/>
      <c r="AXK72" s="190"/>
      <c r="AXL72" s="190"/>
      <c r="AXM72" s="192"/>
      <c r="AXN72" s="190"/>
      <c r="AXO72" s="190"/>
      <c r="AXP72" s="190"/>
      <c r="AXQ72" s="190"/>
      <c r="AXR72" s="190"/>
      <c r="AXS72" s="193"/>
      <c r="AXT72" s="190"/>
      <c r="AXU72" s="190"/>
      <c r="AXV72" s="190"/>
      <c r="AXW72" s="190"/>
      <c r="AXX72" s="190"/>
      <c r="AXY72" s="194"/>
      <c r="AXZ72" s="189"/>
      <c r="AYA72" s="190"/>
      <c r="AYB72" s="190"/>
      <c r="AYC72" s="190"/>
      <c r="AYD72" s="190"/>
      <c r="AYE72" s="191"/>
      <c r="AYF72" s="190"/>
      <c r="AYG72" s="190"/>
      <c r="AYH72" s="190"/>
      <c r="AYI72" s="190"/>
      <c r="AYJ72" s="190"/>
      <c r="AYK72" s="192"/>
      <c r="AYL72" s="190"/>
      <c r="AYM72" s="190"/>
      <c r="AYN72" s="190"/>
      <c r="AYO72" s="190"/>
      <c r="AYP72" s="190"/>
      <c r="AYQ72" s="193"/>
      <c r="AYR72" s="190"/>
      <c r="AYS72" s="190"/>
      <c r="AYT72" s="190"/>
      <c r="AYU72" s="190"/>
      <c r="AYV72" s="190"/>
      <c r="AYW72" s="192"/>
      <c r="AYX72" s="190"/>
      <c r="AYY72" s="190"/>
      <c r="AYZ72" s="190"/>
      <c r="AZA72" s="190"/>
      <c r="AZB72" s="190"/>
      <c r="AZC72" s="193"/>
      <c r="AZD72" s="190"/>
      <c r="AZE72" s="190"/>
      <c r="AZF72" s="190"/>
      <c r="AZG72" s="190"/>
      <c r="AZH72" s="190"/>
      <c r="AZI72" s="192"/>
      <c r="AZJ72" s="190"/>
      <c r="AZK72" s="190"/>
      <c r="AZL72" s="190"/>
      <c r="AZM72" s="190"/>
      <c r="AZN72" s="190"/>
      <c r="AZO72" s="193"/>
      <c r="AZP72" s="190"/>
      <c r="AZQ72" s="190"/>
      <c r="AZR72" s="190"/>
      <c r="AZS72" s="190"/>
      <c r="AZT72" s="190"/>
      <c r="AZU72" s="192"/>
      <c r="AZV72" s="190"/>
      <c r="AZW72" s="190"/>
      <c r="AZX72" s="190"/>
      <c r="AZY72" s="190"/>
      <c r="AZZ72" s="190"/>
      <c r="BAA72" s="193"/>
      <c r="BAB72" s="190"/>
      <c r="BAC72" s="190"/>
      <c r="BAD72" s="190"/>
      <c r="BAE72" s="190"/>
      <c r="BAF72" s="190"/>
      <c r="BAG72" s="194"/>
      <c r="BAH72" s="189"/>
      <c r="BAI72" s="190"/>
      <c r="BAJ72" s="190"/>
      <c r="BAK72" s="190"/>
      <c r="BAL72" s="190"/>
      <c r="BAM72" s="191"/>
      <c r="BAN72" s="190"/>
      <c r="BAO72" s="190"/>
      <c r="BAP72" s="190"/>
      <c r="BAQ72" s="190"/>
      <c r="BAR72" s="190"/>
      <c r="BAS72" s="192"/>
      <c r="BAT72" s="190"/>
      <c r="BAU72" s="190"/>
      <c r="BAV72" s="190"/>
      <c r="BAW72" s="190"/>
      <c r="BAX72" s="190"/>
      <c r="BAY72" s="193"/>
      <c r="BAZ72" s="190"/>
      <c r="BBA72" s="190"/>
      <c r="BBB72" s="190"/>
      <c r="BBC72" s="190"/>
      <c r="BBD72" s="190"/>
      <c r="BBE72" s="192"/>
      <c r="BBF72" s="190"/>
      <c r="BBG72" s="190"/>
      <c r="BBH72" s="190"/>
      <c r="BBI72" s="190"/>
      <c r="BBJ72" s="190"/>
      <c r="BBK72" s="193"/>
      <c r="BBL72" s="190"/>
      <c r="BBM72" s="190"/>
      <c r="BBN72" s="190"/>
      <c r="BBO72" s="190"/>
      <c r="BBP72" s="190"/>
      <c r="BBQ72" s="192"/>
      <c r="BBR72" s="190"/>
      <c r="BBS72" s="190"/>
      <c r="BBT72" s="190"/>
      <c r="BBU72" s="190"/>
      <c r="BBV72" s="190"/>
      <c r="BBW72" s="193"/>
      <c r="BBX72" s="190"/>
      <c r="BBY72" s="190"/>
      <c r="BBZ72" s="190"/>
      <c r="BCA72" s="190"/>
      <c r="BCB72" s="190"/>
      <c r="BCC72" s="192"/>
      <c r="BCD72" s="190"/>
      <c r="BCE72" s="190"/>
      <c r="BCF72" s="190"/>
      <c r="BCG72" s="190"/>
      <c r="BCH72" s="190"/>
      <c r="BCI72" s="193"/>
      <c r="BCJ72" s="190"/>
      <c r="BCK72" s="190"/>
      <c r="BCL72" s="190"/>
      <c r="BCM72" s="190"/>
      <c r="BCN72" s="190"/>
      <c r="BCO72" s="194"/>
      <c r="BCP72" s="189"/>
      <c r="BCQ72" s="190"/>
      <c r="BCR72" s="190"/>
      <c r="BCS72" s="190"/>
      <c r="BCT72" s="190"/>
      <c r="BCU72" s="191"/>
      <c r="BCV72" s="190"/>
      <c r="BCW72" s="190"/>
      <c r="BCX72" s="190"/>
      <c r="BCY72" s="190"/>
      <c r="BCZ72" s="190"/>
      <c r="BDA72" s="192"/>
      <c r="BDB72" s="190"/>
      <c r="BDC72" s="190"/>
      <c r="BDD72" s="190"/>
      <c r="BDE72" s="190"/>
      <c r="BDF72" s="190"/>
      <c r="BDG72" s="193"/>
      <c r="BDH72" s="190"/>
      <c r="BDI72" s="190"/>
      <c r="BDJ72" s="190"/>
      <c r="BDK72" s="190"/>
      <c r="BDL72" s="190"/>
      <c r="BDM72" s="192"/>
      <c r="BDN72" s="190"/>
      <c r="BDO72" s="190"/>
      <c r="BDP72" s="190"/>
      <c r="BDQ72" s="190"/>
      <c r="BDR72" s="190"/>
      <c r="BDS72" s="193"/>
      <c r="BDT72" s="190"/>
      <c r="BDU72" s="190"/>
      <c r="BDV72" s="190"/>
      <c r="BDW72" s="190"/>
      <c r="BDX72" s="190"/>
      <c r="BDY72" s="192"/>
      <c r="BDZ72" s="190"/>
      <c r="BEA72" s="190"/>
      <c r="BEB72" s="190"/>
      <c r="BEC72" s="190"/>
      <c r="BED72" s="190"/>
      <c r="BEE72" s="193"/>
      <c r="BEF72" s="190"/>
      <c r="BEG72" s="190"/>
      <c r="BEH72" s="190"/>
      <c r="BEI72" s="190"/>
      <c r="BEJ72" s="190"/>
      <c r="BEK72" s="192"/>
      <c r="BEL72" s="190"/>
      <c r="BEM72" s="190"/>
      <c r="BEN72" s="190"/>
      <c r="BEO72" s="190"/>
      <c r="BEP72" s="190"/>
      <c r="BEQ72" s="193"/>
      <c r="BER72" s="190"/>
      <c r="BES72" s="190"/>
      <c r="BET72" s="190"/>
      <c r="BEU72" s="190"/>
      <c r="BEV72" s="190"/>
      <c r="BEW72" s="194"/>
      <c r="BEX72" s="189"/>
      <c r="BEY72" s="190"/>
      <c r="BEZ72" s="190"/>
      <c r="BFA72" s="190"/>
      <c r="BFB72" s="190"/>
      <c r="BFC72" s="191"/>
      <c r="BFD72" s="190"/>
      <c r="BFE72" s="190"/>
      <c r="BFF72" s="190"/>
      <c r="BFG72" s="190"/>
      <c r="BFH72" s="190"/>
      <c r="BFI72" s="192"/>
      <c r="BFJ72" s="190"/>
      <c r="BFK72" s="190"/>
      <c r="BFL72" s="190"/>
      <c r="BFM72" s="190"/>
      <c r="BFN72" s="190"/>
      <c r="BFO72" s="193"/>
      <c r="BFP72" s="190"/>
      <c r="BFQ72" s="190"/>
      <c r="BFR72" s="190"/>
      <c r="BFS72" s="190"/>
      <c r="BFT72" s="190"/>
      <c r="BFU72" s="192"/>
      <c r="BFV72" s="190"/>
      <c r="BFW72" s="190"/>
      <c r="BFX72" s="190"/>
      <c r="BFY72" s="190"/>
      <c r="BFZ72" s="190"/>
      <c r="BGA72" s="193"/>
      <c r="BGB72" s="190"/>
      <c r="BGC72" s="190"/>
      <c r="BGD72" s="190"/>
      <c r="BGE72" s="190"/>
      <c r="BGF72" s="190"/>
      <c r="BGG72" s="192"/>
      <c r="BGH72" s="190"/>
      <c r="BGI72" s="190"/>
      <c r="BGJ72" s="190"/>
      <c r="BGK72" s="190"/>
      <c r="BGL72" s="190"/>
      <c r="BGM72" s="193"/>
      <c r="BGN72" s="190"/>
      <c r="BGO72" s="190"/>
      <c r="BGP72" s="190"/>
      <c r="BGQ72" s="190"/>
      <c r="BGR72" s="190"/>
      <c r="BGS72" s="192"/>
      <c r="BGT72" s="190"/>
      <c r="BGU72" s="190"/>
      <c r="BGV72" s="190"/>
      <c r="BGW72" s="190"/>
      <c r="BGX72" s="190"/>
      <c r="BGY72" s="193"/>
      <c r="BGZ72" s="190"/>
      <c r="BHA72" s="190"/>
      <c r="BHB72" s="190"/>
      <c r="BHC72" s="190"/>
      <c r="BHD72" s="190"/>
      <c r="BHE72" s="194"/>
      <c r="BHF72" s="187"/>
      <c r="BHG72" s="188"/>
      <c r="BHH72" s="188"/>
      <c r="BHI72" s="188"/>
      <c r="BHJ72" s="188"/>
      <c r="BHK72" s="188"/>
      <c r="BHL72" s="188"/>
      <c r="BHM72" s="188"/>
      <c r="BHN72" s="188"/>
      <c r="BHO72" s="188"/>
      <c r="BHP72" s="188"/>
      <c r="BHQ72" s="188"/>
      <c r="BHR72" s="188"/>
      <c r="BHS72" s="188"/>
      <c r="BHT72" s="188"/>
      <c r="BHU72" s="188"/>
      <c r="BHV72" s="188"/>
      <c r="BHW72" s="188"/>
      <c r="BHX72" s="188"/>
      <c r="BHY72" s="188"/>
      <c r="BHZ72" s="188"/>
      <c r="BIA72" s="188"/>
      <c r="BIB72" s="188"/>
      <c r="BIC72" s="188"/>
      <c r="BID72" s="188"/>
      <c r="BIE72" s="188"/>
      <c r="BIF72" s="188"/>
      <c r="BIG72" s="188"/>
      <c r="BIH72" s="188"/>
      <c r="BII72" s="188"/>
      <c r="BIJ72" s="188"/>
      <c r="BIK72" s="188"/>
      <c r="BIL72" s="188"/>
      <c r="BIM72" s="188"/>
      <c r="BIN72" s="188"/>
      <c r="BIO72" s="188"/>
      <c r="BIP72" s="188"/>
    </row>
    <row r="73" spans="1:1602" ht="20.100000000000001" customHeight="1" x14ac:dyDescent="0.25">
      <c r="A73" s="78" t="s">
        <v>49</v>
      </c>
      <c r="B73" s="51"/>
      <c r="C73" s="23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87"/>
      <c r="BHG73" s="188"/>
      <c r="BHH73" s="188"/>
      <c r="BHI73" s="188"/>
      <c r="BHJ73" s="188"/>
      <c r="BHK73" s="188"/>
      <c r="BHL73" s="188"/>
      <c r="BHM73" s="188"/>
      <c r="BHN73" s="188"/>
      <c r="BHO73" s="188"/>
      <c r="BHP73" s="188"/>
      <c r="BHQ73" s="188"/>
      <c r="BHR73" s="188"/>
      <c r="BHS73" s="188"/>
      <c r="BHT73" s="188"/>
      <c r="BHU73" s="188"/>
      <c r="BHV73" s="188"/>
      <c r="BHW73" s="188"/>
      <c r="BHX73" s="188"/>
      <c r="BHY73" s="188"/>
      <c r="BHZ73" s="188"/>
      <c r="BIA73" s="188"/>
      <c r="BIB73" s="188"/>
      <c r="BIC73" s="188"/>
      <c r="BID73" s="188"/>
      <c r="BIE73" s="188"/>
      <c r="BIF73" s="188"/>
      <c r="BIG73" s="188"/>
      <c r="BIH73" s="188"/>
      <c r="BII73" s="188"/>
      <c r="BIJ73" s="188"/>
      <c r="BIK73" s="188"/>
      <c r="BIL73" s="188"/>
      <c r="BIM73" s="188"/>
      <c r="BIN73" s="188"/>
      <c r="BIO73" s="188"/>
      <c r="BIP73" s="188"/>
    </row>
    <row r="74" spans="1:1602" ht="20.100000000000001" customHeight="1" x14ac:dyDescent="0.3">
      <c r="A74" s="78" t="s">
        <v>50</v>
      </c>
      <c r="B74" s="51"/>
      <c r="C74" s="231"/>
      <c r="D74" s="121" t="str">
        <f t="shared" si="0"/>
        <v/>
      </c>
      <c r="E74" s="30">
        <v>0</v>
      </c>
      <c r="F74" s="195"/>
      <c r="G74" s="196"/>
      <c r="H74" s="196"/>
      <c r="I74" s="196"/>
      <c r="J74" s="196"/>
      <c r="K74" s="197"/>
      <c r="L74" s="196"/>
      <c r="M74" s="196"/>
      <c r="N74" s="196"/>
      <c r="O74" s="196"/>
      <c r="P74" s="196"/>
      <c r="Q74" s="198"/>
      <c r="R74" s="196"/>
      <c r="S74" s="196"/>
      <c r="T74" s="196"/>
      <c r="U74" s="196"/>
      <c r="V74" s="196"/>
      <c r="W74" s="199"/>
      <c r="X74" s="196"/>
      <c r="Y74" s="196"/>
      <c r="Z74" s="196"/>
      <c r="AA74" s="196"/>
      <c r="AB74" s="196"/>
      <c r="AC74" s="198"/>
      <c r="AD74" s="196"/>
      <c r="AE74" s="196"/>
      <c r="AF74" s="196"/>
      <c r="AG74" s="196"/>
      <c r="AH74" s="196"/>
      <c r="AI74" s="199"/>
      <c r="AJ74" s="196"/>
      <c r="AK74" s="196"/>
      <c r="AL74" s="196"/>
      <c r="AM74" s="196"/>
      <c r="AN74" s="196"/>
      <c r="AO74" s="198"/>
      <c r="AP74" s="196"/>
      <c r="AQ74" s="196"/>
      <c r="AR74" s="196"/>
      <c r="AS74" s="196"/>
      <c r="AT74" s="196"/>
      <c r="AU74" s="199"/>
      <c r="AV74" s="196"/>
      <c r="AW74" s="196"/>
      <c r="AX74" s="196"/>
      <c r="AY74" s="196"/>
      <c r="AZ74" s="196"/>
      <c r="BA74" s="198"/>
      <c r="BB74" s="196"/>
      <c r="BC74" s="196"/>
      <c r="BD74" s="196"/>
      <c r="BE74" s="196"/>
      <c r="BF74" s="196"/>
      <c r="BG74" s="199"/>
      <c r="BH74" s="196"/>
      <c r="BI74" s="196"/>
      <c r="BJ74" s="196"/>
      <c r="BK74" s="196"/>
      <c r="BL74" s="196"/>
      <c r="BM74" s="200"/>
      <c r="BN74" s="195"/>
      <c r="BO74" s="196"/>
      <c r="BP74" s="196"/>
      <c r="BQ74" s="196"/>
      <c r="BR74" s="196"/>
      <c r="BS74" s="197"/>
      <c r="BT74" s="196"/>
      <c r="BU74" s="196"/>
      <c r="BV74" s="196"/>
      <c r="BW74" s="196"/>
      <c r="BX74" s="196"/>
      <c r="BY74" s="198"/>
      <c r="BZ74" s="196"/>
      <c r="CA74" s="196"/>
      <c r="CB74" s="196"/>
      <c r="CC74" s="196"/>
      <c r="CD74" s="196"/>
      <c r="CE74" s="199"/>
      <c r="CF74" s="196"/>
      <c r="CG74" s="196"/>
      <c r="CH74" s="196"/>
      <c r="CI74" s="196"/>
      <c r="CJ74" s="196"/>
      <c r="CK74" s="198"/>
      <c r="CL74" s="196"/>
      <c r="CM74" s="196"/>
      <c r="CN74" s="196"/>
      <c r="CO74" s="196"/>
      <c r="CP74" s="196"/>
      <c r="CQ74" s="199"/>
      <c r="CR74" s="196"/>
      <c r="CS74" s="196"/>
      <c r="CT74" s="196"/>
      <c r="CU74" s="196"/>
      <c r="CV74" s="196"/>
      <c r="CW74" s="198"/>
      <c r="CX74" s="196"/>
      <c r="CY74" s="196"/>
      <c r="CZ74" s="196"/>
      <c r="DA74" s="196"/>
      <c r="DB74" s="196"/>
      <c r="DC74" s="199"/>
      <c r="DD74" s="196"/>
      <c r="DE74" s="196"/>
      <c r="DF74" s="196"/>
      <c r="DG74" s="196"/>
      <c r="DH74" s="196"/>
      <c r="DI74" s="198"/>
      <c r="DJ74" s="196"/>
      <c r="DK74" s="196"/>
      <c r="DL74" s="196"/>
      <c r="DM74" s="196"/>
      <c r="DN74" s="196"/>
      <c r="DO74" s="199"/>
      <c r="DP74" s="196"/>
      <c r="DQ74" s="196"/>
      <c r="DR74" s="196"/>
      <c r="DS74" s="196"/>
      <c r="DT74" s="196"/>
      <c r="DU74" s="200"/>
      <c r="DV74" s="195"/>
      <c r="DW74" s="196"/>
      <c r="DX74" s="196"/>
      <c r="DY74" s="196"/>
      <c r="DZ74" s="196"/>
      <c r="EA74" s="197"/>
      <c r="EB74" s="196"/>
      <c r="EC74" s="196"/>
      <c r="ED74" s="196"/>
      <c r="EE74" s="196"/>
      <c r="EF74" s="196"/>
      <c r="EG74" s="198"/>
      <c r="EH74" s="196"/>
      <c r="EI74" s="196"/>
      <c r="EJ74" s="196"/>
      <c r="EK74" s="196"/>
      <c r="EL74" s="196"/>
      <c r="EM74" s="199"/>
      <c r="EN74" s="196"/>
      <c r="EO74" s="196"/>
      <c r="EP74" s="196"/>
      <c r="EQ74" s="196"/>
      <c r="ER74" s="196"/>
      <c r="ES74" s="198"/>
      <c r="ET74" s="196"/>
      <c r="EU74" s="196"/>
      <c r="EV74" s="196"/>
      <c r="EW74" s="196"/>
      <c r="EX74" s="196"/>
      <c r="EY74" s="199"/>
      <c r="EZ74" s="196"/>
      <c r="FA74" s="196"/>
      <c r="FB74" s="196"/>
      <c r="FC74" s="196"/>
      <c r="FD74" s="196"/>
      <c r="FE74" s="198"/>
      <c r="FF74" s="196"/>
      <c r="FG74" s="196"/>
      <c r="FH74" s="196"/>
      <c r="FI74" s="196"/>
      <c r="FJ74" s="196"/>
      <c r="FK74" s="199"/>
      <c r="FL74" s="196"/>
      <c r="FM74" s="196"/>
      <c r="FN74" s="196"/>
      <c r="FO74" s="196"/>
      <c r="FP74" s="196"/>
      <c r="FQ74" s="198"/>
      <c r="FR74" s="196"/>
      <c r="FS74" s="196"/>
      <c r="FT74" s="196"/>
      <c r="FU74" s="196"/>
      <c r="FV74" s="196"/>
      <c r="FW74" s="199"/>
      <c r="FX74" s="196"/>
      <c r="FY74" s="196"/>
      <c r="FZ74" s="196"/>
      <c r="GA74" s="196"/>
      <c r="GB74" s="196"/>
      <c r="GC74" s="200"/>
      <c r="GD74" s="195"/>
      <c r="GE74" s="196"/>
      <c r="GF74" s="196"/>
      <c r="GG74" s="196"/>
      <c r="GH74" s="196"/>
      <c r="GI74" s="197"/>
      <c r="GJ74" s="196"/>
      <c r="GK74" s="196"/>
      <c r="GL74" s="196"/>
      <c r="GM74" s="196"/>
      <c r="GN74" s="196"/>
      <c r="GO74" s="198"/>
      <c r="GP74" s="196"/>
      <c r="GQ74" s="196"/>
      <c r="GR74" s="196"/>
      <c r="GS74" s="196"/>
      <c r="GT74" s="196"/>
      <c r="GU74" s="199"/>
      <c r="GV74" s="196"/>
      <c r="GW74" s="196"/>
      <c r="GX74" s="196"/>
      <c r="GY74" s="196"/>
      <c r="GZ74" s="196"/>
      <c r="HA74" s="198"/>
      <c r="HB74" s="196"/>
      <c r="HC74" s="196"/>
      <c r="HD74" s="196"/>
      <c r="HE74" s="196"/>
      <c r="HF74" s="196"/>
      <c r="HG74" s="199"/>
      <c r="HH74" s="196"/>
      <c r="HI74" s="196"/>
      <c r="HJ74" s="196"/>
      <c r="HK74" s="196"/>
      <c r="HL74" s="196"/>
      <c r="HM74" s="198"/>
      <c r="HN74" s="196"/>
      <c r="HO74" s="196"/>
      <c r="HP74" s="196"/>
      <c r="HQ74" s="196"/>
      <c r="HR74" s="196"/>
      <c r="HS74" s="199"/>
      <c r="HT74" s="196"/>
      <c r="HU74" s="196"/>
      <c r="HV74" s="196"/>
      <c r="HW74" s="196"/>
      <c r="HX74" s="196"/>
      <c r="HY74" s="198"/>
      <c r="HZ74" s="196"/>
      <c r="IA74" s="196"/>
      <c r="IB74" s="196"/>
      <c r="IC74" s="196"/>
      <c r="ID74" s="196"/>
      <c r="IE74" s="199"/>
      <c r="IF74" s="196"/>
      <c r="IG74" s="196"/>
      <c r="IH74" s="196"/>
      <c r="II74" s="196"/>
      <c r="IJ74" s="196"/>
      <c r="IK74" s="200"/>
      <c r="IL74" s="195"/>
      <c r="IM74" s="196"/>
      <c r="IN74" s="196"/>
      <c r="IO74" s="196"/>
      <c r="IP74" s="196"/>
      <c r="IQ74" s="197"/>
      <c r="IR74" s="196"/>
      <c r="IS74" s="196"/>
      <c r="IT74" s="196"/>
      <c r="IU74" s="196"/>
      <c r="IV74" s="196"/>
      <c r="IW74" s="198"/>
      <c r="IX74" s="196"/>
      <c r="IY74" s="196"/>
      <c r="IZ74" s="196"/>
      <c r="JA74" s="196"/>
      <c r="JB74" s="196"/>
      <c r="JC74" s="199"/>
      <c r="JD74" s="196"/>
      <c r="JE74" s="196"/>
      <c r="JF74" s="196"/>
      <c r="JG74" s="196"/>
      <c r="JH74" s="196"/>
      <c r="JI74" s="198"/>
      <c r="JJ74" s="196"/>
      <c r="JK74" s="196"/>
      <c r="JL74" s="196"/>
      <c r="JM74" s="196"/>
      <c r="JN74" s="196"/>
      <c r="JO74" s="199"/>
      <c r="JP74" s="196"/>
      <c r="JQ74" s="196"/>
      <c r="JR74" s="196"/>
      <c r="JS74" s="196"/>
      <c r="JT74" s="196"/>
      <c r="JU74" s="198"/>
      <c r="JV74" s="196"/>
      <c r="JW74" s="196"/>
      <c r="JX74" s="196"/>
      <c r="JY74" s="196"/>
      <c r="JZ74" s="196"/>
      <c r="KA74" s="199"/>
      <c r="KB74" s="196"/>
      <c r="KC74" s="196"/>
      <c r="KD74" s="196"/>
      <c r="KE74" s="196"/>
      <c r="KF74" s="196"/>
      <c r="KG74" s="198"/>
      <c r="KH74" s="196"/>
      <c r="KI74" s="196"/>
      <c r="KJ74" s="196"/>
      <c r="KK74" s="196"/>
      <c r="KL74" s="196"/>
      <c r="KM74" s="199"/>
      <c r="KN74" s="196"/>
      <c r="KO74" s="196"/>
      <c r="KP74" s="196"/>
      <c r="KQ74" s="196"/>
      <c r="KR74" s="196"/>
      <c r="KS74" s="200"/>
      <c r="KT74" s="195"/>
      <c r="KU74" s="196"/>
      <c r="KV74" s="196"/>
      <c r="KW74" s="196"/>
      <c r="KX74" s="196"/>
      <c r="KY74" s="197"/>
      <c r="KZ74" s="196"/>
      <c r="LA74" s="196"/>
      <c r="LB74" s="196"/>
      <c r="LC74" s="196"/>
      <c r="LD74" s="196"/>
      <c r="LE74" s="198"/>
      <c r="LF74" s="196"/>
      <c r="LG74" s="196"/>
      <c r="LH74" s="196"/>
      <c r="LI74" s="196"/>
      <c r="LJ74" s="196"/>
      <c r="LK74" s="199"/>
      <c r="LL74" s="196"/>
      <c r="LM74" s="196"/>
      <c r="LN74" s="196"/>
      <c r="LO74" s="196"/>
      <c r="LP74" s="196"/>
      <c r="LQ74" s="198"/>
      <c r="LR74" s="196"/>
      <c r="LS74" s="196"/>
      <c r="LT74" s="196"/>
      <c r="LU74" s="196"/>
      <c r="LV74" s="196"/>
      <c r="LW74" s="199"/>
      <c r="LX74" s="196"/>
      <c r="LY74" s="196"/>
      <c r="LZ74" s="196"/>
      <c r="MA74" s="196"/>
      <c r="MB74" s="196"/>
      <c r="MC74" s="198"/>
      <c r="MD74" s="196"/>
      <c r="ME74" s="196"/>
      <c r="MF74" s="196"/>
      <c r="MG74" s="196"/>
      <c r="MH74" s="196"/>
      <c r="MI74" s="199"/>
      <c r="MJ74" s="196"/>
      <c r="MK74" s="196"/>
      <c r="ML74" s="196"/>
      <c r="MM74" s="196"/>
      <c r="MN74" s="196"/>
      <c r="MO74" s="198"/>
      <c r="MP74" s="196"/>
      <c r="MQ74" s="196"/>
      <c r="MR74" s="196"/>
      <c r="MS74" s="196"/>
      <c r="MT74" s="196"/>
      <c r="MU74" s="199"/>
      <c r="MV74" s="196"/>
      <c r="MW74" s="196"/>
      <c r="MX74" s="196"/>
      <c r="MY74" s="196"/>
      <c r="MZ74" s="196"/>
      <c r="NA74" s="200"/>
      <c r="NB74" s="195"/>
      <c r="NC74" s="196"/>
      <c r="ND74" s="196"/>
      <c r="NE74" s="196"/>
      <c r="NF74" s="196"/>
      <c r="NG74" s="197"/>
      <c r="NH74" s="196"/>
      <c r="NI74" s="196"/>
      <c r="NJ74" s="196"/>
      <c r="NK74" s="196"/>
      <c r="NL74" s="196"/>
      <c r="NM74" s="198"/>
      <c r="NN74" s="196"/>
      <c r="NO74" s="196"/>
      <c r="NP74" s="196"/>
      <c r="NQ74" s="196"/>
      <c r="NR74" s="196"/>
      <c r="NS74" s="199"/>
      <c r="NT74" s="196"/>
      <c r="NU74" s="196"/>
      <c r="NV74" s="196"/>
      <c r="NW74" s="196"/>
      <c r="NX74" s="196"/>
      <c r="NY74" s="198"/>
      <c r="NZ74" s="196"/>
      <c r="OA74" s="196"/>
      <c r="OB74" s="196"/>
      <c r="OC74" s="196"/>
      <c r="OD74" s="196"/>
      <c r="OE74" s="199"/>
      <c r="OF74" s="196"/>
      <c r="OG74" s="196"/>
      <c r="OH74" s="196"/>
      <c r="OI74" s="196"/>
      <c r="OJ74" s="196"/>
      <c r="OK74" s="198"/>
      <c r="OL74" s="196"/>
      <c r="OM74" s="196"/>
      <c r="ON74" s="196"/>
      <c r="OO74" s="196"/>
      <c r="OP74" s="196"/>
      <c r="OQ74" s="199"/>
      <c r="OR74" s="196"/>
      <c r="OS74" s="196"/>
      <c r="OT74" s="196"/>
      <c r="OU74" s="196"/>
      <c r="OV74" s="196"/>
      <c r="OW74" s="198"/>
      <c r="OX74" s="196"/>
      <c r="OY74" s="196"/>
      <c r="OZ74" s="196"/>
      <c r="PA74" s="196"/>
      <c r="PB74" s="196"/>
      <c r="PC74" s="199"/>
      <c r="PD74" s="196"/>
      <c r="PE74" s="196"/>
      <c r="PF74" s="196"/>
      <c r="PG74" s="196"/>
      <c r="PH74" s="196"/>
      <c r="PI74" s="200"/>
      <c r="PJ74" s="195"/>
      <c r="PK74" s="196"/>
      <c r="PL74" s="196"/>
      <c r="PM74" s="196"/>
      <c r="PN74" s="196"/>
      <c r="PO74" s="197"/>
      <c r="PP74" s="196"/>
      <c r="PQ74" s="196"/>
      <c r="PR74" s="196"/>
      <c r="PS74" s="196"/>
      <c r="PT74" s="196"/>
      <c r="PU74" s="198"/>
      <c r="PV74" s="196"/>
      <c r="PW74" s="196"/>
      <c r="PX74" s="196"/>
      <c r="PY74" s="196"/>
      <c r="PZ74" s="196"/>
      <c r="QA74" s="199"/>
      <c r="QB74" s="196"/>
      <c r="QC74" s="196"/>
      <c r="QD74" s="196"/>
      <c r="QE74" s="196"/>
      <c r="QF74" s="196"/>
      <c r="QG74" s="198"/>
      <c r="QH74" s="196"/>
      <c r="QI74" s="196"/>
      <c r="QJ74" s="196"/>
      <c r="QK74" s="196"/>
      <c r="QL74" s="196"/>
      <c r="QM74" s="199"/>
      <c r="QN74" s="196"/>
      <c r="QO74" s="196"/>
      <c r="QP74" s="196"/>
      <c r="QQ74" s="196"/>
      <c r="QR74" s="196"/>
      <c r="QS74" s="198"/>
      <c r="QT74" s="196"/>
      <c r="QU74" s="196"/>
      <c r="QV74" s="196"/>
      <c r="QW74" s="196"/>
      <c r="QX74" s="196"/>
      <c r="QY74" s="199"/>
      <c r="QZ74" s="196"/>
      <c r="RA74" s="196"/>
      <c r="RB74" s="196"/>
      <c r="RC74" s="196"/>
      <c r="RD74" s="196"/>
      <c r="RE74" s="198"/>
      <c r="RF74" s="196"/>
      <c r="RG74" s="196"/>
      <c r="RH74" s="196"/>
      <c r="RI74" s="196"/>
      <c r="RJ74" s="196"/>
      <c r="RK74" s="199"/>
      <c r="RL74" s="196"/>
      <c r="RM74" s="196"/>
      <c r="RN74" s="196"/>
      <c r="RO74" s="196"/>
      <c r="RP74" s="196"/>
      <c r="RQ74" s="200"/>
      <c r="RR74" s="195"/>
      <c r="RS74" s="196"/>
      <c r="RT74" s="196"/>
      <c r="RU74" s="196"/>
      <c r="RV74" s="196"/>
      <c r="RW74" s="197"/>
      <c r="RX74" s="196"/>
      <c r="RY74" s="196"/>
      <c r="RZ74" s="196"/>
      <c r="SA74" s="196"/>
      <c r="SB74" s="196"/>
      <c r="SC74" s="198"/>
      <c r="SD74" s="196"/>
      <c r="SE74" s="196"/>
      <c r="SF74" s="196"/>
      <c r="SG74" s="196"/>
      <c r="SH74" s="196"/>
      <c r="SI74" s="199"/>
      <c r="SJ74" s="196"/>
      <c r="SK74" s="196"/>
      <c r="SL74" s="196"/>
      <c r="SM74" s="196"/>
      <c r="SN74" s="196"/>
      <c r="SO74" s="198"/>
      <c r="SP74" s="196"/>
      <c r="SQ74" s="196"/>
      <c r="SR74" s="196"/>
      <c r="SS74" s="196"/>
      <c r="ST74" s="196"/>
      <c r="SU74" s="199"/>
      <c r="SV74" s="196"/>
      <c r="SW74" s="196"/>
      <c r="SX74" s="196"/>
      <c r="SY74" s="196"/>
      <c r="SZ74" s="196"/>
      <c r="TA74" s="198"/>
      <c r="TB74" s="196"/>
      <c r="TC74" s="196"/>
      <c r="TD74" s="196"/>
      <c r="TE74" s="196"/>
      <c r="TF74" s="196"/>
      <c r="TG74" s="199"/>
      <c r="TH74" s="196"/>
      <c r="TI74" s="196"/>
      <c r="TJ74" s="196"/>
      <c r="TK74" s="196"/>
      <c r="TL74" s="196"/>
      <c r="TM74" s="198"/>
      <c r="TN74" s="196"/>
      <c r="TO74" s="196"/>
      <c r="TP74" s="196"/>
      <c r="TQ74" s="196"/>
      <c r="TR74" s="196"/>
      <c r="TS74" s="199"/>
      <c r="TT74" s="196"/>
      <c r="TU74" s="196"/>
      <c r="TV74" s="196"/>
      <c r="TW74" s="196"/>
      <c r="TX74" s="196"/>
      <c r="TY74" s="200"/>
      <c r="TZ74" s="195"/>
      <c r="UA74" s="196"/>
      <c r="UB74" s="196"/>
      <c r="UC74" s="196"/>
      <c r="UD74" s="196"/>
      <c r="UE74" s="197"/>
      <c r="UF74" s="196"/>
      <c r="UG74" s="196"/>
      <c r="UH74" s="196"/>
      <c r="UI74" s="196"/>
      <c r="UJ74" s="196"/>
      <c r="UK74" s="198"/>
      <c r="UL74" s="196"/>
      <c r="UM74" s="196"/>
      <c r="UN74" s="196"/>
      <c r="UO74" s="196"/>
      <c r="UP74" s="196"/>
      <c r="UQ74" s="199"/>
      <c r="UR74" s="196"/>
      <c r="US74" s="196"/>
      <c r="UT74" s="196"/>
      <c r="UU74" s="196"/>
      <c r="UV74" s="196"/>
      <c r="UW74" s="198"/>
      <c r="UX74" s="196"/>
      <c r="UY74" s="196"/>
      <c r="UZ74" s="196"/>
      <c r="VA74" s="196"/>
      <c r="VB74" s="196"/>
      <c r="VC74" s="199"/>
      <c r="VD74" s="196"/>
      <c r="VE74" s="196"/>
      <c r="VF74" s="196"/>
      <c r="VG74" s="196"/>
      <c r="VH74" s="196"/>
      <c r="VI74" s="198"/>
      <c r="VJ74" s="196"/>
      <c r="VK74" s="196"/>
      <c r="VL74" s="196"/>
      <c r="VM74" s="196"/>
      <c r="VN74" s="196"/>
      <c r="VO74" s="199"/>
      <c r="VP74" s="196"/>
      <c r="VQ74" s="196"/>
      <c r="VR74" s="196"/>
      <c r="VS74" s="196"/>
      <c r="VT74" s="196"/>
      <c r="VU74" s="198"/>
      <c r="VV74" s="196"/>
      <c r="VW74" s="196"/>
      <c r="VX74" s="196"/>
      <c r="VY74" s="196"/>
      <c r="VZ74" s="196"/>
      <c r="WA74" s="199"/>
      <c r="WB74" s="196"/>
      <c r="WC74" s="196"/>
      <c r="WD74" s="196"/>
      <c r="WE74" s="196"/>
      <c r="WF74" s="196"/>
      <c r="WG74" s="200"/>
      <c r="WH74" s="195"/>
      <c r="WI74" s="196"/>
      <c r="WJ74" s="196"/>
      <c r="WK74" s="196"/>
      <c r="WL74" s="196"/>
      <c r="WM74" s="197"/>
      <c r="WN74" s="196"/>
      <c r="WO74" s="196"/>
      <c r="WP74" s="196"/>
      <c r="WQ74" s="196"/>
      <c r="WR74" s="196"/>
      <c r="WS74" s="198"/>
      <c r="WT74" s="196"/>
      <c r="WU74" s="196"/>
      <c r="WV74" s="196"/>
      <c r="WW74" s="196"/>
      <c r="WX74" s="196"/>
      <c r="WY74" s="199"/>
      <c r="WZ74" s="196"/>
      <c r="XA74" s="196"/>
      <c r="XB74" s="196"/>
      <c r="XC74" s="196"/>
      <c r="XD74" s="196"/>
      <c r="XE74" s="198"/>
      <c r="XF74" s="196"/>
      <c r="XG74" s="196"/>
      <c r="XH74" s="196"/>
      <c r="XI74" s="196"/>
      <c r="XJ74" s="196"/>
      <c r="XK74" s="199"/>
      <c r="XL74" s="196"/>
      <c r="XM74" s="196"/>
      <c r="XN74" s="196"/>
      <c r="XO74" s="196"/>
      <c r="XP74" s="196"/>
      <c r="XQ74" s="198"/>
      <c r="XR74" s="196"/>
      <c r="XS74" s="196"/>
      <c r="XT74" s="196"/>
      <c r="XU74" s="196"/>
      <c r="XV74" s="196"/>
      <c r="XW74" s="199"/>
      <c r="XX74" s="196"/>
      <c r="XY74" s="196"/>
      <c r="XZ74" s="196"/>
      <c r="YA74" s="196"/>
      <c r="YB74" s="196"/>
      <c r="YC74" s="198"/>
      <c r="YD74" s="196"/>
      <c r="YE74" s="196"/>
      <c r="YF74" s="196"/>
      <c r="YG74" s="196"/>
      <c r="YH74" s="196"/>
      <c r="YI74" s="199"/>
      <c r="YJ74" s="196"/>
      <c r="YK74" s="196"/>
      <c r="YL74" s="196"/>
      <c r="YM74" s="196"/>
      <c r="YN74" s="196"/>
      <c r="YO74" s="200"/>
      <c r="YP74" s="195"/>
      <c r="YQ74" s="196"/>
      <c r="YR74" s="196"/>
      <c r="YS74" s="196"/>
      <c r="YT74" s="196"/>
      <c r="YU74" s="197"/>
      <c r="YV74" s="196"/>
      <c r="YW74" s="196"/>
      <c r="YX74" s="196"/>
      <c r="YY74" s="196"/>
      <c r="YZ74" s="196"/>
      <c r="ZA74" s="198"/>
      <c r="ZB74" s="196"/>
      <c r="ZC74" s="196"/>
      <c r="ZD74" s="196"/>
      <c r="ZE74" s="196"/>
      <c r="ZF74" s="196"/>
      <c r="ZG74" s="199"/>
      <c r="ZH74" s="196"/>
      <c r="ZI74" s="196"/>
      <c r="ZJ74" s="196"/>
      <c r="ZK74" s="196"/>
      <c r="ZL74" s="196"/>
      <c r="ZM74" s="198"/>
      <c r="ZN74" s="196"/>
      <c r="ZO74" s="196"/>
      <c r="ZP74" s="196"/>
      <c r="ZQ74" s="196"/>
      <c r="ZR74" s="196"/>
      <c r="ZS74" s="199"/>
      <c r="ZT74" s="196"/>
      <c r="ZU74" s="196"/>
      <c r="ZV74" s="196"/>
      <c r="ZW74" s="196"/>
      <c r="ZX74" s="196"/>
      <c r="ZY74" s="198"/>
      <c r="ZZ74" s="196"/>
      <c r="AAA74" s="196"/>
      <c r="AAB74" s="196"/>
      <c r="AAC74" s="196"/>
      <c r="AAD74" s="196"/>
      <c r="AAE74" s="199"/>
      <c r="AAF74" s="196"/>
      <c r="AAG74" s="196"/>
      <c r="AAH74" s="196"/>
      <c r="AAI74" s="196"/>
      <c r="AAJ74" s="196"/>
      <c r="AAK74" s="198"/>
      <c r="AAL74" s="196"/>
      <c r="AAM74" s="196"/>
      <c r="AAN74" s="196"/>
      <c r="AAO74" s="196"/>
      <c r="AAP74" s="196"/>
      <c r="AAQ74" s="199"/>
      <c r="AAR74" s="196"/>
      <c r="AAS74" s="196"/>
      <c r="AAT74" s="196"/>
      <c r="AAU74" s="196"/>
      <c r="AAV74" s="196"/>
      <c r="AAW74" s="200"/>
      <c r="AAX74" s="195"/>
      <c r="AAY74" s="196"/>
      <c r="AAZ74" s="196"/>
      <c r="ABA74" s="196"/>
      <c r="ABB74" s="196"/>
      <c r="ABC74" s="197"/>
      <c r="ABD74" s="196"/>
      <c r="ABE74" s="196"/>
      <c r="ABF74" s="196"/>
      <c r="ABG74" s="196"/>
      <c r="ABH74" s="196"/>
      <c r="ABI74" s="198"/>
      <c r="ABJ74" s="196"/>
      <c r="ABK74" s="196"/>
      <c r="ABL74" s="196"/>
      <c r="ABM74" s="196"/>
      <c r="ABN74" s="196"/>
      <c r="ABO74" s="199"/>
      <c r="ABP74" s="196"/>
      <c r="ABQ74" s="196"/>
      <c r="ABR74" s="196"/>
      <c r="ABS74" s="196"/>
      <c r="ABT74" s="196"/>
      <c r="ABU74" s="198"/>
      <c r="ABV74" s="196"/>
      <c r="ABW74" s="196"/>
      <c r="ABX74" s="196"/>
      <c r="ABY74" s="196"/>
      <c r="ABZ74" s="196"/>
      <c r="ACA74" s="199"/>
      <c r="ACB74" s="196"/>
      <c r="ACC74" s="196"/>
      <c r="ACD74" s="196"/>
      <c r="ACE74" s="196"/>
      <c r="ACF74" s="196"/>
      <c r="ACG74" s="198"/>
      <c r="ACH74" s="196"/>
      <c r="ACI74" s="196"/>
      <c r="ACJ74" s="196"/>
      <c r="ACK74" s="196"/>
      <c r="ACL74" s="196"/>
      <c r="ACM74" s="199"/>
      <c r="ACN74" s="196"/>
      <c r="ACO74" s="196"/>
      <c r="ACP74" s="196"/>
      <c r="ACQ74" s="196"/>
      <c r="ACR74" s="196"/>
      <c r="ACS74" s="198"/>
      <c r="ACT74" s="196"/>
      <c r="ACU74" s="196"/>
      <c r="ACV74" s="196"/>
      <c r="ACW74" s="196"/>
      <c r="ACX74" s="196"/>
      <c r="ACY74" s="199"/>
      <c r="ACZ74" s="196"/>
      <c r="ADA74" s="196"/>
      <c r="ADB74" s="196"/>
      <c r="ADC74" s="196"/>
      <c r="ADD74" s="196"/>
      <c r="ADE74" s="200"/>
      <c r="ADF74" s="195"/>
      <c r="ADG74" s="196"/>
      <c r="ADH74" s="196"/>
      <c r="ADI74" s="196"/>
      <c r="ADJ74" s="196"/>
      <c r="ADK74" s="197"/>
      <c r="ADL74" s="196"/>
      <c r="ADM74" s="196"/>
      <c r="ADN74" s="196"/>
      <c r="ADO74" s="196"/>
      <c r="ADP74" s="196"/>
      <c r="ADQ74" s="198"/>
      <c r="ADR74" s="196"/>
      <c r="ADS74" s="196"/>
      <c r="ADT74" s="196"/>
      <c r="ADU74" s="196"/>
      <c r="ADV74" s="196"/>
      <c r="ADW74" s="199"/>
      <c r="ADX74" s="196"/>
      <c r="ADY74" s="196"/>
      <c r="ADZ74" s="196"/>
      <c r="AEA74" s="196"/>
      <c r="AEB74" s="196"/>
      <c r="AEC74" s="198"/>
      <c r="AED74" s="196"/>
      <c r="AEE74" s="196"/>
      <c r="AEF74" s="196"/>
      <c r="AEG74" s="196"/>
      <c r="AEH74" s="196"/>
      <c r="AEI74" s="199"/>
      <c r="AEJ74" s="196"/>
      <c r="AEK74" s="196"/>
      <c r="AEL74" s="196"/>
      <c r="AEM74" s="196"/>
      <c r="AEN74" s="196"/>
      <c r="AEO74" s="198"/>
      <c r="AEP74" s="196"/>
      <c r="AEQ74" s="196"/>
      <c r="AER74" s="196"/>
      <c r="AES74" s="196"/>
      <c r="AET74" s="196"/>
      <c r="AEU74" s="199"/>
      <c r="AEV74" s="196"/>
      <c r="AEW74" s="196"/>
      <c r="AEX74" s="196"/>
      <c r="AEY74" s="196"/>
      <c r="AEZ74" s="196"/>
      <c r="AFA74" s="198"/>
      <c r="AFB74" s="196"/>
      <c r="AFC74" s="196"/>
      <c r="AFD74" s="196"/>
      <c r="AFE74" s="196"/>
      <c r="AFF74" s="196"/>
      <c r="AFG74" s="199"/>
      <c r="AFH74" s="196"/>
      <c r="AFI74" s="196"/>
      <c r="AFJ74" s="196"/>
      <c r="AFK74" s="196"/>
      <c r="AFL74" s="196"/>
      <c r="AFM74" s="200"/>
      <c r="AFN74" s="195"/>
      <c r="AFO74" s="196"/>
      <c r="AFP74" s="196"/>
      <c r="AFQ74" s="196"/>
      <c r="AFR74" s="196"/>
      <c r="AFS74" s="197"/>
      <c r="AFT74" s="196"/>
      <c r="AFU74" s="196"/>
      <c r="AFV74" s="196"/>
      <c r="AFW74" s="196"/>
      <c r="AFX74" s="196"/>
      <c r="AFY74" s="198"/>
      <c r="AFZ74" s="196"/>
      <c r="AGA74" s="196"/>
      <c r="AGB74" s="196"/>
      <c r="AGC74" s="196"/>
      <c r="AGD74" s="196"/>
      <c r="AGE74" s="199"/>
      <c r="AGF74" s="196"/>
      <c r="AGG74" s="196"/>
      <c r="AGH74" s="196"/>
      <c r="AGI74" s="196"/>
      <c r="AGJ74" s="196"/>
      <c r="AGK74" s="198"/>
      <c r="AGL74" s="196"/>
      <c r="AGM74" s="196"/>
      <c r="AGN74" s="196"/>
      <c r="AGO74" s="196"/>
      <c r="AGP74" s="196"/>
      <c r="AGQ74" s="199"/>
      <c r="AGR74" s="196"/>
      <c r="AGS74" s="196"/>
      <c r="AGT74" s="196"/>
      <c r="AGU74" s="196"/>
      <c r="AGV74" s="196"/>
      <c r="AGW74" s="198"/>
      <c r="AGX74" s="196"/>
      <c r="AGY74" s="196"/>
      <c r="AGZ74" s="196"/>
      <c r="AHA74" s="196"/>
      <c r="AHB74" s="196"/>
      <c r="AHC74" s="199"/>
      <c r="AHD74" s="196"/>
      <c r="AHE74" s="196"/>
      <c r="AHF74" s="196"/>
      <c r="AHG74" s="196"/>
      <c r="AHH74" s="196"/>
      <c r="AHI74" s="198"/>
      <c r="AHJ74" s="196"/>
      <c r="AHK74" s="196"/>
      <c r="AHL74" s="196"/>
      <c r="AHM74" s="196"/>
      <c r="AHN74" s="196"/>
      <c r="AHO74" s="199"/>
      <c r="AHP74" s="196"/>
      <c r="AHQ74" s="196"/>
      <c r="AHR74" s="196"/>
      <c r="AHS74" s="196"/>
      <c r="AHT74" s="196"/>
      <c r="AHU74" s="200"/>
      <c r="AHV74" s="195"/>
      <c r="AHW74" s="196"/>
      <c r="AHX74" s="196"/>
      <c r="AHY74" s="196"/>
      <c r="AHZ74" s="196"/>
      <c r="AIA74" s="197"/>
      <c r="AIB74" s="196"/>
      <c r="AIC74" s="196"/>
      <c r="AID74" s="196"/>
      <c r="AIE74" s="196"/>
      <c r="AIF74" s="196"/>
      <c r="AIG74" s="198"/>
      <c r="AIH74" s="196"/>
      <c r="AII74" s="196"/>
      <c r="AIJ74" s="196"/>
      <c r="AIK74" s="196"/>
      <c r="AIL74" s="196"/>
      <c r="AIM74" s="199"/>
      <c r="AIN74" s="196"/>
      <c r="AIO74" s="196"/>
      <c r="AIP74" s="196"/>
      <c r="AIQ74" s="196"/>
      <c r="AIR74" s="196"/>
      <c r="AIS74" s="198"/>
      <c r="AIT74" s="196"/>
      <c r="AIU74" s="196"/>
      <c r="AIV74" s="196"/>
      <c r="AIW74" s="196"/>
      <c r="AIX74" s="196"/>
      <c r="AIY74" s="199"/>
      <c r="AIZ74" s="196"/>
      <c r="AJA74" s="196"/>
      <c r="AJB74" s="196"/>
      <c r="AJC74" s="196"/>
      <c r="AJD74" s="196"/>
      <c r="AJE74" s="198"/>
      <c r="AJF74" s="196"/>
      <c r="AJG74" s="196"/>
      <c r="AJH74" s="196"/>
      <c r="AJI74" s="196"/>
      <c r="AJJ74" s="196"/>
      <c r="AJK74" s="199"/>
      <c r="AJL74" s="196"/>
      <c r="AJM74" s="196"/>
      <c r="AJN74" s="196"/>
      <c r="AJO74" s="196"/>
      <c r="AJP74" s="196"/>
      <c r="AJQ74" s="198"/>
      <c r="AJR74" s="196"/>
      <c r="AJS74" s="196"/>
      <c r="AJT74" s="196"/>
      <c r="AJU74" s="196"/>
      <c r="AJV74" s="196"/>
      <c r="AJW74" s="199"/>
      <c r="AJX74" s="196"/>
      <c r="AJY74" s="196"/>
      <c r="AJZ74" s="196"/>
      <c r="AKA74" s="196"/>
      <c r="AKB74" s="196"/>
      <c r="AKC74" s="200"/>
      <c r="AKD74" s="195"/>
      <c r="AKE74" s="196"/>
      <c r="AKF74" s="196"/>
      <c r="AKG74" s="196"/>
      <c r="AKH74" s="196"/>
      <c r="AKI74" s="197"/>
      <c r="AKJ74" s="196"/>
      <c r="AKK74" s="196"/>
      <c r="AKL74" s="196"/>
      <c r="AKM74" s="196"/>
      <c r="AKN74" s="196"/>
      <c r="AKO74" s="198"/>
      <c r="AKP74" s="196"/>
      <c r="AKQ74" s="196"/>
      <c r="AKR74" s="196"/>
      <c r="AKS74" s="196"/>
      <c r="AKT74" s="196"/>
      <c r="AKU74" s="199"/>
      <c r="AKV74" s="196"/>
      <c r="AKW74" s="196"/>
      <c r="AKX74" s="196"/>
      <c r="AKY74" s="196"/>
      <c r="AKZ74" s="196"/>
      <c r="ALA74" s="198"/>
      <c r="ALB74" s="196"/>
      <c r="ALC74" s="196"/>
      <c r="ALD74" s="196"/>
      <c r="ALE74" s="196"/>
      <c r="ALF74" s="196"/>
      <c r="ALG74" s="199"/>
      <c r="ALH74" s="196"/>
      <c r="ALI74" s="196"/>
      <c r="ALJ74" s="196"/>
      <c r="ALK74" s="196"/>
      <c r="ALL74" s="196"/>
      <c r="ALM74" s="198"/>
      <c r="ALN74" s="196"/>
      <c r="ALO74" s="196"/>
      <c r="ALP74" s="196"/>
      <c r="ALQ74" s="196"/>
      <c r="ALR74" s="196"/>
      <c r="ALS74" s="199"/>
      <c r="ALT74" s="196"/>
      <c r="ALU74" s="196"/>
      <c r="ALV74" s="196"/>
      <c r="ALW74" s="196"/>
      <c r="ALX74" s="196"/>
      <c r="ALY74" s="198"/>
      <c r="ALZ74" s="196"/>
      <c r="AMA74" s="196"/>
      <c r="AMB74" s="196"/>
      <c r="AMC74" s="196"/>
      <c r="AMD74" s="196"/>
      <c r="AME74" s="199"/>
      <c r="AMF74" s="196"/>
      <c r="AMG74" s="196"/>
      <c r="AMH74" s="196"/>
      <c r="AMI74" s="196"/>
      <c r="AMJ74" s="196"/>
      <c r="AMK74" s="200"/>
      <c r="AML74" s="195"/>
      <c r="AMM74" s="196"/>
      <c r="AMN74" s="196"/>
      <c r="AMO74" s="196"/>
      <c r="AMP74" s="196"/>
      <c r="AMQ74" s="197"/>
      <c r="AMR74" s="196"/>
      <c r="AMS74" s="196"/>
      <c r="AMT74" s="196"/>
      <c r="AMU74" s="196"/>
      <c r="AMV74" s="196"/>
      <c r="AMW74" s="198"/>
      <c r="AMX74" s="196"/>
      <c r="AMY74" s="196"/>
      <c r="AMZ74" s="196"/>
      <c r="ANA74" s="196"/>
      <c r="ANB74" s="196"/>
      <c r="ANC74" s="199"/>
      <c r="AND74" s="196"/>
      <c r="ANE74" s="196"/>
      <c r="ANF74" s="196"/>
      <c r="ANG74" s="196"/>
      <c r="ANH74" s="196"/>
      <c r="ANI74" s="198"/>
      <c r="ANJ74" s="196"/>
      <c r="ANK74" s="196"/>
      <c r="ANL74" s="196"/>
      <c r="ANM74" s="196"/>
      <c r="ANN74" s="196"/>
      <c r="ANO74" s="199"/>
      <c r="ANP74" s="196"/>
      <c r="ANQ74" s="196"/>
      <c r="ANR74" s="196"/>
      <c r="ANS74" s="196"/>
      <c r="ANT74" s="196"/>
      <c r="ANU74" s="198"/>
      <c r="ANV74" s="196"/>
      <c r="ANW74" s="196"/>
      <c r="ANX74" s="196"/>
      <c r="ANY74" s="196"/>
      <c r="ANZ74" s="196"/>
      <c r="AOA74" s="199"/>
      <c r="AOB74" s="196"/>
      <c r="AOC74" s="196"/>
      <c r="AOD74" s="196"/>
      <c r="AOE74" s="196"/>
      <c r="AOF74" s="196"/>
      <c r="AOG74" s="198"/>
      <c r="AOH74" s="196"/>
      <c r="AOI74" s="196"/>
      <c r="AOJ74" s="196"/>
      <c r="AOK74" s="196"/>
      <c r="AOL74" s="196"/>
      <c r="AOM74" s="199"/>
      <c r="AON74" s="196"/>
      <c r="AOO74" s="196"/>
      <c r="AOP74" s="196"/>
      <c r="AOQ74" s="196"/>
      <c r="AOR74" s="196"/>
      <c r="AOS74" s="200"/>
      <c r="AOT74" s="195"/>
      <c r="AOU74" s="196"/>
      <c r="AOV74" s="196"/>
      <c r="AOW74" s="196"/>
      <c r="AOX74" s="196"/>
      <c r="AOY74" s="197"/>
      <c r="AOZ74" s="196"/>
      <c r="APA74" s="196"/>
      <c r="APB74" s="196"/>
      <c r="APC74" s="196"/>
      <c r="APD74" s="196"/>
      <c r="APE74" s="198"/>
      <c r="APF74" s="196"/>
      <c r="APG74" s="196"/>
      <c r="APH74" s="196"/>
      <c r="API74" s="196"/>
      <c r="APJ74" s="196"/>
      <c r="APK74" s="199"/>
      <c r="APL74" s="196"/>
      <c r="APM74" s="196"/>
      <c r="APN74" s="196"/>
      <c r="APO74" s="196"/>
      <c r="APP74" s="196"/>
      <c r="APQ74" s="198"/>
      <c r="APR74" s="196"/>
      <c r="APS74" s="196"/>
      <c r="APT74" s="196"/>
      <c r="APU74" s="196"/>
      <c r="APV74" s="196"/>
      <c r="APW74" s="199"/>
      <c r="APX74" s="196"/>
      <c r="APY74" s="196"/>
      <c r="APZ74" s="196"/>
      <c r="AQA74" s="196"/>
      <c r="AQB74" s="196"/>
      <c r="AQC74" s="198"/>
      <c r="AQD74" s="196"/>
      <c r="AQE74" s="196"/>
      <c r="AQF74" s="196"/>
      <c r="AQG74" s="196"/>
      <c r="AQH74" s="196"/>
      <c r="AQI74" s="199"/>
      <c r="AQJ74" s="196"/>
      <c r="AQK74" s="196"/>
      <c r="AQL74" s="196"/>
      <c r="AQM74" s="196"/>
      <c r="AQN74" s="196"/>
      <c r="AQO74" s="198"/>
      <c r="AQP74" s="196"/>
      <c r="AQQ74" s="196"/>
      <c r="AQR74" s="196"/>
      <c r="AQS74" s="196"/>
      <c r="AQT74" s="196"/>
      <c r="AQU74" s="199"/>
      <c r="AQV74" s="196"/>
      <c r="AQW74" s="196"/>
      <c r="AQX74" s="196"/>
      <c r="AQY74" s="196"/>
      <c r="AQZ74" s="196"/>
      <c r="ARA74" s="200"/>
      <c r="ARB74" s="195"/>
      <c r="ARC74" s="196"/>
      <c r="ARD74" s="196"/>
      <c r="ARE74" s="196"/>
      <c r="ARF74" s="196"/>
      <c r="ARG74" s="197"/>
      <c r="ARH74" s="196"/>
      <c r="ARI74" s="196"/>
      <c r="ARJ74" s="196"/>
      <c r="ARK74" s="196"/>
      <c r="ARL74" s="196"/>
      <c r="ARM74" s="198"/>
      <c r="ARN74" s="196"/>
      <c r="ARO74" s="196"/>
      <c r="ARP74" s="196"/>
      <c r="ARQ74" s="196"/>
      <c r="ARR74" s="196"/>
      <c r="ARS74" s="199"/>
      <c r="ART74" s="196"/>
      <c r="ARU74" s="196"/>
      <c r="ARV74" s="196"/>
      <c r="ARW74" s="196"/>
      <c r="ARX74" s="196"/>
      <c r="ARY74" s="198"/>
      <c r="ARZ74" s="196"/>
      <c r="ASA74" s="196"/>
      <c r="ASB74" s="196"/>
      <c r="ASC74" s="196"/>
      <c r="ASD74" s="196"/>
      <c r="ASE74" s="199"/>
      <c r="ASF74" s="196"/>
      <c r="ASG74" s="196"/>
      <c r="ASH74" s="196"/>
      <c r="ASI74" s="196"/>
      <c r="ASJ74" s="196"/>
      <c r="ASK74" s="198"/>
      <c r="ASL74" s="196"/>
      <c r="ASM74" s="196"/>
      <c r="ASN74" s="196"/>
      <c r="ASO74" s="196"/>
      <c r="ASP74" s="196"/>
      <c r="ASQ74" s="199"/>
      <c r="ASR74" s="196"/>
      <c r="ASS74" s="196"/>
      <c r="AST74" s="196"/>
      <c r="ASU74" s="196"/>
      <c r="ASV74" s="196"/>
      <c r="ASW74" s="198"/>
      <c r="ASX74" s="196"/>
      <c r="ASY74" s="196"/>
      <c r="ASZ74" s="196"/>
      <c r="ATA74" s="196"/>
      <c r="ATB74" s="196"/>
      <c r="ATC74" s="199"/>
      <c r="ATD74" s="196"/>
      <c r="ATE74" s="196"/>
      <c r="ATF74" s="196"/>
      <c r="ATG74" s="196"/>
      <c r="ATH74" s="196"/>
      <c r="ATI74" s="200"/>
      <c r="ATJ74" s="195"/>
      <c r="ATK74" s="196"/>
      <c r="ATL74" s="196"/>
      <c r="ATM74" s="196"/>
      <c r="ATN74" s="196"/>
      <c r="ATO74" s="197"/>
      <c r="ATP74" s="196"/>
      <c r="ATQ74" s="196"/>
      <c r="ATR74" s="196"/>
      <c r="ATS74" s="196"/>
      <c r="ATT74" s="196"/>
      <c r="ATU74" s="198"/>
      <c r="ATV74" s="196"/>
      <c r="ATW74" s="196"/>
      <c r="ATX74" s="196"/>
      <c r="ATY74" s="196"/>
      <c r="ATZ74" s="196"/>
      <c r="AUA74" s="199"/>
      <c r="AUB74" s="196"/>
      <c r="AUC74" s="196"/>
      <c r="AUD74" s="196"/>
      <c r="AUE74" s="196"/>
      <c r="AUF74" s="196"/>
      <c r="AUG74" s="198"/>
      <c r="AUH74" s="196"/>
      <c r="AUI74" s="196"/>
      <c r="AUJ74" s="196"/>
      <c r="AUK74" s="196"/>
      <c r="AUL74" s="196"/>
      <c r="AUM74" s="199"/>
      <c r="AUN74" s="196"/>
      <c r="AUO74" s="196"/>
      <c r="AUP74" s="196"/>
      <c r="AUQ74" s="196"/>
      <c r="AUR74" s="196"/>
      <c r="AUS74" s="198"/>
      <c r="AUT74" s="196"/>
      <c r="AUU74" s="196"/>
      <c r="AUV74" s="196"/>
      <c r="AUW74" s="196"/>
      <c r="AUX74" s="196"/>
      <c r="AUY74" s="199"/>
      <c r="AUZ74" s="196"/>
      <c r="AVA74" s="196"/>
      <c r="AVB74" s="196"/>
      <c r="AVC74" s="196"/>
      <c r="AVD74" s="196"/>
      <c r="AVE74" s="198"/>
      <c r="AVF74" s="196"/>
      <c r="AVG74" s="196"/>
      <c r="AVH74" s="196"/>
      <c r="AVI74" s="196"/>
      <c r="AVJ74" s="196"/>
      <c r="AVK74" s="199"/>
      <c r="AVL74" s="196"/>
      <c r="AVM74" s="196"/>
      <c r="AVN74" s="196"/>
      <c r="AVO74" s="196"/>
      <c r="AVP74" s="196"/>
      <c r="AVQ74" s="200"/>
      <c r="AVR74" s="195"/>
      <c r="AVS74" s="196"/>
      <c r="AVT74" s="196"/>
      <c r="AVU74" s="196"/>
      <c r="AVV74" s="196"/>
      <c r="AVW74" s="197"/>
      <c r="AVX74" s="196"/>
      <c r="AVY74" s="196"/>
      <c r="AVZ74" s="196"/>
      <c r="AWA74" s="196"/>
      <c r="AWB74" s="196"/>
      <c r="AWC74" s="198"/>
      <c r="AWD74" s="196"/>
      <c r="AWE74" s="196"/>
      <c r="AWF74" s="196"/>
      <c r="AWG74" s="196"/>
      <c r="AWH74" s="196"/>
      <c r="AWI74" s="199"/>
      <c r="AWJ74" s="196"/>
      <c r="AWK74" s="196"/>
      <c r="AWL74" s="196"/>
      <c r="AWM74" s="196"/>
      <c r="AWN74" s="196"/>
      <c r="AWO74" s="198"/>
      <c r="AWP74" s="196"/>
      <c r="AWQ74" s="196"/>
      <c r="AWR74" s="196"/>
      <c r="AWS74" s="196"/>
      <c r="AWT74" s="196"/>
      <c r="AWU74" s="199"/>
      <c r="AWV74" s="196"/>
      <c r="AWW74" s="196"/>
      <c r="AWX74" s="196"/>
      <c r="AWY74" s="196"/>
      <c r="AWZ74" s="196"/>
      <c r="AXA74" s="198"/>
      <c r="AXB74" s="196"/>
      <c r="AXC74" s="196"/>
      <c r="AXD74" s="196"/>
      <c r="AXE74" s="196"/>
      <c r="AXF74" s="196"/>
      <c r="AXG74" s="199"/>
      <c r="AXH74" s="196"/>
      <c r="AXI74" s="196"/>
      <c r="AXJ74" s="196"/>
      <c r="AXK74" s="196"/>
      <c r="AXL74" s="196"/>
      <c r="AXM74" s="198"/>
      <c r="AXN74" s="196"/>
      <c r="AXO74" s="196"/>
      <c r="AXP74" s="196"/>
      <c r="AXQ74" s="196"/>
      <c r="AXR74" s="196"/>
      <c r="AXS74" s="199"/>
      <c r="AXT74" s="196"/>
      <c r="AXU74" s="196"/>
      <c r="AXV74" s="196"/>
      <c r="AXW74" s="196"/>
      <c r="AXX74" s="196"/>
      <c r="AXY74" s="200"/>
      <c r="AXZ74" s="195"/>
      <c r="AYA74" s="196"/>
      <c r="AYB74" s="196"/>
      <c r="AYC74" s="196"/>
      <c r="AYD74" s="196"/>
      <c r="AYE74" s="197"/>
      <c r="AYF74" s="196"/>
      <c r="AYG74" s="196"/>
      <c r="AYH74" s="196"/>
      <c r="AYI74" s="196"/>
      <c r="AYJ74" s="196"/>
      <c r="AYK74" s="198"/>
      <c r="AYL74" s="196"/>
      <c r="AYM74" s="196"/>
      <c r="AYN74" s="196"/>
      <c r="AYO74" s="196"/>
      <c r="AYP74" s="196"/>
      <c r="AYQ74" s="199"/>
      <c r="AYR74" s="196"/>
      <c r="AYS74" s="196"/>
      <c r="AYT74" s="196"/>
      <c r="AYU74" s="196"/>
      <c r="AYV74" s="196"/>
      <c r="AYW74" s="198"/>
      <c r="AYX74" s="196"/>
      <c r="AYY74" s="196"/>
      <c r="AYZ74" s="196"/>
      <c r="AZA74" s="196"/>
      <c r="AZB74" s="196"/>
      <c r="AZC74" s="199"/>
      <c r="AZD74" s="196"/>
      <c r="AZE74" s="196"/>
      <c r="AZF74" s="196"/>
      <c r="AZG74" s="196"/>
      <c r="AZH74" s="196"/>
      <c r="AZI74" s="198"/>
      <c r="AZJ74" s="196"/>
      <c r="AZK74" s="196"/>
      <c r="AZL74" s="196"/>
      <c r="AZM74" s="196"/>
      <c r="AZN74" s="196"/>
      <c r="AZO74" s="199"/>
      <c r="AZP74" s="196"/>
      <c r="AZQ74" s="196"/>
      <c r="AZR74" s="196"/>
      <c r="AZS74" s="196"/>
      <c r="AZT74" s="196"/>
      <c r="AZU74" s="198"/>
      <c r="AZV74" s="196"/>
      <c r="AZW74" s="196"/>
      <c r="AZX74" s="196"/>
      <c r="AZY74" s="196"/>
      <c r="AZZ74" s="196"/>
      <c r="BAA74" s="199"/>
      <c r="BAB74" s="196"/>
      <c r="BAC74" s="196"/>
      <c r="BAD74" s="196"/>
      <c r="BAE74" s="196"/>
      <c r="BAF74" s="196"/>
      <c r="BAG74" s="200"/>
      <c r="BAH74" s="195"/>
      <c r="BAI74" s="196"/>
      <c r="BAJ74" s="196"/>
      <c r="BAK74" s="196"/>
      <c r="BAL74" s="196"/>
      <c r="BAM74" s="197"/>
      <c r="BAN74" s="196"/>
      <c r="BAO74" s="196"/>
      <c r="BAP74" s="196"/>
      <c r="BAQ74" s="196"/>
      <c r="BAR74" s="196"/>
      <c r="BAS74" s="198"/>
      <c r="BAT74" s="196"/>
      <c r="BAU74" s="196"/>
      <c r="BAV74" s="196"/>
      <c r="BAW74" s="196"/>
      <c r="BAX74" s="196"/>
      <c r="BAY74" s="199"/>
      <c r="BAZ74" s="196"/>
      <c r="BBA74" s="196"/>
      <c r="BBB74" s="196"/>
      <c r="BBC74" s="196"/>
      <c r="BBD74" s="196"/>
      <c r="BBE74" s="198"/>
      <c r="BBF74" s="196"/>
      <c r="BBG74" s="196"/>
      <c r="BBH74" s="196"/>
      <c r="BBI74" s="196"/>
      <c r="BBJ74" s="196"/>
      <c r="BBK74" s="199"/>
      <c r="BBL74" s="196"/>
      <c r="BBM74" s="196"/>
      <c r="BBN74" s="196"/>
      <c r="BBO74" s="196"/>
      <c r="BBP74" s="196"/>
      <c r="BBQ74" s="198"/>
      <c r="BBR74" s="196"/>
      <c r="BBS74" s="196"/>
      <c r="BBT74" s="196"/>
      <c r="BBU74" s="196"/>
      <c r="BBV74" s="196"/>
      <c r="BBW74" s="199"/>
      <c r="BBX74" s="196"/>
      <c r="BBY74" s="196"/>
      <c r="BBZ74" s="196"/>
      <c r="BCA74" s="196"/>
      <c r="BCB74" s="196"/>
      <c r="BCC74" s="198"/>
      <c r="BCD74" s="196"/>
      <c r="BCE74" s="196"/>
      <c r="BCF74" s="196"/>
      <c r="BCG74" s="196"/>
      <c r="BCH74" s="196"/>
      <c r="BCI74" s="199"/>
      <c r="BCJ74" s="196"/>
      <c r="BCK74" s="196"/>
      <c r="BCL74" s="196"/>
      <c r="BCM74" s="196"/>
      <c r="BCN74" s="196"/>
      <c r="BCO74" s="200"/>
      <c r="BCP74" s="195"/>
      <c r="BCQ74" s="196"/>
      <c r="BCR74" s="196"/>
      <c r="BCS74" s="196"/>
      <c r="BCT74" s="196"/>
      <c r="BCU74" s="197"/>
      <c r="BCV74" s="196"/>
      <c r="BCW74" s="196"/>
      <c r="BCX74" s="196"/>
      <c r="BCY74" s="196"/>
      <c r="BCZ74" s="196"/>
      <c r="BDA74" s="198"/>
      <c r="BDB74" s="196"/>
      <c r="BDC74" s="196"/>
      <c r="BDD74" s="196"/>
      <c r="BDE74" s="196"/>
      <c r="BDF74" s="196"/>
      <c r="BDG74" s="199"/>
      <c r="BDH74" s="196"/>
      <c r="BDI74" s="196"/>
      <c r="BDJ74" s="196"/>
      <c r="BDK74" s="196"/>
      <c r="BDL74" s="196"/>
      <c r="BDM74" s="198"/>
      <c r="BDN74" s="196"/>
      <c r="BDO74" s="196"/>
      <c r="BDP74" s="196"/>
      <c r="BDQ74" s="196"/>
      <c r="BDR74" s="196"/>
      <c r="BDS74" s="199"/>
      <c r="BDT74" s="196"/>
      <c r="BDU74" s="196"/>
      <c r="BDV74" s="196"/>
      <c r="BDW74" s="196"/>
      <c r="BDX74" s="196"/>
      <c r="BDY74" s="198"/>
      <c r="BDZ74" s="196"/>
      <c r="BEA74" s="196"/>
      <c r="BEB74" s="196"/>
      <c r="BEC74" s="196"/>
      <c r="BED74" s="196"/>
      <c r="BEE74" s="199"/>
      <c r="BEF74" s="196"/>
      <c r="BEG74" s="196"/>
      <c r="BEH74" s="196"/>
      <c r="BEI74" s="196"/>
      <c r="BEJ74" s="196"/>
      <c r="BEK74" s="198"/>
      <c r="BEL74" s="196"/>
      <c r="BEM74" s="196"/>
      <c r="BEN74" s="196"/>
      <c r="BEO74" s="196"/>
      <c r="BEP74" s="196"/>
      <c r="BEQ74" s="199"/>
      <c r="BER74" s="196"/>
      <c r="BES74" s="196"/>
      <c r="BET74" s="196"/>
      <c r="BEU74" s="196"/>
      <c r="BEV74" s="196"/>
      <c r="BEW74" s="200"/>
      <c r="BEX74" s="195"/>
      <c r="BEY74" s="196"/>
      <c r="BEZ74" s="196"/>
      <c r="BFA74" s="196"/>
      <c r="BFB74" s="196"/>
      <c r="BFC74" s="197"/>
      <c r="BFD74" s="196"/>
      <c r="BFE74" s="196"/>
      <c r="BFF74" s="196"/>
      <c r="BFG74" s="196"/>
      <c r="BFH74" s="196"/>
      <c r="BFI74" s="198"/>
      <c r="BFJ74" s="196"/>
      <c r="BFK74" s="196"/>
      <c r="BFL74" s="196"/>
      <c r="BFM74" s="196"/>
      <c r="BFN74" s="196"/>
      <c r="BFO74" s="199"/>
      <c r="BFP74" s="196"/>
      <c r="BFQ74" s="196"/>
      <c r="BFR74" s="196"/>
      <c r="BFS74" s="196"/>
      <c r="BFT74" s="196"/>
      <c r="BFU74" s="198"/>
      <c r="BFV74" s="196"/>
      <c r="BFW74" s="196"/>
      <c r="BFX74" s="196"/>
      <c r="BFY74" s="196"/>
      <c r="BFZ74" s="196"/>
      <c r="BGA74" s="199"/>
      <c r="BGB74" s="196"/>
      <c r="BGC74" s="196"/>
      <c r="BGD74" s="196"/>
      <c r="BGE74" s="196"/>
      <c r="BGF74" s="196"/>
      <c r="BGG74" s="198"/>
      <c r="BGH74" s="196"/>
      <c r="BGI74" s="196"/>
      <c r="BGJ74" s="196"/>
      <c r="BGK74" s="196"/>
      <c r="BGL74" s="196"/>
      <c r="BGM74" s="199"/>
      <c r="BGN74" s="196"/>
      <c r="BGO74" s="196"/>
      <c r="BGP74" s="196"/>
      <c r="BGQ74" s="196"/>
      <c r="BGR74" s="196"/>
      <c r="BGS74" s="198"/>
      <c r="BGT74" s="196"/>
      <c r="BGU74" s="196"/>
      <c r="BGV74" s="196"/>
      <c r="BGW74" s="196"/>
      <c r="BGX74" s="196"/>
      <c r="BGY74" s="199"/>
      <c r="BGZ74" s="196"/>
      <c r="BHA74" s="196"/>
      <c r="BHB74" s="196"/>
      <c r="BHC74" s="196"/>
      <c r="BHD74" s="196"/>
      <c r="BHE74" s="200"/>
      <c r="BHF74" s="187"/>
      <c r="BHG74" s="188"/>
      <c r="BHH74" s="188"/>
      <c r="BHI74" s="188"/>
      <c r="BHJ74" s="188"/>
      <c r="BHK74" s="188"/>
      <c r="BHL74" s="188"/>
      <c r="BHM74" s="188"/>
      <c r="BHN74" s="188"/>
      <c r="BHO74" s="188"/>
      <c r="BHP74" s="188"/>
      <c r="BHQ74" s="188"/>
      <c r="BHR74" s="188"/>
      <c r="BHS74" s="188"/>
      <c r="BHT74" s="188"/>
      <c r="BHU74" s="188"/>
      <c r="BHV74" s="188"/>
      <c r="BHW74" s="188"/>
      <c r="BHX74" s="188"/>
      <c r="BHY74" s="188"/>
      <c r="BHZ74" s="188"/>
      <c r="BIA74" s="188"/>
      <c r="BIB74" s="188"/>
      <c r="BIC74" s="188"/>
      <c r="BID74" s="188"/>
      <c r="BIE74" s="188"/>
      <c r="BIF74" s="188"/>
      <c r="BIG74" s="188"/>
      <c r="BIH74" s="188"/>
      <c r="BII74" s="188"/>
      <c r="BIJ74" s="188"/>
      <c r="BIK74" s="188"/>
      <c r="BIL74" s="188"/>
      <c r="BIM74" s="188"/>
      <c r="BIN74" s="188"/>
      <c r="BIO74" s="188"/>
      <c r="BIP74" s="188"/>
    </row>
    <row r="75" spans="1:1602" ht="20.100000000000001" customHeight="1" x14ac:dyDescent="0.25">
      <c r="A75" s="78" t="s">
        <v>49</v>
      </c>
      <c r="B75" s="51"/>
      <c r="C75" s="23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87"/>
      <c r="BHG75" s="188"/>
      <c r="BHH75" s="188"/>
      <c r="BHI75" s="188"/>
      <c r="BHJ75" s="188"/>
      <c r="BHK75" s="188"/>
      <c r="BHL75" s="188"/>
      <c r="BHM75" s="188"/>
      <c r="BHN75" s="188"/>
      <c r="BHO75" s="188"/>
      <c r="BHP75" s="188"/>
      <c r="BHQ75" s="188"/>
      <c r="BHR75" s="188"/>
      <c r="BHS75" s="188"/>
      <c r="BHT75" s="188"/>
      <c r="BHU75" s="188"/>
      <c r="BHV75" s="188"/>
      <c r="BHW75" s="188"/>
      <c r="BHX75" s="188"/>
      <c r="BHY75" s="188"/>
      <c r="BHZ75" s="188"/>
      <c r="BIA75" s="188"/>
      <c r="BIB75" s="188"/>
      <c r="BIC75" s="188"/>
      <c r="BID75" s="188"/>
      <c r="BIE75" s="188"/>
      <c r="BIF75" s="188"/>
      <c r="BIG75" s="188"/>
      <c r="BIH75" s="188"/>
      <c r="BII75" s="188"/>
      <c r="BIJ75" s="188"/>
      <c r="BIK75" s="188"/>
      <c r="BIL75" s="188"/>
      <c r="BIM75" s="188"/>
      <c r="BIN75" s="188"/>
      <c r="BIO75" s="188"/>
      <c r="BIP75" s="188"/>
    </row>
    <row r="76" spans="1:1602" ht="20.100000000000001" customHeight="1" x14ac:dyDescent="0.3">
      <c r="A76" s="78" t="s">
        <v>50</v>
      </c>
      <c r="B76" s="51"/>
      <c r="C76" s="231"/>
      <c r="D76" s="121" t="str">
        <f t="shared" si="0"/>
        <v/>
      </c>
      <c r="E76" s="30">
        <v>0</v>
      </c>
      <c r="F76" s="195"/>
      <c r="G76" s="196"/>
      <c r="H76" s="196"/>
      <c r="I76" s="196"/>
      <c r="J76" s="196"/>
      <c r="K76" s="197"/>
      <c r="L76" s="196"/>
      <c r="M76" s="196"/>
      <c r="N76" s="196"/>
      <c r="O76" s="196"/>
      <c r="P76" s="196"/>
      <c r="Q76" s="198"/>
      <c r="R76" s="196"/>
      <c r="S76" s="196"/>
      <c r="T76" s="196"/>
      <c r="U76" s="196"/>
      <c r="V76" s="196"/>
      <c r="W76" s="199"/>
      <c r="X76" s="196"/>
      <c r="Y76" s="196"/>
      <c r="Z76" s="196"/>
      <c r="AA76" s="196"/>
      <c r="AB76" s="196"/>
      <c r="AC76" s="198"/>
      <c r="AD76" s="196"/>
      <c r="AE76" s="196"/>
      <c r="AF76" s="196"/>
      <c r="AG76" s="196"/>
      <c r="AH76" s="196"/>
      <c r="AI76" s="199"/>
      <c r="AJ76" s="196"/>
      <c r="AK76" s="196"/>
      <c r="AL76" s="196"/>
      <c r="AM76" s="196"/>
      <c r="AN76" s="196"/>
      <c r="AO76" s="198"/>
      <c r="AP76" s="196"/>
      <c r="AQ76" s="196"/>
      <c r="AR76" s="196"/>
      <c r="AS76" s="196"/>
      <c r="AT76" s="196"/>
      <c r="AU76" s="199"/>
      <c r="AV76" s="196"/>
      <c r="AW76" s="196"/>
      <c r="AX76" s="196"/>
      <c r="AY76" s="196"/>
      <c r="AZ76" s="196"/>
      <c r="BA76" s="198"/>
      <c r="BB76" s="196"/>
      <c r="BC76" s="196"/>
      <c r="BD76" s="196"/>
      <c r="BE76" s="196"/>
      <c r="BF76" s="196"/>
      <c r="BG76" s="199"/>
      <c r="BH76" s="196"/>
      <c r="BI76" s="196"/>
      <c r="BJ76" s="196"/>
      <c r="BK76" s="196"/>
      <c r="BL76" s="196"/>
      <c r="BM76" s="200"/>
      <c r="BN76" s="195"/>
      <c r="BO76" s="196"/>
      <c r="BP76" s="196"/>
      <c r="BQ76" s="196"/>
      <c r="BR76" s="196"/>
      <c r="BS76" s="197"/>
      <c r="BT76" s="196"/>
      <c r="BU76" s="196"/>
      <c r="BV76" s="196"/>
      <c r="BW76" s="196"/>
      <c r="BX76" s="196"/>
      <c r="BY76" s="198"/>
      <c r="BZ76" s="196"/>
      <c r="CA76" s="196"/>
      <c r="CB76" s="196"/>
      <c r="CC76" s="196"/>
      <c r="CD76" s="196"/>
      <c r="CE76" s="199"/>
      <c r="CF76" s="196"/>
      <c r="CG76" s="196"/>
      <c r="CH76" s="196"/>
      <c r="CI76" s="196"/>
      <c r="CJ76" s="196"/>
      <c r="CK76" s="198"/>
      <c r="CL76" s="196"/>
      <c r="CM76" s="196"/>
      <c r="CN76" s="196"/>
      <c r="CO76" s="196"/>
      <c r="CP76" s="196"/>
      <c r="CQ76" s="199"/>
      <c r="CR76" s="196"/>
      <c r="CS76" s="196"/>
      <c r="CT76" s="196"/>
      <c r="CU76" s="196"/>
      <c r="CV76" s="196"/>
      <c r="CW76" s="198"/>
      <c r="CX76" s="196"/>
      <c r="CY76" s="196"/>
      <c r="CZ76" s="196"/>
      <c r="DA76" s="196"/>
      <c r="DB76" s="196"/>
      <c r="DC76" s="199"/>
      <c r="DD76" s="196"/>
      <c r="DE76" s="196"/>
      <c r="DF76" s="196"/>
      <c r="DG76" s="196"/>
      <c r="DH76" s="196"/>
      <c r="DI76" s="198"/>
      <c r="DJ76" s="196"/>
      <c r="DK76" s="196"/>
      <c r="DL76" s="196"/>
      <c r="DM76" s="196"/>
      <c r="DN76" s="196"/>
      <c r="DO76" s="199"/>
      <c r="DP76" s="196"/>
      <c r="DQ76" s="196"/>
      <c r="DR76" s="196"/>
      <c r="DS76" s="196"/>
      <c r="DT76" s="196"/>
      <c r="DU76" s="200"/>
      <c r="DV76" s="195"/>
      <c r="DW76" s="196"/>
      <c r="DX76" s="196"/>
      <c r="DY76" s="196"/>
      <c r="DZ76" s="196"/>
      <c r="EA76" s="197"/>
      <c r="EB76" s="196"/>
      <c r="EC76" s="196"/>
      <c r="ED76" s="196"/>
      <c r="EE76" s="196"/>
      <c r="EF76" s="196"/>
      <c r="EG76" s="198"/>
      <c r="EH76" s="196"/>
      <c r="EI76" s="196"/>
      <c r="EJ76" s="196"/>
      <c r="EK76" s="196"/>
      <c r="EL76" s="196"/>
      <c r="EM76" s="199"/>
      <c r="EN76" s="196"/>
      <c r="EO76" s="196"/>
      <c r="EP76" s="196"/>
      <c r="EQ76" s="196"/>
      <c r="ER76" s="196"/>
      <c r="ES76" s="198"/>
      <c r="ET76" s="196"/>
      <c r="EU76" s="196"/>
      <c r="EV76" s="196"/>
      <c r="EW76" s="196"/>
      <c r="EX76" s="196"/>
      <c r="EY76" s="199"/>
      <c r="EZ76" s="196"/>
      <c r="FA76" s="196"/>
      <c r="FB76" s="196"/>
      <c r="FC76" s="196"/>
      <c r="FD76" s="196"/>
      <c r="FE76" s="198"/>
      <c r="FF76" s="196"/>
      <c r="FG76" s="196"/>
      <c r="FH76" s="196"/>
      <c r="FI76" s="196"/>
      <c r="FJ76" s="196"/>
      <c r="FK76" s="199"/>
      <c r="FL76" s="196"/>
      <c r="FM76" s="196"/>
      <c r="FN76" s="196"/>
      <c r="FO76" s="196"/>
      <c r="FP76" s="196"/>
      <c r="FQ76" s="198"/>
      <c r="FR76" s="196"/>
      <c r="FS76" s="196"/>
      <c r="FT76" s="196"/>
      <c r="FU76" s="196"/>
      <c r="FV76" s="196"/>
      <c r="FW76" s="199"/>
      <c r="FX76" s="196"/>
      <c r="FY76" s="196"/>
      <c r="FZ76" s="196"/>
      <c r="GA76" s="196"/>
      <c r="GB76" s="196"/>
      <c r="GC76" s="200"/>
      <c r="GD76" s="195"/>
      <c r="GE76" s="196"/>
      <c r="GF76" s="196"/>
      <c r="GG76" s="196"/>
      <c r="GH76" s="196"/>
      <c r="GI76" s="197"/>
      <c r="GJ76" s="196"/>
      <c r="GK76" s="196"/>
      <c r="GL76" s="196"/>
      <c r="GM76" s="196"/>
      <c r="GN76" s="196"/>
      <c r="GO76" s="198"/>
      <c r="GP76" s="196"/>
      <c r="GQ76" s="196"/>
      <c r="GR76" s="196"/>
      <c r="GS76" s="196"/>
      <c r="GT76" s="196"/>
      <c r="GU76" s="199"/>
      <c r="GV76" s="196"/>
      <c r="GW76" s="196"/>
      <c r="GX76" s="196"/>
      <c r="GY76" s="196"/>
      <c r="GZ76" s="196"/>
      <c r="HA76" s="198"/>
      <c r="HB76" s="196"/>
      <c r="HC76" s="196"/>
      <c r="HD76" s="196"/>
      <c r="HE76" s="196"/>
      <c r="HF76" s="196"/>
      <c r="HG76" s="199"/>
      <c r="HH76" s="196"/>
      <c r="HI76" s="196"/>
      <c r="HJ76" s="196"/>
      <c r="HK76" s="196"/>
      <c r="HL76" s="196"/>
      <c r="HM76" s="198"/>
      <c r="HN76" s="196"/>
      <c r="HO76" s="196"/>
      <c r="HP76" s="196"/>
      <c r="HQ76" s="196"/>
      <c r="HR76" s="196"/>
      <c r="HS76" s="199"/>
      <c r="HT76" s="196"/>
      <c r="HU76" s="196"/>
      <c r="HV76" s="196"/>
      <c r="HW76" s="196"/>
      <c r="HX76" s="196"/>
      <c r="HY76" s="198"/>
      <c r="HZ76" s="196"/>
      <c r="IA76" s="196"/>
      <c r="IB76" s="196"/>
      <c r="IC76" s="196"/>
      <c r="ID76" s="196"/>
      <c r="IE76" s="199"/>
      <c r="IF76" s="196"/>
      <c r="IG76" s="196"/>
      <c r="IH76" s="196"/>
      <c r="II76" s="196"/>
      <c r="IJ76" s="196"/>
      <c r="IK76" s="200"/>
      <c r="IL76" s="195"/>
      <c r="IM76" s="196"/>
      <c r="IN76" s="196"/>
      <c r="IO76" s="196"/>
      <c r="IP76" s="196"/>
      <c r="IQ76" s="197"/>
      <c r="IR76" s="196"/>
      <c r="IS76" s="196"/>
      <c r="IT76" s="196"/>
      <c r="IU76" s="196"/>
      <c r="IV76" s="196"/>
      <c r="IW76" s="198"/>
      <c r="IX76" s="196"/>
      <c r="IY76" s="196"/>
      <c r="IZ76" s="196"/>
      <c r="JA76" s="196"/>
      <c r="JB76" s="196"/>
      <c r="JC76" s="199"/>
      <c r="JD76" s="196"/>
      <c r="JE76" s="196"/>
      <c r="JF76" s="196"/>
      <c r="JG76" s="196"/>
      <c r="JH76" s="196"/>
      <c r="JI76" s="198"/>
      <c r="JJ76" s="196"/>
      <c r="JK76" s="196"/>
      <c r="JL76" s="196"/>
      <c r="JM76" s="196"/>
      <c r="JN76" s="196"/>
      <c r="JO76" s="199"/>
      <c r="JP76" s="196"/>
      <c r="JQ76" s="196"/>
      <c r="JR76" s="196"/>
      <c r="JS76" s="196"/>
      <c r="JT76" s="196"/>
      <c r="JU76" s="198"/>
      <c r="JV76" s="196"/>
      <c r="JW76" s="196"/>
      <c r="JX76" s="196"/>
      <c r="JY76" s="196"/>
      <c r="JZ76" s="196"/>
      <c r="KA76" s="199"/>
      <c r="KB76" s="196"/>
      <c r="KC76" s="196"/>
      <c r="KD76" s="196"/>
      <c r="KE76" s="196"/>
      <c r="KF76" s="196"/>
      <c r="KG76" s="198"/>
      <c r="KH76" s="196"/>
      <c r="KI76" s="196"/>
      <c r="KJ76" s="196"/>
      <c r="KK76" s="196"/>
      <c r="KL76" s="196"/>
      <c r="KM76" s="199"/>
      <c r="KN76" s="196"/>
      <c r="KO76" s="196"/>
      <c r="KP76" s="196"/>
      <c r="KQ76" s="196"/>
      <c r="KR76" s="196"/>
      <c r="KS76" s="200"/>
      <c r="KT76" s="195"/>
      <c r="KU76" s="196"/>
      <c r="KV76" s="196"/>
      <c r="KW76" s="196"/>
      <c r="KX76" s="196"/>
      <c r="KY76" s="197"/>
      <c r="KZ76" s="196"/>
      <c r="LA76" s="196"/>
      <c r="LB76" s="196"/>
      <c r="LC76" s="196"/>
      <c r="LD76" s="196"/>
      <c r="LE76" s="198"/>
      <c r="LF76" s="196"/>
      <c r="LG76" s="196"/>
      <c r="LH76" s="196"/>
      <c r="LI76" s="196"/>
      <c r="LJ76" s="196"/>
      <c r="LK76" s="199"/>
      <c r="LL76" s="196"/>
      <c r="LM76" s="196"/>
      <c r="LN76" s="196"/>
      <c r="LO76" s="196"/>
      <c r="LP76" s="196"/>
      <c r="LQ76" s="198"/>
      <c r="LR76" s="196"/>
      <c r="LS76" s="196"/>
      <c r="LT76" s="196"/>
      <c r="LU76" s="196"/>
      <c r="LV76" s="196"/>
      <c r="LW76" s="199"/>
      <c r="LX76" s="196"/>
      <c r="LY76" s="196"/>
      <c r="LZ76" s="196"/>
      <c r="MA76" s="196"/>
      <c r="MB76" s="196"/>
      <c r="MC76" s="198"/>
      <c r="MD76" s="196"/>
      <c r="ME76" s="196"/>
      <c r="MF76" s="196"/>
      <c r="MG76" s="196"/>
      <c r="MH76" s="196"/>
      <c r="MI76" s="199"/>
      <c r="MJ76" s="196"/>
      <c r="MK76" s="196"/>
      <c r="ML76" s="196"/>
      <c r="MM76" s="196"/>
      <c r="MN76" s="196"/>
      <c r="MO76" s="198"/>
      <c r="MP76" s="196"/>
      <c r="MQ76" s="196"/>
      <c r="MR76" s="196"/>
      <c r="MS76" s="196"/>
      <c r="MT76" s="196"/>
      <c r="MU76" s="199"/>
      <c r="MV76" s="196"/>
      <c r="MW76" s="196"/>
      <c r="MX76" s="196"/>
      <c r="MY76" s="196"/>
      <c r="MZ76" s="196"/>
      <c r="NA76" s="200"/>
      <c r="NB76" s="195"/>
      <c r="NC76" s="196"/>
      <c r="ND76" s="196"/>
      <c r="NE76" s="196"/>
      <c r="NF76" s="196"/>
      <c r="NG76" s="197"/>
      <c r="NH76" s="196"/>
      <c r="NI76" s="196"/>
      <c r="NJ76" s="196"/>
      <c r="NK76" s="196"/>
      <c r="NL76" s="196"/>
      <c r="NM76" s="198"/>
      <c r="NN76" s="196"/>
      <c r="NO76" s="196"/>
      <c r="NP76" s="196"/>
      <c r="NQ76" s="196"/>
      <c r="NR76" s="196"/>
      <c r="NS76" s="199"/>
      <c r="NT76" s="196"/>
      <c r="NU76" s="196"/>
      <c r="NV76" s="196"/>
      <c r="NW76" s="196"/>
      <c r="NX76" s="196"/>
      <c r="NY76" s="198"/>
      <c r="NZ76" s="196"/>
      <c r="OA76" s="196"/>
      <c r="OB76" s="196"/>
      <c r="OC76" s="196"/>
      <c r="OD76" s="196"/>
      <c r="OE76" s="199"/>
      <c r="OF76" s="196"/>
      <c r="OG76" s="196"/>
      <c r="OH76" s="196"/>
      <c r="OI76" s="196"/>
      <c r="OJ76" s="196"/>
      <c r="OK76" s="198"/>
      <c r="OL76" s="196"/>
      <c r="OM76" s="196"/>
      <c r="ON76" s="196"/>
      <c r="OO76" s="196"/>
      <c r="OP76" s="196"/>
      <c r="OQ76" s="199"/>
      <c r="OR76" s="196"/>
      <c r="OS76" s="196"/>
      <c r="OT76" s="196"/>
      <c r="OU76" s="196"/>
      <c r="OV76" s="196"/>
      <c r="OW76" s="198"/>
      <c r="OX76" s="196"/>
      <c r="OY76" s="196"/>
      <c r="OZ76" s="196"/>
      <c r="PA76" s="196"/>
      <c r="PB76" s="196"/>
      <c r="PC76" s="199"/>
      <c r="PD76" s="196"/>
      <c r="PE76" s="196"/>
      <c r="PF76" s="196"/>
      <c r="PG76" s="196"/>
      <c r="PH76" s="196"/>
      <c r="PI76" s="200"/>
      <c r="PJ76" s="195"/>
      <c r="PK76" s="196"/>
      <c r="PL76" s="196"/>
      <c r="PM76" s="196"/>
      <c r="PN76" s="196"/>
      <c r="PO76" s="197"/>
      <c r="PP76" s="196"/>
      <c r="PQ76" s="196"/>
      <c r="PR76" s="196"/>
      <c r="PS76" s="196"/>
      <c r="PT76" s="196"/>
      <c r="PU76" s="198"/>
      <c r="PV76" s="196"/>
      <c r="PW76" s="196"/>
      <c r="PX76" s="196"/>
      <c r="PY76" s="196"/>
      <c r="PZ76" s="196"/>
      <c r="QA76" s="199"/>
      <c r="QB76" s="196"/>
      <c r="QC76" s="196"/>
      <c r="QD76" s="196"/>
      <c r="QE76" s="196"/>
      <c r="QF76" s="196"/>
      <c r="QG76" s="198"/>
      <c r="QH76" s="196"/>
      <c r="QI76" s="196"/>
      <c r="QJ76" s="196"/>
      <c r="QK76" s="196"/>
      <c r="QL76" s="196"/>
      <c r="QM76" s="199"/>
      <c r="QN76" s="196"/>
      <c r="QO76" s="196"/>
      <c r="QP76" s="196"/>
      <c r="QQ76" s="196"/>
      <c r="QR76" s="196"/>
      <c r="QS76" s="198"/>
      <c r="QT76" s="196"/>
      <c r="QU76" s="196"/>
      <c r="QV76" s="196"/>
      <c r="QW76" s="196"/>
      <c r="QX76" s="196"/>
      <c r="QY76" s="199"/>
      <c r="QZ76" s="196"/>
      <c r="RA76" s="196"/>
      <c r="RB76" s="196"/>
      <c r="RC76" s="196"/>
      <c r="RD76" s="196"/>
      <c r="RE76" s="198"/>
      <c r="RF76" s="196"/>
      <c r="RG76" s="196"/>
      <c r="RH76" s="196"/>
      <c r="RI76" s="196"/>
      <c r="RJ76" s="196"/>
      <c r="RK76" s="199"/>
      <c r="RL76" s="196"/>
      <c r="RM76" s="196"/>
      <c r="RN76" s="196"/>
      <c r="RO76" s="196"/>
      <c r="RP76" s="196"/>
      <c r="RQ76" s="200"/>
      <c r="RR76" s="195"/>
      <c r="RS76" s="196"/>
      <c r="RT76" s="196"/>
      <c r="RU76" s="196"/>
      <c r="RV76" s="196"/>
      <c r="RW76" s="197"/>
      <c r="RX76" s="196"/>
      <c r="RY76" s="196"/>
      <c r="RZ76" s="196"/>
      <c r="SA76" s="196"/>
      <c r="SB76" s="196"/>
      <c r="SC76" s="198"/>
      <c r="SD76" s="196"/>
      <c r="SE76" s="196"/>
      <c r="SF76" s="196"/>
      <c r="SG76" s="196"/>
      <c r="SH76" s="196"/>
      <c r="SI76" s="199"/>
      <c r="SJ76" s="196"/>
      <c r="SK76" s="196"/>
      <c r="SL76" s="196"/>
      <c r="SM76" s="196"/>
      <c r="SN76" s="196"/>
      <c r="SO76" s="198"/>
      <c r="SP76" s="196"/>
      <c r="SQ76" s="196"/>
      <c r="SR76" s="196"/>
      <c r="SS76" s="196"/>
      <c r="ST76" s="196"/>
      <c r="SU76" s="199"/>
      <c r="SV76" s="196"/>
      <c r="SW76" s="196"/>
      <c r="SX76" s="196"/>
      <c r="SY76" s="196"/>
      <c r="SZ76" s="196"/>
      <c r="TA76" s="198"/>
      <c r="TB76" s="196"/>
      <c r="TC76" s="196"/>
      <c r="TD76" s="196"/>
      <c r="TE76" s="196"/>
      <c r="TF76" s="196"/>
      <c r="TG76" s="199"/>
      <c r="TH76" s="196"/>
      <c r="TI76" s="196"/>
      <c r="TJ76" s="196"/>
      <c r="TK76" s="196"/>
      <c r="TL76" s="196"/>
      <c r="TM76" s="198"/>
      <c r="TN76" s="196"/>
      <c r="TO76" s="196"/>
      <c r="TP76" s="196"/>
      <c r="TQ76" s="196"/>
      <c r="TR76" s="196"/>
      <c r="TS76" s="199"/>
      <c r="TT76" s="196"/>
      <c r="TU76" s="196"/>
      <c r="TV76" s="196"/>
      <c r="TW76" s="196"/>
      <c r="TX76" s="196"/>
      <c r="TY76" s="200"/>
      <c r="TZ76" s="195"/>
      <c r="UA76" s="196"/>
      <c r="UB76" s="196"/>
      <c r="UC76" s="196"/>
      <c r="UD76" s="196"/>
      <c r="UE76" s="197"/>
      <c r="UF76" s="196"/>
      <c r="UG76" s="196"/>
      <c r="UH76" s="196"/>
      <c r="UI76" s="196"/>
      <c r="UJ76" s="196"/>
      <c r="UK76" s="198"/>
      <c r="UL76" s="196"/>
      <c r="UM76" s="196"/>
      <c r="UN76" s="196"/>
      <c r="UO76" s="196"/>
      <c r="UP76" s="196"/>
      <c r="UQ76" s="199"/>
      <c r="UR76" s="196"/>
      <c r="US76" s="196"/>
      <c r="UT76" s="196"/>
      <c r="UU76" s="196"/>
      <c r="UV76" s="196"/>
      <c r="UW76" s="198"/>
      <c r="UX76" s="196"/>
      <c r="UY76" s="196"/>
      <c r="UZ76" s="196"/>
      <c r="VA76" s="196"/>
      <c r="VB76" s="196"/>
      <c r="VC76" s="199"/>
      <c r="VD76" s="196"/>
      <c r="VE76" s="196"/>
      <c r="VF76" s="196"/>
      <c r="VG76" s="196"/>
      <c r="VH76" s="196"/>
      <c r="VI76" s="198"/>
      <c r="VJ76" s="196"/>
      <c r="VK76" s="196"/>
      <c r="VL76" s="196"/>
      <c r="VM76" s="196"/>
      <c r="VN76" s="196"/>
      <c r="VO76" s="199"/>
      <c r="VP76" s="196"/>
      <c r="VQ76" s="196"/>
      <c r="VR76" s="196"/>
      <c r="VS76" s="196"/>
      <c r="VT76" s="196"/>
      <c r="VU76" s="198"/>
      <c r="VV76" s="196"/>
      <c r="VW76" s="196"/>
      <c r="VX76" s="196"/>
      <c r="VY76" s="196"/>
      <c r="VZ76" s="196"/>
      <c r="WA76" s="199"/>
      <c r="WB76" s="196"/>
      <c r="WC76" s="196"/>
      <c r="WD76" s="196"/>
      <c r="WE76" s="196"/>
      <c r="WF76" s="196"/>
      <c r="WG76" s="200"/>
      <c r="WH76" s="195"/>
      <c r="WI76" s="196"/>
      <c r="WJ76" s="196"/>
      <c r="WK76" s="196"/>
      <c r="WL76" s="196"/>
      <c r="WM76" s="197"/>
      <c r="WN76" s="196"/>
      <c r="WO76" s="196"/>
      <c r="WP76" s="196"/>
      <c r="WQ76" s="196"/>
      <c r="WR76" s="196"/>
      <c r="WS76" s="198"/>
      <c r="WT76" s="196"/>
      <c r="WU76" s="196"/>
      <c r="WV76" s="196"/>
      <c r="WW76" s="196"/>
      <c r="WX76" s="196"/>
      <c r="WY76" s="199"/>
      <c r="WZ76" s="196"/>
      <c r="XA76" s="196"/>
      <c r="XB76" s="196"/>
      <c r="XC76" s="196"/>
      <c r="XD76" s="196"/>
      <c r="XE76" s="198"/>
      <c r="XF76" s="196"/>
      <c r="XG76" s="196"/>
      <c r="XH76" s="196"/>
      <c r="XI76" s="196"/>
      <c r="XJ76" s="196"/>
      <c r="XK76" s="199"/>
      <c r="XL76" s="196"/>
      <c r="XM76" s="196"/>
      <c r="XN76" s="196"/>
      <c r="XO76" s="196"/>
      <c r="XP76" s="196"/>
      <c r="XQ76" s="198"/>
      <c r="XR76" s="196"/>
      <c r="XS76" s="196"/>
      <c r="XT76" s="196"/>
      <c r="XU76" s="196"/>
      <c r="XV76" s="196"/>
      <c r="XW76" s="199"/>
      <c r="XX76" s="196"/>
      <c r="XY76" s="196"/>
      <c r="XZ76" s="196"/>
      <c r="YA76" s="196"/>
      <c r="YB76" s="196"/>
      <c r="YC76" s="198"/>
      <c r="YD76" s="196"/>
      <c r="YE76" s="196"/>
      <c r="YF76" s="196"/>
      <c r="YG76" s="196"/>
      <c r="YH76" s="196"/>
      <c r="YI76" s="199"/>
      <c r="YJ76" s="196"/>
      <c r="YK76" s="196"/>
      <c r="YL76" s="196"/>
      <c r="YM76" s="196"/>
      <c r="YN76" s="196"/>
      <c r="YO76" s="200"/>
      <c r="YP76" s="195"/>
      <c r="YQ76" s="196"/>
      <c r="YR76" s="196"/>
      <c r="YS76" s="196"/>
      <c r="YT76" s="196"/>
      <c r="YU76" s="197"/>
      <c r="YV76" s="196"/>
      <c r="YW76" s="196"/>
      <c r="YX76" s="196"/>
      <c r="YY76" s="196"/>
      <c r="YZ76" s="196"/>
      <c r="ZA76" s="198"/>
      <c r="ZB76" s="196"/>
      <c r="ZC76" s="196"/>
      <c r="ZD76" s="196"/>
      <c r="ZE76" s="196"/>
      <c r="ZF76" s="196"/>
      <c r="ZG76" s="199"/>
      <c r="ZH76" s="196"/>
      <c r="ZI76" s="196"/>
      <c r="ZJ76" s="196"/>
      <c r="ZK76" s="196"/>
      <c r="ZL76" s="196"/>
      <c r="ZM76" s="198"/>
      <c r="ZN76" s="196"/>
      <c r="ZO76" s="196"/>
      <c r="ZP76" s="196"/>
      <c r="ZQ76" s="196"/>
      <c r="ZR76" s="196"/>
      <c r="ZS76" s="199"/>
      <c r="ZT76" s="196"/>
      <c r="ZU76" s="196"/>
      <c r="ZV76" s="196"/>
      <c r="ZW76" s="196"/>
      <c r="ZX76" s="196"/>
      <c r="ZY76" s="198"/>
      <c r="ZZ76" s="196"/>
      <c r="AAA76" s="196"/>
      <c r="AAB76" s="196"/>
      <c r="AAC76" s="196"/>
      <c r="AAD76" s="196"/>
      <c r="AAE76" s="199"/>
      <c r="AAF76" s="196"/>
      <c r="AAG76" s="196"/>
      <c r="AAH76" s="196"/>
      <c r="AAI76" s="196"/>
      <c r="AAJ76" s="196"/>
      <c r="AAK76" s="198"/>
      <c r="AAL76" s="196"/>
      <c r="AAM76" s="196"/>
      <c r="AAN76" s="196"/>
      <c r="AAO76" s="196"/>
      <c r="AAP76" s="196"/>
      <c r="AAQ76" s="199"/>
      <c r="AAR76" s="196"/>
      <c r="AAS76" s="196"/>
      <c r="AAT76" s="196"/>
      <c r="AAU76" s="196"/>
      <c r="AAV76" s="196"/>
      <c r="AAW76" s="200"/>
      <c r="AAX76" s="195"/>
      <c r="AAY76" s="196"/>
      <c r="AAZ76" s="196"/>
      <c r="ABA76" s="196"/>
      <c r="ABB76" s="196"/>
      <c r="ABC76" s="197"/>
      <c r="ABD76" s="196"/>
      <c r="ABE76" s="196"/>
      <c r="ABF76" s="196"/>
      <c r="ABG76" s="196"/>
      <c r="ABH76" s="196"/>
      <c r="ABI76" s="198"/>
      <c r="ABJ76" s="196"/>
      <c r="ABK76" s="196"/>
      <c r="ABL76" s="196"/>
      <c r="ABM76" s="196"/>
      <c r="ABN76" s="196"/>
      <c r="ABO76" s="199"/>
      <c r="ABP76" s="196"/>
      <c r="ABQ76" s="196"/>
      <c r="ABR76" s="196"/>
      <c r="ABS76" s="196"/>
      <c r="ABT76" s="196"/>
      <c r="ABU76" s="198"/>
      <c r="ABV76" s="196"/>
      <c r="ABW76" s="196"/>
      <c r="ABX76" s="196"/>
      <c r="ABY76" s="196"/>
      <c r="ABZ76" s="196"/>
      <c r="ACA76" s="199"/>
      <c r="ACB76" s="196"/>
      <c r="ACC76" s="196"/>
      <c r="ACD76" s="196"/>
      <c r="ACE76" s="196"/>
      <c r="ACF76" s="196"/>
      <c r="ACG76" s="198"/>
      <c r="ACH76" s="196"/>
      <c r="ACI76" s="196"/>
      <c r="ACJ76" s="196"/>
      <c r="ACK76" s="196"/>
      <c r="ACL76" s="196"/>
      <c r="ACM76" s="199"/>
      <c r="ACN76" s="196"/>
      <c r="ACO76" s="196"/>
      <c r="ACP76" s="196"/>
      <c r="ACQ76" s="196"/>
      <c r="ACR76" s="196"/>
      <c r="ACS76" s="198"/>
      <c r="ACT76" s="196"/>
      <c r="ACU76" s="196"/>
      <c r="ACV76" s="196"/>
      <c r="ACW76" s="196"/>
      <c r="ACX76" s="196"/>
      <c r="ACY76" s="199"/>
      <c r="ACZ76" s="196"/>
      <c r="ADA76" s="196"/>
      <c r="ADB76" s="196"/>
      <c r="ADC76" s="196"/>
      <c r="ADD76" s="196"/>
      <c r="ADE76" s="200"/>
      <c r="ADF76" s="195"/>
      <c r="ADG76" s="196"/>
      <c r="ADH76" s="196"/>
      <c r="ADI76" s="196"/>
      <c r="ADJ76" s="196"/>
      <c r="ADK76" s="197"/>
      <c r="ADL76" s="196"/>
      <c r="ADM76" s="196"/>
      <c r="ADN76" s="196"/>
      <c r="ADO76" s="196"/>
      <c r="ADP76" s="196"/>
      <c r="ADQ76" s="198"/>
      <c r="ADR76" s="196"/>
      <c r="ADS76" s="196"/>
      <c r="ADT76" s="196"/>
      <c r="ADU76" s="196"/>
      <c r="ADV76" s="196"/>
      <c r="ADW76" s="199"/>
      <c r="ADX76" s="196"/>
      <c r="ADY76" s="196"/>
      <c r="ADZ76" s="196"/>
      <c r="AEA76" s="196"/>
      <c r="AEB76" s="196"/>
      <c r="AEC76" s="198"/>
      <c r="AED76" s="196"/>
      <c r="AEE76" s="196"/>
      <c r="AEF76" s="196"/>
      <c r="AEG76" s="196"/>
      <c r="AEH76" s="196"/>
      <c r="AEI76" s="199"/>
      <c r="AEJ76" s="196"/>
      <c r="AEK76" s="196"/>
      <c r="AEL76" s="196"/>
      <c r="AEM76" s="196"/>
      <c r="AEN76" s="196"/>
      <c r="AEO76" s="198"/>
      <c r="AEP76" s="196"/>
      <c r="AEQ76" s="196"/>
      <c r="AER76" s="196"/>
      <c r="AES76" s="196"/>
      <c r="AET76" s="196"/>
      <c r="AEU76" s="199"/>
      <c r="AEV76" s="196"/>
      <c r="AEW76" s="196"/>
      <c r="AEX76" s="196"/>
      <c r="AEY76" s="196"/>
      <c r="AEZ76" s="196"/>
      <c r="AFA76" s="198"/>
      <c r="AFB76" s="196"/>
      <c r="AFC76" s="196"/>
      <c r="AFD76" s="196"/>
      <c r="AFE76" s="196"/>
      <c r="AFF76" s="196"/>
      <c r="AFG76" s="199"/>
      <c r="AFH76" s="196"/>
      <c r="AFI76" s="196"/>
      <c r="AFJ76" s="196"/>
      <c r="AFK76" s="196"/>
      <c r="AFL76" s="196"/>
      <c r="AFM76" s="200"/>
      <c r="AFN76" s="195"/>
      <c r="AFO76" s="196"/>
      <c r="AFP76" s="196"/>
      <c r="AFQ76" s="196"/>
      <c r="AFR76" s="196"/>
      <c r="AFS76" s="197"/>
      <c r="AFT76" s="196"/>
      <c r="AFU76" s="196"/>
      <c r="AFV76" s="196"/>
      <c r="AFW76" s="196"/>
      <c r="AFX76" s="196"/>
      <c r="AFY76" s="198"/>
      <c r="AFZ76" s="196"/>
      <c r="AGA76" s="196"/>
      <c r="AGB76" s="196"/>
      <c r="AGC76" s="196"/>
      <c r="AGD76" s="196"/>
      <c r="AGE76" s="199"/>
      <c r="AGF76" s="196"/>
      <c r="AGG76" s="196"/>
      <c r="AGH76" s="196"/>
      <c r="AGI76" s="196"/>
      <c r="AGJ76" s="196"/>
      <c r="AGK76" s="198"/>
      <c r="AGL76" s="196"/>
      <c r="AGM76" s="196"/>
      <c r="AGN76" s="196"/>
      <c r="AGO76" s="196"/>
      <c r="AGP76" s="196"/>
      <c r="AGQ76" s="199"/>
      <c r="AGR76" s="196"/>
      <c r="AGS76" s="196"/>
      <c r="AGT76" s="196"/>
      <c r="AGU76" s="196"/>
      <c r="AGV76" s="196"/>
      <c r="AGW76" s="198"/>
      <c r="AGX76" s="196"/>
      <c r="AGY76" s="196"/>
      <c r="AGZ76" s="196"/>
      <c r="AHA76" s="196"/>
      <c r="AHB76" s="196"/>
      <c r="AHC76" s="199"/>
      <c r="AHD76" s="196"/>
      <c r="AHE76" s="196"/>
      <c r="AHF76" s="196"/>
      <c r="AHG76" s="196"/>
      <c r="AHH76" s="196"/>
      <c r="AHI76" s="198"/>
      <c r="AHJ76" s="196"/>
      <c r="AHK76" s="196"/>
      <c r="AHL76" s="196"/>
      <c r="AHM76" s="196"/>
      <c r="AHN76" s="196"/>
      <c r="AHO76" s="199"/>
      <c r="AHP76" s="196"/>
      <c r="AHQ76" s="196"/>
      <c r="AHR76" s="196"/>
      <c r="AHS76" s="196"/>
      <c r="AHT76" s="196"/>
      <c r="AHU76" s="200"/>
      <c r="AHV76" s="195"/>
      <c r="AHW76" s="196"/>
      <c r="AHX76" s="196"/>
      <c r="AHY76" s="196"/>
      <c r="AHZ76" s="196"/>
      <c r="AIA76" s="197"/>
      <c r="AIB76" s="196"/>
      <c r="AIC76" s="196"/>
      <c r="AID76" s="196"/>
      <c r="AIE76" s="196"/>
      <c r="AIF76" s="196"/>
      <c r="AIG76" s="198"/>
      <c r="AIH76" s="196"/>
      <c r="AII76" s="196"/>
      <c r="AIJ76" s="196"/>
      <c r="AIK76" s="196"/>
      <c r="AIL76" s="196"/>
      <c r="AIM76" s="199"/>
      <c r="AIN76" s="196"/>
      <c r="AIO76" s="196"/>
      <c r="AIP76" s="196"/>
      <c r="AIQ76" s="196"/>
      <c r="AIR76" s="196"/>
      <c r="AIS76" s="198"/>
      <c r="AIT76" s="196"/>
      <c r="AIU76" s="196"/>
      <c r="AIV76" s="196"/>
      <c r="AIW76" s="196"/>
      <c r="AIX76" s="196"/>
      <c r="AIY76" s="199"/>
      <c r="AIZ76" s="196"/>
      <c r="AJA76" s="196"/>
      <c r="AJB76" s="196"/>
      <c r="AJC76" s="196"/>
      <c r="AJD76" s="196"/>
      <c r="AJE76" s="198"/>
      <c r="AJF76" s="196"/>
      <c r="AJG76" s="196"/>
      <c r="AJH76" s="196"/>
      <c r="AJI76" s="196"/>
      <c r="AJJ76" s="196"/>
      <c r="AJK76" s="199"/>
      <c r="AJL76" s="196"/>
      <c r="AJM76" s="196"/>
      <c r="AJN76" s="196"/>
      <c r="AJO76" s="196"/>
      <c r="AJP76" s="196"/>
      <c r="AJQ76" s="198"/>
      <c r="AJR76" s="196"/>
      <c r="AJS76" s="196"/>
      <c r="AJT76" s="196"/>
      <c r="AJU76" s="196"/>
      <c r="AJV76" s="196"/>
      <c r="AJW76" s="199"/>
      <c r="AJX76" s="196"/>
      <c r="AJY76" s="196"/>
      <c r="AJZ76" s="196"/>
      <c r="AKA76" s="196"/>
      <c r="AKB76" s="196"/>
      <c r="AKC76" s="200"/>
      <c r="AKD76" s="195"/>
      <c r="AKE76" s="196"/>
      <c r="AKF76" s="196"/>
      <c r="AKG76" s="196"/>
      <c r="AKH76" s="196"/>
      <c r="AKI76" s="197"/>
      <c r="AKJ76" s="196"/>
      <c r="AKK76" s="196"/>
      <c r="AKL76" s="196"/>
      <c r="AKM76" s="196"/>
      <c r="AKN76" s="196"/>
      <c r="AKO76" s="198"/>
      <c r="AKP76" s="196"/>
      <c r="AKQ76" s="196"/>
      <c r="AKR76" s="196"/>
      <c r="AKS76" s="196"/>
      <c r="AKT76" s="196"/>
      <c r="AKU76" s="199"/>
      <c r="AKV76" s="196"/>
      <c r="AKW76" s="196"/>
      <c r="AKX76" s="196"/>
      <c r="AKY76" s="196"/>
      <c r="AKZ76" s="196"/>
      <c r="ALA76" s="198"/>
      <c r="ALB76" s="196"/>
      <c r="ALC76" s="196"/>
      <c r="ALD76" s="196"/>
      <c r="ALE76" s="196"/>
      <c r="ALF76" s="196"/>
      <c r="ALG76" s="199"/>
      <c r="ALH76" s="196"/>
      <c r="ALI76" s="196"/>
      <c r="ALJ76" s="196"/>
      <c r="ALK76" s="196"/>
      <c r="ALL76" s="196"/>
      <c r="ALM76" s="198"/>
      <c r="ALN76" s="196"/>
      <c r="ALO76" s="196"/>
      <c r="ALP76" s="196"/>
      <c r="ALQ76" s="196"/>
      <c r="ALR76" s="196"/>
      <c r="ALS76" s="199"/>
      <c r="ALT76" s="196"/>
      <c r="ALU76" s="196"/>
      <c r="ALV76" s="196"/>
      <c r="ALW76" s="196"/>
      <c r="ALX76" s="196"/>
      <c r="ALY76" s="198"/>
      <c r="ALZ76" s="196"/>
      <c r="AMA76" s="196"/>
      <c r="AMB76" s="196"/>
      <c r="AMC76" s="196"/>
      <c r="AMD76" s="196"/>
      <c r="AME76" s="199"/>
      <c r="AMF76" s="196"/>
      <c r="AMG76" s="196"/>
      <c r="AMH76" s="196"/>
      <c r="AMI76" s="196"/>
      <c r="AMJ76" s="196"/>
      <c r="AMK76" s="200"/>
      <c r="AML76" s="195"/>
      <c r="AMM76" s="196"/>
      <c r="AMN76" s="196"/>
      <c r="AMO76" s="196"/>
      <c r="AMP76" s="196"/>
      <c r="AMQ76" s="197"/>
      <c r="AMR76" s="196"/>
      <c r="AMS76" s="196"/>
      <c r="AMT76" s="196"/>
      <c r="AMU76" s="196"/>
      <c r="AMV76" s="196"/>
      <c r="AMW76" s="198"/>
      <c r="AMX76" s="196"/>
      <c r="AMY76" s="196"/>
      <c r="AMZ76" s="196"/>
      <c r="ANA76" s="196"/>
      <c r="ANB76" s="196"/>
      <c r="ANC76" s="199"/>
      <c r="AND76" s="196"/>
      <c r="ANE76" s="196"/>
      <c r="ANF76" s="196"/>
      <c r="ANG76" s="196"/>
      <c r="ANH76" s="196"/>
      <c r="ANI76" s="198"/>
      <c r="ANJ76" s="196"/>
      <c r="ANK76" s="196"/>
      <c r="ANL76" s="196"/>
      <c r="ANM76" s="196"/>
      <c r="ANN76" s="196"/>
      <c r="ANO76" s="199"/>
      <c r="ANP76" s="196"/>
      <c r="ANQ76" s="196"/>
      <c r="ANR76" s="196"/>
      <c r="ANS76" s="196"/>
      <c r="ANT76" s="196"/>
      <c r="ANU76" s="198"/>
      <c r="ANV76" s="196"/>
      <c r="ANW76" s="196"/>
      <c r="ANX76" s="196"/>
      <c r="ANY76" s="196"/>
      <c r="ANZ76" s="196"/>
      <c r="AOA76" s="199"/>
      <c r="AOB76" s="196"/>
      <c r="AOC76" s="196"/>
      <c r="AOD76" s="196"/>
      <c r="AOE76" s="196"/>
      <c r="AOF76" s="196"/>
      <c r="AOG76" s="198"/>
      <c r="AOH76" s="196"/>
      <c r="AOI76" s="196"/>
      <c r="AOJ76" s="196"/>
      <c r="AOK76" s="196"/>
      <c r="AOL76" s="196"/>
      <c r="AOM76" s="199"/>
      <c r="AON76" s="196"/>
      <c r="AOO76" s="196"/>
      <c r="AOP76" s="196"/>
      <c r="AOQ76" s="196"/>
      <c r="AOR76" s="196"/>
      <c r="AOS76" s="200"/>
      <c r="AOT76" s="195"/>
      <c r="AOU76" s="196"/>
      <c r="AOV76" s="196"/>
      <c r="AOW76" s="196"/>
      <c r="AOX76" s="196"/>
      <c r="AOY76" s="197"/>
      <c r="AOZ76" s="196"/>
      <c r="APA76" s="196"/>
      <c r="APB76" s="196"/>
      <c r="APC76" s="196"/>
      <c r="APD76" s="196"/>
      <c r="APE76" s="198"/>
      <c r="APF76" s="196"/>
      <c r="APG76" s="196"/>
      <c r="APH76" s="196"/>
      <c r="API76" s="196"/>
      <c r="APJ76" s="196"/>
      <c r="APK76" s="199"/>
      <c r="APL76" s="196"/>
      <c r="APM76" s="196"/>
      <c r="APN76" s="196"/>
      <c r="APO76" s="196"/>
      <c r="APP76" s="196"/>
      <c r="APQ76" s="198"/>
      <c r="APR76" s="196"/>
      <c r="APS76" s="196"/>
      <c r="APT76" s="196"/>
      <c r="APU76" s="196"/>
      <c r="APV76" s="196"/>
      <c r="APW76" s="199"/>
      <c r="APX76" s="196"/>
      <c r="APY76" s="196"/>
      <c r="APZ76" s="196"/>
      <c r="AQA76" s="196"/>
      <c r="AQB76" s="196"/>
      <c r="AQC76" s="198"/>
      <c r="AQD76" s="196"/>
      <c r="AQE76" s="196"/>
      <c r="AQF76" s="196"/>
      <c r="AQG76" s="196"/>
      <c r="AQH76" s="196"/>
      <c r="AQI76" s="199"/>
      <c r="AQJ76" s="196"/>
      <c r="AQK76" s="196"/>
      <c r="AQL76" s="196"/>
      <c r="AQM76" s="196"/>
      <c r="AQN76" s="196"/>
      <c r="AQO76" s="198"/>
      <c r="AQP76" s="196"/>
      <c r="AQQ76" s="196"/>
      <c r="AQR76" s="196"/>
      <c r="AQS76" s="196"/>
      <c r="AQT76" s="196"/>
      <c r="AQU76" s="199"/>
      <c r="AQV76" s="196"/>
      <c r="AQW76" s="196"/>
      <c r="AQX76" s="196"/>
      <c r="AQY76" s="196"/>
      <c r="AQZ76" s="196"/>
      <c r="ARA76" s="200"/>
      <c r="ARB76" s="195"/>
      <c r="ARC76" s="196"/>
      <c r="ARD76" s="196"/>
      <c r="ARE76" s="196"/>
      <c r="ARF76" s="196"/>
      <c r="ARG76" s="197"/>
      <c r="ARH76" s="196"/>
      <c r="ARI76" s="196"/>
      <c r="ARJ76" s="196"/>
      <c r="ARK76" s="196"/>
      <c r="ARL76" s="196"/>
      <c r="ARM76" s="198"/>
      <c r="ARN76" s="196"/>
      <c r="ARO76" s="196"/>
      <c r="ARP76" s="196"/>
      <c r="ARQ76" s="196"/>
      <c r="ARR76" s="196"/>
      <c r="ARS76" s="199"/>
      <c r="ART76" s="196"/>
      <c r="ARU76" s="196"/>
      <c r="ARV76" s="196"/>
      <c r="ARW76" s="196"/>
      <c r="ARX76" s="196"/>
      <c r="ARY76" s="198"/>
      <c r="ARZ76" s="196"/>
      <c r="ASA76" s="196"/>
      <c r="ASB76" s="196"/>
      <c r="ASC76" s="196"/>
      <c r="ASD76" s="196"/>
      <c r="ASE76" s="199"/>
      <c r="ASF76" s="196"/>
      <c r="ASG76" s="196"/>
      <c r="ASH76" s="196"/>
      <c r="ASI76" s="196"/>
      <c r="ASJ76" s="196"/>
      <c r="ASK76" s="198"/>
      <c r="ASL76" s="196"/>
      <c r="ASM76" s="196"/>
      <c r="ASN76" s="196"/>
      <c r="ASO76" s="196"/>
      <c r="ASP76" s="196"/>
      <c r="ASQ76" s="199"/>
      <c r="ASR76" s="196"/>
      <c r="ASS76" s="196"/>
      <c r="AST76" s="196"/>
      <c r="ASU76" s="196"/>
      <c r="ASV76" s="196"/>
      <c r="ASW76" s="198"/>
      <c r="ASX76" s="196"/>
      <c r="ASY76" s="196"/>
      <c r="ASZ76" s="196"/>
      <c r="ATA76" s="196"/>
      <c r="ATB76" s="196"/>
      <c r="ATC76" s="199"/>
      <c r="ATD76" s="196"/>
      <c r="ATE76" s="196"/>
      <c r="ATF76" s="196"/>
      <c r="ATG76" s="196"/>
      <c r="ATH76" s="196"/>
      <c r="ATI76" s="200"/>
      <c r="ATJ76" s="195"/>
      <c r="ATK76" s="196"/>
      <c r="ATL76" s="196"/>
      <c r="ATM76" s="196"/>
      <c r="ATN76" s="196"/>
      <c r="ATO76" s="197"/>
      <c r="ATP76" s="196"/>
      <c r="ATQ76" s="196"/>
      <c r="ATR76" s="196"/>
      <c r="ATS76" s="196"/>
      <c r="ATT76" s="196"/>
      <c r="ATU76" s="198"/>
      <c r="ATV76" s="196"/>
      <c r="ATW76" s="196"/>
      <c r="ATX76" s="196"/>
      <c r="ATY76" s="196"/>
      <c r="ATZ76" s="196"/>
      <c r="AUA76" s="199"/>
      <c r="AUB76" s="196"/>
      <c r="AUC76" s="196"/>
      <c r="AUD76" s="196"/>
      <c r="AUE76" s="196"/>
      <c r="AUF76" s="196"/>
      <c r="AUG76" s="198"/>
      <c r="AUH76" s="196"/>
      <c r="AUI76" s="196"/>
      <c r="AUJ76" s="196"/>
      <c r="AUK76" s="196"/>
      <c r="AUL76" s="196"/>
      <c r="AUM76" s="199"/>
      <c r="AUN76" s="196"/>
      <c r="AUO76" s="196"/>
      <c r="AUP76" s="196"/>
      <c r="AUQ76" s="196"/>
      <c r="AUR76" s="196"/>
      <c r="AUS76" s="198"/>
      <c r="AUT76" s="196"/>
      <c r="AUU76" s="196"/>
      <c r="AUV76" s="196"/>
      <c r="AUW76" s="196"/>
      <c r="AUX76" s="196"/>
      <c r="AUY76" s="199"/>
      <c r="AUZ76" s="196"/>
      <c r="AVA76" s="196"/>
      <c r="AVB76" s="196"/>
      <c r="AVC76" s="196"/>
      <c r="AVD76" s="196"/>
      <c r="AVE76" s="198"/>
      <c r="AVF76" s="196"/>
      <c r="AVG76" s="196"/>
      <c r="AVH76" s="196"/>
      <c r="AVI76" s="196"/>
      <c r="AVJ76" s="196"/>
      <c r="AVK76" s="199"/>
      <c r="AVL76" s="196"/>
      <c r="AVM76" s="196"/>
      <c r="AVN76" s="196"/>
      <c r="AVO76" s="196"/>
      <c r="AVP76" s="196"/>
      <c r="AVQ76" s="200"/>
      <c r="AVR76" s="195"/>
      <c r="AVS76" s="196"/>
      <c r="AVT76" s="196"/>
      <c r="AVU76" s="196"/>
      <c r="AVV76" s="196"/>
      <c r="AVW76" s="197"/>
      <c r="AVX76" s="196"/>
      <c r="AVY76" s="196"/>
      <c r="AVZ76" s="196"/>
      <c r="AWA76" s="196"/>
      <c r="AWB76" s="196"/>
      <c r="AWC76" s="198"/>
      <c r="AWD76" s="196"/>
      <c r="AWE76" s="196"/>
      <c r="AWF76" s="196"/>
      <c r="AWG76" s="196"/>
      <c r="AWH76" s="196"/>
      <c r="AWI76" s="199"/>
      <c r="AWJ76" s="196"/>
      <c r="AWK76" s="196"/>
      <c r="AWL76" s="196"/>
      <c r="AWM76" s="196"/>
      <c r="AWN76" s="196"/>
      <c r="AWO76" s="198"/>
      <c r="AWP76" s="196"/>
      <c r="AWQ76" s="196"/>
      <c r="AWR76" s="196"/>
      <c r="AWS76" s="196"/>
      <c r="AWT76" s="196"/>
      <c r="AWU76" s="199"/>
      <c r="AWV76" s="196"/>
      <c r="AWW76" s="196"/>
      <c r="AWX76" s="196"/>
      <c r="AWY76" s="196"/>
      <c r="AWZ76" s="196"/>
      <c r="AXA76" s="198"/>
      <c r="AXB76" s="196"/>
      <c r="AXC76" s="196"/>
      <c r="AXD76" s="196"/>
      <c r="AXE76" s="196"/>
      <c r="AXF76" s="196"/>
      <c r="AXG76" s="199"/>
      <c r="AXH76" s="196"/>
      <c r="AXI76" s="196"/>
      <c r="AXJ76" s="196"/>
      <c r="AXK76" s="196"/>
      <c r="AXL76" s="196"/>
      <c r="AXM76" s="198"/>
      <c r="AXN76" s="196"/>
      <c r="AXO76" s="196"/>
      <c r="AXP76" s="196"/>
      <c r="AXQ76" s="196"/>
      <c r="AXR76" s="196"/>
      <c r="AXS76" s="199"/>
      <c r="AXT76" s="196"/>
      <c r="AXU76" s="196"/>
      <c r="AXV76" s="196"/>
      <c r="AXW76" s="196"/>
      <c r="AXX76" s="196"/>
      <c r="AXY76" s="200"/>
      <c r="AXZ76" s="195"/>
      <c r="AYA76" s="196"/>
      <c r="AYB76" s="196"/>
      <c r="AYC76" s="196"/>
      <c r="AYD76" s="196"/>
      <c r="AYE76" s="197"/>
      <c r="AYF76" s="196"/>
      <c r="AYG76" s="196"/>
      <c r="AYH76" s="196"/>
      <c r="AYI76" s="196"/>
      <c r="AYJ76" s="196"/>
      <c r="AYK76" s="198"/>
      <c r="AYL76" s="196"/>
      <c r="AYM76" s="196"/>
      <c r="AYN76" s="196"/>
      <c r="AYO76" s="196"/>
      <c r="AYP76" s="196"/>
      <c r="AYQ76" s="199"/>
      <c r="AYR76" s="196"/>
      <c r="AYS76" s="196"/>
      <c r="AYT76" s="196"/>
      <c r="AYU76" s="196"/>
      <c r="AYV76" s="196"/>
      <c r="AYW76" s="198"/>
      <c r="AYX76" s="196"/>
      <c r="AYY76" s="196"/>
      <c r="AYZ76" s="196"/>
      <c r="AZA76" s="196"/>
      <c r="AZB76" s="196"/>
      <c r="AZC76" s="199"/>
      <c r="AZD76" s="196"/>
      <c r="AZE76" s="196"/>
      <c r="AZF76" s="196"/>
      <c r="AZG76" s="196"/>
      <c r="AZH76" s="196"/>
      <c r="AZI76" s="198"/>
      <c r="AZJ76" s="196"/>
      <c r="AZK76" s="196"/>
      <c r="AZL76" s="196"/>
      <c r="AZM76" s="196"/>
      <c r="AZN76" s="196"/>
      <c r="AZO76" s="199"/>
      <c r="AZP76" s="196"/>
      <c r="AZQ76" s="196"/>
      <c r="AZR76" s="196"/>
      <c r="AZS76" s="196"/>
      <c r="AZT76" s="196"/>
      <c r="AZU76" s="198"/>
      <c r="AZV76" s="196"/>
      <c r="AZW76" s="196"/>
      <c r="AZX76" s="196"/>
      <c r="AZY76" s="196"/>
      <c r="AZZ76" s="196"/>
      <c r="BAA76" s="199"/>
      <c r="BAB76" s="196"/>
      <c r="BAC76" s="196"/>
      <c r="BAD76" s="196"/>
      <c r="BAE76" s="196"/>
      <c r="BAF76" s="196"/>
      <c r="BAG76" s="200"/>
      <c r="BAH76" s="195"/>
      <c r="BAI76" s="196"/>
      <c r="BAJ76" s="196"/>
      <c r="BAK76" s="196"/>
      <c r="BAL76" s="196"/>
      <c r="BAM76" s="197"/>
      <c r="BAN76" s="196"/>
      <c r="BAO76" s="196"/>
      <c r="BAP76" s="196"/>
      <c r="BAQ76" s="196"/>
      <c r="BAR76" s="196"/>
      <c r="BAS76" s="198"/>
      <c r="BAT76" s="196"/>
      <c r="BAU76" s="196"/>
      <c r="BAV76" s="196"/>
      <c r="BAW76" s="196"/>
      <c r="BAX76" s="196"/>
      <c r="BAY76" s="199"/>
      <c r="BAZ76" s="196"/>
      <c r="BBA76" s="196"/>
      <c r="BBB76" s="196"/>
      <c r="BBC76" s="196"/>
      <c r="BBD76" s="196"/>
      <c r="BBE76" s="198"/>
      <c r="BBF76" s="196"/>
      <c r="BBG76" s="196"/>
      <c r="BBH76" s="196"/>
      <c r="BBI76" s="196"/>
      <c r="BBJ76" s="196"/>
      <c r="BBK76" s="199"/>
      <c r="BBL76" s="196"/>
      <c r="BBM76" s="196"/>
      <c r="BBN76" s="196"/>
      <c r="BBO76" s="196"/>
      <c r="BBP76" s="196"/>
      <c r="BBQ76" s="198"/>
      <c r="BBR76" s="196"/>
      <c r="BBS76" s="196"/>
      <c r="BBT76" s="196"/>
      <c r="BBU76" s="196"/>
      <c r="BBV76" s="196"/>
      <c r="BBW76" s="199"/>
      <c r="BBX76" s="196"/>
      <c r="BBY76" s="196"/>
      <c r="BBZ76" s="196"/>
      <c r="BCA76" s="196"/>
      <c r="BCB76" s="196"/>
      <c r="BCC76" s="198"/>
      <c r="BCD76" s="196"/>
      <c r="BCE76" s="196"/>
      <c r="BCF76" s="196"/>
      <c r="BCG76" s="196"/>
      <c r="BCH76" s="196"/>
      <c r="BCI76" s="199"/>
      <c r="BCJ76" s="196"/>
      <c r="BCK76" s="196"/>
      <c r="BCL76" s="196"/>
      <c r="BCM76" s="196"/>
      <c r="BCN76" s="196"/>
      <c r="BCO76" s="200"/>
      <c r="BCP76" s="195"/>
      <c r="BCQ76" s="196"/>
      <c r="BCR76" s="196"/>
      <c r="BCS76" s="196"/>
      <c r="BCT76" s="196"/>
      <c r="BCU76" s="197"/>
      <c r="BCV76" s="196"/>
      <c r="BCW76" s="196"/>
      <c r="BCX76" s="196"/>
      <c r="BCY76" s="196"/>
      <c r="BCZ76" s="196"/>
      <c r="BDA76" s="198"/>
      <c r="BDB76" s="196"/>
      <c r="BDC76" s="196"/>
      <c r="BDD76" s="196"/>
      <c r="BDE76" s="196"/>
      <c r="BDF76" s="196"/>
      <c r="BDG76" s="199"/>
      <c r="BDH76" s="196"/>
      <c r="BDI76" s="196"/>
      <c r="BDJ76" s="196"/>
      <c r="BDK76" s="196"/>
      <c r="BDL76" s="196"/>
      <c r="BDM76" s="198"/>
      <c r="BDN76" s="196"/>
      <c r="BDO76" s="196"/>
      <c r="BDP76" s="196"/>
      <c r="BDQ76" s="196"/>
      <c r="BDR76" s="196"/>
      <c r="BDS76" s="199"/>
      <c r="BDT76" s="196"/>
      <c r="BDU76" s="196"/>
      <c r="BDV76" s="196"/>
      <c r="BDW76" s="196"/>
      <c r="BDX76" s="196"/>
      <c r="BDY76" s="198"/>
      <c r="BDZ76" s="196"/>
      <c r="BEA76" s="196"/>
      <c r="BEB76" s="196"/>
      <c r="BEC76" s="196"/>
      <c r="BED76" s="196"/>
      <c r="BEE76" s="199"/>
      <c r="BEF76" s="196"/>
      <c r="BEG76" s="196"/>
      <c r="BEH76" s="196"/>
      <c r="BEI76" s="196"/>
      <c r="BEJ76" s="196"/>
      <c r="BEK76" s="198"/>
      <c r="BEL76" s="196"/>
      <c r="BEM76" s="196"/>
      <c r="BEN76" s="196"/>
      <c r="BEO76" s="196"/>
      <c r="BEP76" s="196"/>
      <c r="BEQ76" s="199"/>
      <c r="BER76" s="196"/>
      <c r="BES76" s="196"/>
      <c r="BET76" s="196"/>
      <c r="BEU76" s="196"/>
      <c r="BEV76" s="196"/>
      <c r="BEW76" s="200"/>
      <c r="BEX76" s="195"/>
      <c r="BEY76" s="196"/>
      <c r="BEZ76" s="196"/>
      <c r="BFA76" s="196"/>
      <c r="BFB76" s="196"/>
      <c r="BFC76" s="197"/>
      <c r="BFD76" s="196"/>
      <c r="BFE76" s="196"/>
      <c r="BFF76" s="196"/>
      <c r="BFG76" s="196"/>
      <c r="BFH76" s="196"/>
      <c r="BFI76" s="198"/>
      <c r="BFJ76" s="196"/>
      <c r="BFK76" s="196"/>
      <c r="BFL76" s="196"/>
      <c r="BFM76" s="196"/>
      <c r="BFN76" s="196"/>
      <c r="BFO76" s="199"/>
      <c r="BFP76" s="196"/>
      <c r="BFQ76" s="196"/>
      <c r="BFR76" s="196"/>
      <c r="BFS76" s="196"/>
      <c r="BFT76" s="196"/>
      <c r="BFU76" s="198"/>
      <c r="BFV76" s="196"/>
      <c r="BFW76" s="196"/>
      <c r="BFX76" s="196"/>
      <c r="BFY76" s="196"/>
      <c r="BFZ76" s="196"/>
      <c r="BGA76" s="199"/>
      <c r="BGB76" s="196"/>
      <c r="BGC76" s="196"/>
      <c r="BGD76" s="196"/>
      <c r="BGE76" s="196"/>
      <c r="BGF76" s="196"/>
      <c r="BGG76" s="198"/>
      <c r="BGH76" s="196"/>
      <c r="BGI76" s="196"/>
      <c r="BGJ76" s="196"/>
      <c r="BGK76" s="196"/>
      <c r="BGL76" s="196"/>
      <c r="BGM76" s="199"/>
      <c r="BGN76" s="196"/>
      <c r="BGO76" s="196"/>
      <c r="BGP76" s="196"/>
      <c r="BGQ76" s="196"/>
      <c r="BGR76" s="196"/>
      <c r="BGS76" s="198"/>
      <c r="BGT76" s="196"/>
      <c r="BGU76" s="196"/>
      <c r="BGV76" s="196"/>
      <c r="BGW76" s="196"/>
      <c r="BGX76" s="196"/>
      <c r="BGY76" s="199"/>
      <c r="BGZ76" s="196"/>
      <c r="BHA76" s="196"/>
      <c r="BHB76" s="196"/>
      <c r="BHC76" s="196"/>
      <c r="BHD76" s="196"/>
      <c r="BHE76" s="200"/>
      <c r="BHF76" s="187"/>
      <c r="BHG76" s="188"/>
      <c r="BHH76" s="188"/>
      <c r="BHI76" s="188"/>
      <c r="BHJ76" s="188"/>
      <c r="BHK76" s="188"/>
      <c r="BHL76" s="188"/>
      <c r="BHM76" s="188"/>
      <c r="BHN76" s="188"/>
      <c r="BHO76" s="188"/>
      <c r="BHP76" s="188"/>
      <c r="BHQ76" s="188"/>
      <c r="BHR76" s="188"/>
      <c r="BHS76" s="188"/>
      <c r="BHT76" s="188"/>
      <c r="BHU76" s="188"/>
      <c r="BHV76" s="188"/>
      <c r="BHW76" s="188"/>
      <c r="BHX76" s="188"/>
      <c r="BHY76" s="188"/>
      <c r="BHZ76" s="188"/>
      <c r="BIA76" s="188"/>
      <c r="BIB76" s="188"/>
      <c r="BIC76" s="188"/>
      <c r="BID76" s="188"/>
      <c r="BIE76" s="188"/>
      <c r="BIF76" s="188"/>
      <c r="BIG76" s="188"/>
      <c r="BIH76" s="188"/>
      <c r="BII76" s="188"/>
      <c r="BIJ76" s="188"/>
      <c r="BIK76" s="188"/>
      <c r="BIL76" s="188"/>
      <c r="BIM76" s="188"/>
      <c r="BIN76" s="188"/>
      <c r="BIO76" s="188"/>
      <c r="BIP76" s="188"/>
    </row>
    <row r="77" spans="1:1602" ht="20.100000000000001" customHeight="1" x14ac:dyDescent="0.25">
      <c r="A77" s="78" t="s">
        <v>49</v>
      </c>
      <c r="B77" s="51"/>
      <c r="C77" s="23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87"/>
      <c r="BHG77" s="188"/>
      <c r="BHH77" s="188"/>
      <c r="BHI77" s="188"/>
      <c r="BHJ77" s="188"/>
      <c r="BHK77" s="188"/>
      <c r="BHL77" s="188"/>
      <c r="BHM77" s="188"/>
      <c r="BHN77" s="188"/>
      <c r="BHO77" s="188"/>
      <c r="BHP77" s="188"/>
      <c r="BHQ77" s="188"/>
      <c r="BHR77" s="188"/>
      <c r="BHS77" s="188"/>
      <c r="BHT77" s="188"/>
      <c r="BHU77" s="188"/>
      <c r="BHV77" s="188"/>
      <c r="BHW77" s="188"/>
      <c r="BHX77" s="188"/>
      <c r="BHY77" s="188"/>
      <c r="BHZ77" s="188"/>
      <c r="BIA77" s="188"/>
      <c r="BIB77" s="188"/>
      <c r="BIC77" s="188"/>
      <c r="BID77" s="188"/>
      <c r="BIE77" s="188"/>
      <c r="BIF77" s="188"/>
      <c r="BIG77" s="188"/>
      <c r="BIH77" s="188"/>
      <c r="BII77" s="188"/>
      <c r="BIJ77" s="188"/>
      <c r="BIK77" s="188"/>
      <c r="BIL77" s="188"/>
      <c r="BIM77" s="188"/>
      <c r="BIN77" s="188"/>
      <c r="BIO77" s="188"/>
      <c r="BIP77" s="188"/>
    </row>
    <row r="78" spans="1:1602" ht="20.100000000000001" customHeight="1" x14ac:dyDescent="0.25">
      <c r="A78" s="78" t="s">
        <v>50</v>
      </c>
      <c r="B78" s="51"/>
      <c r="C78" s="236"/>
      <c r="D78" s="120" t="str">
        <f t="shared" si="0"/>
        <v/>
      </c>
      <c r="E78" s="80">
        <v>0</v>
      </c>
      <c r="F78" s="189"/>
      <c r="G78" s="190"/>
      <c r="H78" s="190"/>
      <c r="I78" s="190"/>
      <c r="J78" s="190"/>
      <c r="K78" s="197"/>
      <c r="L78" s="190"/>
      <c r="M78" s="190"/>
      <c r="N78" s="190"/>
      <c r="O78" s="190"/>
      <c r="P78" s="190"/>
      <c r="Q78" s="198"/>
      <c r="R78" s="190"/>
      <c r="S78" s="190"/>
      <c r="T78" s="190"/>
      <c r="U78" s="190"/>
      <c r="V78" s="190"/>
      <c r="W78" s="199"/>
      <c r="X78" s="190"/>
      <c r="Y78" s="190"/>
      <c r="Z78" s="190"/>
      <c r="AA78" s="190"/>
      <c r="AB78" s="190"/>
      <c r="AC78" s="198"/>
      <c r="AD78" s="190"/>
      <c r="AE78" s="190"/>
      <c r="AF78" s="190"/>
      <c r="AG78" s="190"/>
      <c r="AH78" s="190"/>
      <c r="AI78" s="199"/>
      <c r="AJ78" s="190"/>
      <c r="AK78" s="190"/>
      <c r="AL78" s="190"/>
      <c r="AM78" s="190"/>
      <c r="AN78" s="190"/>
      <c r="AO78" s="198"/>
      <c r="AP78" s="190"/>
      <c r="AQ78" s="190"/>
      <c r="AR78" s="190"/>
      <c r="AS78" s="190"/>
      <c r="AT78" s="190"/>
      <c r="AU78" s="199"/>
      <c r="AV78" s="190"/>
      <c r="AW78" s="190"/>
      <c r="AX78" s="190"/>
      <c r="AY78" s="190"/>
      <c r="AZ78" s="190"/>
      <c r="BA78" s="198"/>
      <c r="BB78" s="190"/>
      <c r="BC78" s="190"/>
      <c r="BD78" s="190"/>
      <c r="BE78" s="190"/>
      <c r="BF78" s="190"/>
      <c r="BG78" s="199"/>
      <c r="BH78" s="190"/>
      <c r="BI78" s="190"/>
      <c r="BJ78" s="190"/>
      <c r="BK78" s="190"/>
      <c r="BL78" s="190"/>
      <c r="BM78" s="194"/>
      <c r="BN78" s="189"/>
      <c r="BO78" s="190"/>
      <c r="BP78" s="190"/>
      <c r="BQ78" s="190"/>
      <c r="BR78" s="190"/>
      <c r="BS78" s="197"/>
      <c r="BT78" s="190"/>
      <c r="BU78" s="190"/>
      <c r="BV78" s="190"/>
      <c r="BW78" s="190"/>
      <c r="BX78" s="190"/>
      <c r="BY78" s="198"/>
      <c r="BZ78" s="190"/>
      <c r="CA78" s="190"/>
      <c r="CB78" s="190"/>
      <c r="CC78" s="190"/>
      <c r="CD78" s="190"/>
      <c r="CE78" s="199"/>
      <c r="CF78" s="190"/>
      <c r="CG78" s="190"/>
      <c r="CH78" s="190"/>
      <c r="CI78" s="190"/>
      <c r="CJ78" s="190"/>
      <c r="CK78" s="198"/>
      <c r="CL78" s="190"/>
      <c r="CM78" s="190"/>
      <c r="CN78" s="190"/>
      <c r="CO78" s="190"/>
      <c r="CP78" s="190"/>
      <c r="CQ78" s="199"/>
      <c r="CR78" s="190"/>
      <c r="CS78" s="190"/>
      <c r="CT78" s="190"/>
      <c r="CU78" s="190"/>
      <c r="CV78" s="190"/>
      <c r="CW78" s="198"/>
      <c r="CX78" s="190"/>
      <c r="CY78" s="190"/>
      <c r="CZ78" s="190"/>
      <c r="DA78" s="190"/>
      <c r="DB78" s="190"/>
      <c r="DC78" s="199"/>
      <c r="DD78" s="190"/>
      <c r="DE78" s="190"/>
      <c r="DF78" s="190"/>
      <c r="DG78" s="190"/>
      <c r="DH78" s="190"/>
      <c r="DI78" s="198"/>
      <c r="DJ78" s="190"/>
      <c r="DK78" s="190"/>
      <c r="DL78" s="190"/>
      <c r="DM78" s="190"/>
      <c r="DN78" s="190"/>
      <c r="DO78" s="199"/>
      <c r="DP78" s="190"/>
      <c r="DQ78" s="190"/>
      <c r="DR78" s="190"/>
      <c r="DS78" s="190"/>
      <c r="DT78" s="190"/>
      <c r="DU78" s="194"/>
      <c r="DV78" s="189"/>
      <c r="DW78" s="190"/>
      <c r="DX78" s="190"/>
      <c r="DY78" s="190"/>
      <c r="DZ78" s="190"/>
      <c r="EA78" s="197"/>
      <c r="EB78" s="190"/>
      <c r="EC78" s="190"/>
      <c r="ED78" s="190"/>
      <c r="EE78" s="190"/>
      <c r="EF78" s="190"/>
      <c r="EG78" s="198"/>
      <c r="EH78" s="190"/>
      <c r="EI78" s="190"/>
      <c r="EJ78" s="190"/>
      <c r="EK78" s="190"/>
      <c r="EL78" s="190"/>
      <c r="EM78" s="199"/>
      <c r="EN78" s="190"/>
      <c r="EO78" s="190"/>
      <c r="EP78" s="190"/>
      <c r="EQ78" s="190"/>
      <c r="ER78" s="190"/>
      <c r="ES78" s="198"/>
      <c r="ET78" s="190"/>
      <c r="EU78" s="190"/>
      <c r="EV78" s="190"/>
      <c r="EW78" s="190"/>
      <c r="EX78" s="190"/>
      <c r="EY78" s="199"/>
      <c r="EZ78" s="190"/>
      <c r="FA78" s="190"/>
      <c r="FB78" s="190"/>
      <c r="FC78" s="190"/>
      <c r="FD78" s="190"/>
      <c r="FE78" s="198"/>
      <c r="FF78" s="190"/>
      <c r="FG78" s="190"/>
      <c r="FH78" s="190"/>
      <c r="FI78" s="190"/>
      <c r="FJ78" s="190"/>
      <c r="FK78" s="199"/>
      <c r="FL78" s="190"/>
      <c r="FM78" s="190"/>
      <c r="FN78" s="190"/>
      <c r="FO78" s="190"/>
      <c r="FP78" s="190"/>
      <c r="FQ78" s="198"/>
      <c r="FR78" s="190"/>
      <c r="FS78" s="190"/>
      <c r="FT78" s="190"/>
      <c r="FU78" s="190"/>
      <c r="FV78" s="190"/>
      <c r="FW78" s="199"/>
      <c r="FX78" s="190"/>
      <c r="FY78" s="190"/>
      <c r="FZ78" s="190"/>
      <c r="GA78" s="190"/>
      <c r="GB78" s="190"/>
      <c r="GC78" s="194"/>
      <c r="GD78" s="189"/>
      <c r="GE78" s="190"/>
      <c r="GF78" s="190"/>
      <c r="GG78" s="190"/>
      <c r="GH78" s="190"/>
      <c r="GI78" s="197"/>
      <c r="GJ78" s="190"/>
      <c r="GK78" s="190"/>
      <c r="GL78" s="190"/>
      <c r="GM78" s="190"/>
      <c r="GN78" s="190"/>
      <c r="GO78" s="198"/>
      <c r="GP78" s="190"/>
      <c r="GQ78" s="190"/>
      <c r="GR78" s="190"/>
      <c r="GS78" s="190"/>
      <c r="GT78" s="190"/>
      <c r="GU78" s="199"/>
      <c r="GV78" s="190"/>
      <c r="GW78" s="190"/>
      <c r="GX78" s="190"/>
      <c r="GY78" s="190"/>
      <c r="GZ78" s="190"/>
      <c r="HA78" s="198"/>
      <c r="HB78" s="190"/>
      <c r="HC78" s="190"/>
      <c r="HD78" s="190"/>
      <c r="HE78" s="190"/>
      <c r="HF78" s="190"/>
      <c r="HG78" s="199"/>
      <c r="HH78" s="190"/>
      <c r="HI78" s="190"/>
      <c r="HJ78" s="190"/>
      <c r="HK78" s="190"/>
      <c r="HL78" s="190"/>
      <c r="HM78" s="198"/>
      <c r="HN78" s="190"/>
      <c r="HO78" s="190"/>
      <c r="HP78" s="190"/>
      <c r="HQ78" s="190"/>
      <c r="HR78" s="190"/>
      <c r="HS78" s="199"/>
      <c r="HT78" s="190"/>
      <c r="HU78" s="190"/>
      <c r="HV78" s="190"/>
      <c r="HW78" s="190"/>
      <c r="HX78" s="190"/>
      <c r="HY78" s="198"/>
      <c r="HZ78" s="190"/>
      <c r="IA78" s="190"/>
      <c r="IB78" s="190"/>
      <c r="IC78" s="190"/>
      <c r="ID78" s="190"/>
      <c r="IE78" s="199"/>
      <c r="IF78" s="190"/>
      <c r="IG78" s="190"/>
      <c r="IH78" s="190"/>
      <c r="II78" s="190"/>
      <c r="IJ78" s="190"/>
      <c r="IK78" s="194"/>
      <c r="IL78" s="189"/>
      <c r="IM78" s="190"/>
      <c r="IN78" s="190"/>
      <c r="IO78" s="190"/>
      <c r="IP78" s="190"/>
      <c r="IQ78" s="197"/>
      <c r="IR78" s="190"/>
      <c r="IS78" s="190"/>
      <c r="IT78" s="190"/>
      <c r="IU78" s="190"/>
      <c r="IV78" s="190"/>
      <c r="IW78" s="198"/>
      <c r="IX78" s="190"/>
      <c r="IY78" s="190"/>
      <c r="IZ78" s="190"/>
      <c r="JA78" s="190"/>
      <c r="JB78" s="190"/>
      <c r="JC78" s="199"/>
      <c r="JD78" s="190"/>
      <c r="JE78" s="190"/>
      <c r="JF78" s="190"/>
      <c r="JG78" s="190"/>
      <c r="JH78" s="190"/>
      <c r="JI78" s="198"/>
      <c r="JJ78" s="190"/>
      <c r="JK78" s="190"/>
      <c r="JL78" s="190"/>
      <c r="JM78" s="190"/>
      <c r="JN78" s="190"/>
      <c r="JO78" s="199"/>
      <c r="JP78" s="190"/>
      <c r="JQ78" s="190"/>
      <c r="JR78" s="190"/>
      <c r="JS78" s="190"/>
      <c r="JT78" s="190"/>
      <c r="JU78" s="198"/>
      <c r="JV78" s="190"/>
      <c r="JW78" s="190"/>
      <c r="JX78" s="190"/>
      <c r="JY78" s="190"/>
      <c r="JZ78" s="190"/>
      <c r="KA78" s="199"/>
      <c r="KB78" s="190"/>
      <c r="KC78" s="190"/>
      <c r="KD78" s="190"/>
      <c r="KE78" s="190"/>
      <c r="KF78" s="190"/>
      <c r="KG78" s="198"/>
      <c r="KH78" s="190"/>
      <c r="KI78" s="190"/>
      <c r="KJ78" s="190"/>
      <c r="KK78" s="190"/>
      <c r="KL78" s="190"/>
      <c r="KM78" s="199"/>
      <c r="KN78" s="190"/>
      <c r="KO78" s="190"/>
      <c r="KP78" s="190"/>
      <c r="KQ78" s="190"/>
      <c r="KR78" s="190"/>
      <c r="KS78" s="194"/>
      <c r="KT78" s="189"/>
      <c r="KU78" s="190"/>
      <c r="KV78" s="190"/>
      <c r="KW78" s="190"/>
      <c r="KX78" s="190"/>
      <c r="KY78" s="197"/>
      <c r="KZ78" s="190"/>
      <c r="LA78" s="190"/>
      <c r="LB78" s="190"/>
      <c r="LC78" s="190"/>
      <c r="LD78" s="190"/>
      <c r="LE78" s="198"/>
      <c r="LF78" s="190"/>
      <c r="LG78" s="190"/>
      <c r="LH78" s="190"/>
      <c r="LI78" s="190"/>
      <c r="LJ78" s="190"/>
      <c r="LK78" s="199"/>
      <c r="LL78" s="190"/>
      <c r="LM78" s="190"/>
      <c r="LN78" s="190"/>
      <c r="LO78" s="190"/>
      <c r="LP78" s="190"/>
      <c r="LQ78" s="198"/>
      <c r="LR78" s="190"/>
      <c r="LS78" s="190"/>
      <c r="LT78" s="190"/>
      <c r="LU78" s="190"/>
      <c r="LV78" s="190"/>
      <c r="LW78" s="199"/>
      <c r="LX78" s="190"/>
      <c r="LY78" s="190"/>
      <c r="LZ78" s="190"/>
      <c r="MA78" s="190"/>
      <c r="MB78" s="190"/>
      <c r="MC78" s="198"/>
      <c r="MD78" s="190"/>
      <c r="ME78" s="190"/>
      <c r="MF78" s="190"/>
      <c r="MG78" s="190"/>
      <c r="MH78" s="190"/>
      <c r="MI78" s="199"/>
      <c r="MJ78" s="190"/>
      <c r="MK78" s="190"/>
      <c r="ML78" s="190"/>
      <c r="MM78" s="190"/>
      <c r="MN78" s="190"/>
      <c r="MO78" s="198"/>
      <c r="MP78" s="190"/>
      <c r="MQ78" s="190"/>
      <c r="MR78" s="190"/>
      <c r="MS78" s="190"/>
      <c r="MT78" s="190"/>
      <c r="MU78" s="199"/>
      <c r="MV78" s="190"/>
      <c r="MW78" s="190"/>
      <c r="MX78" s="190"/>
      <c r="MY78" s="190"/>
      <c r="MZ78" s="190"/>
      <c r="NA78" s="194"/>
      <c r="NB78" s="189"/>
      <c r="NC78" s="190"/>
      <c r="ND78" s="190"/>
      <c r="NE78" s="190"/>
      <c r="NF78" s="190"/>
      <c r="NG78" s="197"/>
      <c r="NH78" s="190"/>
      <c r="NI78" s="190"/>
      <c r="NJ78" s="190"/>
      <c r="NK78" s="190"/>
      <c r="NL78" s="190"/>
      <c r="NM78" s="198"/>
      <c r="NN78" s="190"/>
      <c r="NO78" s="190"/>
      <c r="NP78" s="190"/>
      <c r="NQ78" s="190"/>
      <c r="NR78" s="190"/>
      <c r="NS78" s="199"/>
      <c r="NT78" s="190"/>
      <c r="NU78" s="190"/>
      <c r="NV78" s="190"/>
      <c r="NW78" s="190"/>
      <c r="NX78" s="190"/>
      <c r="NY78" s="198"/>
      <c r="NZ78" s="190"/>
      <c r="OA78" s="190"/>
      <c r="OB78" s="190"/>
      <c r="OC78" s="190"/>
      <c r="OD78" s="190"/>
      <c r="OE78" s="199"/>
      <c r="OF78" s="190"/>
      <c r="OG78" s="190"/>
      <c r="OH78" s="190"/>
      <c r="OI78" s="190"/>
      <c r="OJ78" s="190"/>
      <c r="OK78" s="198"/>
      <c r="OL78" s="190"/>
      <c r="OM78" s="190"/>
      <c r="ON78" s="190"/>
      <c r="OO78" s="190"/>
      <c r="OP78" s="190"/>
      <c r="OQ78" s="199"/>
      <c r="OR78" s="190"/>
      <c r="OS78" s="190"/>
      <c r="OT78" s="190"/>
      <c r="OU78" s="190"/>
      <c r="OV78" s="190"/>
      <c r="OW78" s="198"/>
      <c r="OX78" s="190"/>
      <c r="OY78" s="190"/>
      <c r="OZ78" s="190"/>
      <c r="PA78" s="190"/>
      <c r="PB78" s="190"/>
      <c r="PC78" s="199"/>
      <c r="PD78" s="190"/>
      <c r="PE78" s="190"/>
      <c r="PF78" s="190"/>
      <c r="PG78" s="190"/>
      <c r="PH78" s="190"/>
      <c r="PI78" s="194"/>
      <c r="PJ78" s="189"/>
      <c r="PK78" s="190"/>
      <c r="PL78" s="190"/>
      <c r="PM78" s="190"/>
      <c r="PN78" s="190"/>
      <c r="PO78" s="197"/>
      <c r="PP78" s="190"/>
      <c r="PQ78" s="190"/>
      <c r="PR78" s="190"/>
      <c r="PS78" s="190"/>
      <c r="PT78" s="190"/>
      <c r="PU78" s="198"/>
      <c r="PV78" s="190"/>
      <c r="PW78" s="190"/>
      <c r="PX78" s="190"/>
      <c r="PY78" s="190"/>
      <c r="PZ78" s="190"/>
      <c r="QA78" s="199"/>
      <c r="QB78" s="190"/>
      <c r="QC78" s="190"/>
      <c r="QD78" s="190"/>
      <c r="QE78" s="190"/>
      <c r="QF78" s="190"/>
      <c r="QG78" s="198"/>
      <c r="QH78" s="190"/>
      <c r="QI78" s="190"/>
      <c r="QJ78" s="190"/>
      <c r="QK78" s="190"/>
      <c r="QL78" s="190"/>
      <c r="QM78" s="199"/>
      <c r="QN78" s="190"/>
      <c r="QO78" s="190"/>
      <c r="QP78" s="190"/>
      <c r="QQ78" s="190"/>
      <c r="QR78" s="190"/>
      <c r="QS78" s="198"/>
      <c r="QT78" s="190"/>
      <c r="QU78" s="190"/>
      <c r="QV78" s="190"/>
      <c r="QW78" s="190"/>
      <c r="QX78" s="190"/>
      <c r="QY78" s="199"/>
      <c r="QZ78" s="190"/>
      <c r="RA78" s="190"/>
      <c r="RB78" s="190"/>
      <c r="RC78" s="190"/>
      <c r="RD78" s="190"/>
      <c r="RE78" s="198"/>
      <c r="RF78" s="190"/>
      <c r="RG78" s="190"/>
      <c r="RH78" s="190"/>
      <c r="RI78" s="190"/>
      <c r="RJ78" s="190"/>
      <c r="RK78" s="199"/>
      <c r="RL78" s="190"/>
      <c r="RM78" s="190"/>
      <c r="RN78" s="190"/>
      <c r="RO78" s="190"/>
      <c r="RP78" s="190"/>
      <c r="RQ78" s="194"/>
      <c r="RR78" s="189"/>
      <c r="RS78" s="190"/>
      <c r="RT78" s="190"/>
      <c r="RU78" s="190"/>
      <c r="RV78" s="190"/>
      <c r="RW78" s="197"/>
      <c r="RX78" s="190"/>
      <c r="RY78" s="190"/>
      <c r="RZ78" s="190"/>
      <c r="SA78" s="190"/>
      <c r="SB78" s="190"/>
      <c r="SC78" s="198"/>
      <c r="SD78" s="190"/>
      <c r="SE78" s="190"/>
      <c r="SF78" s="190"/>
      <c r="SG78" s="190"/>
      <c r="SH78" s="190"/>
      <c r="SI78" s="199"/>
      <c r="SJ78" s="190"/>
      <c r="SK78" s="190"/>
      <c r="SL78" s="190"/>
      <c r="SM78" s="190"/>
      <c r="SN78" s="190"/>
      <c r="SO78" s="198"/>
      <c r="SP78" s="190"/>
      <c r="SQ78" s="190"/>
      <c r="SR78" s="190"/>
      <c r="SS78" s="190"/>
      <c r="ST78" s="190"/>
      <c r="SU78" s="199"/>
      <c r="SV78" s="190"/>
      <c r="SW78" s="190"/>
      <c r="SX78" s="190"/>
      <c r="SY78" s="190"/>
      <c r="SZ78" s="190"/>
      <c r="TA78" s="198"/>
      <c r="TB78" s="190"/>
      <c r="TC78" s="190"/>
      <c r="TD78" s="190"/>
      <c r="TE78" s="190"/>
      <c r="TF78" s="190"/>
      <c r="TG78" s="199"/>
      <c r="TH78" s="190"/>
      <c r="TI78" s="190"/>
      <c r="TJ78" s="190"/>
      <c r="TK78" s="190"/>
      <c r="TL78" s="190"/>
      <c r="TM78" s="198"/>
      <c r="TN78" s="190"/>
      <c r="TO78" s="190"/>
      <c r="TP78" s="190"/>
      <c r="TQ78" s="190"/>
      <c r="TR78" s="190"/>
      <c r="TS78" s="199"/>
      <c r="TT78" s="190"/>
      <c r="TU78" s="190"/>
      <c r="TV78" s="190"/>
      <c r="TW78" s="190"/>
      <c r="TX78" s="190"/>
      <c r="TY78" s="194"/>
      <c r="TZ78" s="189"/>
      <c r="UA78" s="190"/>
      <c r="UB78" s="190"/>
      <c r="UC78" s="190"/>
      <c r="UD78" s="190"/>
      <c r="UE78" s="197"/>
      <c r="UF78" s="190"/>
      <c r="UG78" s="190"/>
      <c r="UH78" s="190"/>
      <c r="UI78" s="190"/>
      <c r="UJ78" s="190"/>
      <c r="UK78" s="198"/>
      <c r="UL78" s="190"/>
      <c r="UM78" s="190"/>
      <c r="UN78" s="190"/>
      <c r="UO78" s="190"/>
      <c r="UP78" s="190"/>
      <c r="UQ78" s="199"/>
      <c r="UR78" s="190"/>
      <c r="US78" s="190"/>
      <c r="UT78" s="190"/>
      <c r="UU78" s="190"/>
      <c r="UV78" s="190"/>
      <c r="UW78" s="198"/>
      <c r="UX78" s="190"/>
      <c r="UY78" s="190"/>
      <c r="UZ78" s="190"/>
      <c r="VA78" s="190"/>
      <c r="VB78" s="190"/>
      <c r="VC78" s="199"/>
      <c r="VD78" s="190"/>
      <c r="VE78" s="190"/>
      <c r="VF78" s="190"/>
      <c r="VG78" s="190"/>
      <c r="VH78" s="190"/>
      <c r="VI78" s="198"/>
      <c r="VJ78" s="190"/>
      <c r="VK78" s="190"/>
      <c r="VL78" s="190"/>
      <c r="VM78" s="190"/>
      <c r="VN78" s="190"/>
      <c r="VO78" s="199"/>
      <c r="VP78" s="190"/>
      <c r="VQ78" s="190"/>
      <c r="VR78" s="190"/>
      <c r="VS78" s="190"/>
      <c r="VT78" s="190"/>
      <c r="VU78" s="198"/>
      <c r="VV78" s="190"/>
      <c r="VW78" s="190"/>
      <c r="VX78" s="190"/>
      <c r="VY78" s="190"/>
      <c r="VZ78" s="190"/>
      <c r="WA78" s="199"/>
      <c r="WB78" s="190"/>
      <c r="WC78" s="190"/>
      <c r="WD78" s="190"/>
      <c r="WE78" s="190"/>
      <c r="WF78" s="190"/>
      <c r="WG78" s="194"/>
      <c r="WH78" s="189"/>
      <c r="WI78" s="190"/>
      <c r="WJ78" s="190"/>
      <c r="WK78" s="190"/>
      <c r="WL78" s="190"/>
      <c r="WM78" s="197"/>
      <c r="WN78" s="190"/>
      <c r="WO78" s="190"/>
      <c r="WP78" s="190"/>
      <c r="WQ78" s="190"/>
      <c r="WR78" s="190"/>
      <c r="WS78" s="198"/>
      <c r="WT78" s="190"/>
      <c r="WU78" s="190"/>
      <c r="WV78" s="190"/>
      <c r="WW78" s="190"/>
      <c r="WX78" s="190"/>
      <c r="WY78" s="199"/>
      <c r="WZ78" s="190"/>
      <c r="XA78" s="190"/>
      <c r="XB78" s="190"/>
      <c r="XC78" s="190"/>
      <c r="XD78" s="190"/>
      <c r="XE78" s="198"/>
      <c r="XF78" s="190"/>
      <c r="XG78" s="190"/>
      <c r="XH78" s="190"/>
      <c r="XI78" s="190"/>
      <c r="XJ78" s="190"/>
      <c r="XK78" s="199"/>
      <c r="XL78" s="190"/>
      <c r="XM78" s="190"/>
      <c r="XN78" s="190"/>
      <c r="XO78" s="190"/>
      <c r="XP78" s="190"/>
      <c r="XQ78" s="198"/>
      <c r="XR78" s="190"/>
      <c r="XS78" s="190"/>
      <c r="XT78" s="190"/>
      <c r="XU78" s="190"/>
      <c r="XV78" s="190"/>
      <c r="XW78" s="199"/>
      <c r="XX78" s="190"/>
      <c r="XY78" s="190"/>
      <c r="XZ78" s="190"/>
      <c r="YA78" s="190"/>
      <c r="YB78" s="190"/>
      <c r="YC78" s="198"/>
      <c r="YD78" s="190"/>
      <c r="YE78" s="190"/>
      <c r="YF78" s="190"/>
      <c r="YG78" s="190"/>
      <c r="YH78" s="190"/>
      <c r="YI78" s="199"/>
      <c r="YJ78" s="190"/>
      <c r="YK78" s="190"/>
      <c r="YL78" s="190"/>
      <c r="YM78" s="190"/>
      <c r="YN78" s="190"/>
      <c r="YO78" s="194"/>
      <c r="YP78" s="189"/>
      <c r="YQ78" s="190"/>
      <c r="YR78" s="190"/>
      <c r="YS78" s="190"/>
      <c r="YT78" s="190"/>
      <c r="YU78" s="197"/>
      <c r="YV78" s="190"/>
      <c r="YW78" s="190"/>
      <c r="YX78" s="190"/>
      <c r="YY78" s="190"/>
      <c r="YZ78" s="190"/>
      <c r="ZA78" s="198"/>
      <c r="ZB78" s="190"/>
      <c r="ZC78" s="190"/>
      <c r="ZD78" s="190"/>
      <c r="ZE78" s="190"/>
      <c r="ZF78" s="190"/>
      <c r="ZG78" s="199"/>
      <c r="ZH78" s="190"/>
      <c r="ZI78" s="190"/>
      <c r="ZJ78" s="190"/>
      <c r="ZK78" s="190"/>
      <c r="ZL78" s="190"/>
      <c r="ZM78" s="198"/>
      <c r="ZN78" s="190"/>
      <c r="ZO78" s="190"/>
      <c r="ZP78" s="190"/>
      <c r="ZQ78" s="190"/>
      <c r="ZR78" s="190"/>
      <c r="ZS78" s="199"/>
      <c r="ZT78" s="190"/>
      <c r="ZU78" s="190"/>
      <c r="ZV78" s="190"/>
      <c r="ZW78" s="190"/>
      <c r="ZX78" s="190"/>
      <c r="ZY78" s="198"/>
      <c r="ZZ78" s="190"/>
      <c r="AAA78" s="190"/>
      <c r="AAB78" s="190"/>
      <c r="AAC78" s="190"/>
      <c r="AAD78" s="190"/>
      <c r="AAE78" s="199"/>
      <c r="AAF78" s="190"/>
      <c r="AAG78" s="190"/>
      <c r="AAH78" s="190"/>
      <c r="AAI78" s="190"/>
      <c r="AAJ78" s="190"/>
      <c r="AAK78" s="198"/>
      <c r="AAL78" s="190"/>
      <c r="AAM78" s="190"/>
      <c r="AAN78" s="190"/>
      <c r="AAO78" s="190"/>
      <c r="AAP78" s="190"/>
      <c r="AAQ78" s="199"/>
      <c r="AAR78" s="190"/>
      <c r="AAS78" s="190"/>
      <c r="AAT78" s="190"/>
      <c r="AAU78" s="190"/>
      <c r="AAV78" s="190"/>
      <c r="AAW78" s="194"/>
      <c r="AAX78" s="189"/>
      <c r="AAY78" s="190"/>
      <c r="AAZ78" s="190"/>
      <c r="ABA78" s="190"/>
      <c r="ABB78" s="190"/>
      <c r="ABC78" s="197"/>
      <c r="ABD78" s="190"/>
      <c r="ABE78" s="190"/>
      <c r="ABF78" s="190"/>
      <c r="ABG78" s="190"/>
      <c r="ABH78" s="190"/>
      <c r="ABI78" s="198"/>
      <c r="ABJ78" s="190"/>
      <c r="ABK78" s="190"/>
      <c r="ABL78" s="190"/>
      <c r="ABM78" s="190"/>
      <c r="ABN78" s="190"/>
      <c r="ABO78" s="199"/>
      <c r="ABP78" s="190"/>
      <c r="ABQ78" s="190"/>
      <c r="ABR78" s="190"/>
      <c r="ABS78" s="190"/>
      <c r="ABT78" s="190"/>
      <c r="ABU78" s="198"/>
      <c r="ABV78" s="190"/>
      <c r="ABW78" s="190"/>
      <c r="ABX78" s="190"/>
      <c r="ABY78" s="190"/>
      <c r="ABZ78" s="190"/>
      <c r="ACA78" s="199"/>
      <c r="ACB78" s="190"/>
      <c r="ACC78" s="190"/>
      <c r="ACD78" s="190"/>
      <c r="ACE78" s="190"/>
      <c r="ACF78" s="190"/>
      <c r="ACG78" s="198"/>
      <c r="ACH78" s="190"/>
      <c r="ACI78" s="190"/>
      <c r="ACJ78" s="190"/>
      <c r="ACK78" s="190"/>
      <c r="ACL78" s="190"/>
      <c r="ACM78" s="199"/>
      <c r="ACN78" s="190"/>
      <c r="ACO78" s="190"/>
      <c r="ACP78" s="190"/>
      <c r="ACQ78" s="190"/>
      <c r="ACR78" s="190"/>
      <c r="ACS78" s="198"/>
      <c r="ACT78" s="190"/>
      <c r="ACU78" s="190"/>
      <c r="ACV78" s="190"/>
      <c r="ACW78" s="190"/>
      <c r="ACX78" s="190"/>
      <c r="ACY78" s="199"/>
      <c r="ACZ78" s="190"/>
      <c r="ADA78" s="190"/>
      <c r="ADB78" s="190"/>
      <c r="ADC78" s="190"/>
      <c r="ADD78" s="190"/>
      <c r="ADE78" s="194"/>
      <c r="ADF78" s="189"/>
      <c r="ADG78" s="190"/>
      <c r="ADH78" s="190"/>
      <c r="ADI78" s="190"/>
      <c r="ADJ78" s="190"/>
      <c r="ADK78" s="197"/>
      <c r="ADL78" s="190"/>
      <c r="ADM78" s="190"/>
      <c r="ADN78" s="190"/>
      <c r="ADO78" s="190"/>
      <c r="ADP78" s="190"/>
      <c r="ADQ78" s="198"/>
      <c r="ADR78" s="190"/>
      <c r="ADS78" s="190"/>
      <c r="ADT78" s="190"/>
      <c r="ADU78" s="190"/>
      <c r="ADV78" s="190"/>
      <c r="ADW78" s="199"/>
      <c r="ADX78" s="190"/>
      <c r="ADY78" s="190"/>
      <c r="ADZ78" s="190"/>
      <c r="AEA78" s="190"/>
      <c r="AEB78" s="190"/>
      <c r="AEC78" s="198"/>
      <c r="AED78" s="190"/>
      <c r="AEE78" s="190"/>
      <c r="AEF78" s="190"/>
      <c r="AEG78" s="190"/>
      <c r="AEH78" s="190"/>
      <c r="AEI78" s="199"/>
      <c r="AEJ78" s="190"/>
      <c r="AEK78" s="190"/>
      <c r="AEL78" s="190"/>
      <c r="AEM78" s="190"/>
      <c r="AEN78" s="190"/>
      <c r="AEO78" s="198"/>
      <c r="AEP78" s="190"/>
      <c r="AEQ78" s="190"/>
      <c r="AER78" s="190"/>
      <c r="AES78" s="190"/>
      <c r="AET78" s="190"/>
      <c r="AEU78" s="199"/>
      <c r="AEV78" s="190"/>
      <c r="AEW78" s="190"/>
      <c r="AEX78" s="190"/>
      <c r="AEY78" s="190"/>
      <c r="AEZ78" s="190"/>
      <c r="AFA78" s="198"/>
      <c r="AFB78" s="190"/>
      <c r="AFC78" s="190"/>
      <c r="AFD78" s="190"/>
      <c r="AFE78" s="190"/>
      <c r="AFF78" s="190"/>
      <c r="AFG78" s="199"/>
      <c r="AFH78" s="190"/>
      <c r="AFI78" s="190"/>
      <c r="AFJ78" s="190"/>
      <c r="AFK78" s="190"/>
      <c r="AFL78" s="190"/>
      <c r="AFM78" s="194"/>
      <c r="AFN78" s="189"/>
      <c r="AFO78" s="190"/>
      <c r="AFP78" s="190"/>
      <c r="AFQ78" s="190"/>
      <c r="AFR78" s="190"/>
      <c r="AFS78" s="197"/>
      <c r="AFT78" s="190"/>
      <c r="AFU78" s="190"/>
      <c r="AFV78" s="190"/>
      <c r="AFW78" s="190"/>
      <c r="AFX78" s="190"/>
      <c r="AFY78" s="198"/>
      <c r="AFZ78" s="190"/>
      <c r="AGA78" s="190"/>
      <c r="AGB78" s="190"/>
      <c r="AGC78" s="190"/>
      <c r="AGD78" s="190"/>
      <c r="AGE78" s="199"/>
      <c r="AGF78" s="190"/>
      <c r="AGG78" s="190"/>
      <c r="AGH78" s="190"/>
      <c r="AGI78" s="190"/>
      <c r="AGJ78" s="190"/>
      <c r="AGK78" s="198"/>
      <c r="AGL78" s="190"/>
      <c r="AGM78" s="190"/>
      <c r="AGN78" s="190"/>
      <c r="AGO78" s="190"/>
      <c r="AGP78" s="190"/>
      <c r="AGQ78" s="199"/>
      <c r="AGR78" s="190"/>
      <c r="AGS78" s="190"/>
      <c r="AGT78" s="190"/>
      <c r="AGU78" s="190"/>
      <c r="AGV78" s="190"/>
      <c r="AGW78" s="198"/>
      <c r="AGX78" s="190"/>
      <c r="AGY78" s="190"/>
      <c r="AGZ78" s="190"/>
      <c r="AHA78" s="190"/>
      <c r="AHB78" s="190"/>
      <c r="AHC78" s="199"/>
      <c r="AHD78" s="190"/>
      <c r="AHE78" s="190"/>
      <c r="AHF78" s="190"/>
      <c r="AHG78" s="190"/>
      <c r="AHH78" s="190"/>
      <c r="AHI78" s="198"/>
      <c r="AHJ78" s="190"/>
      <c r="AHK78" s="190"/>
      <c r="AHL78" s="190"/>
      <c r="AHM78" s="190"/>
      <c r="AHN78" s="190"/>
      <c r="AHO78" s="199"/>
      <c r="AHP78" s="190"/>
      <c r="AHQ78" s="190"/>
      <c r="AHR78" s="190"/>
      <c r="AHS78" s="190"/>
      <c r="AHT78" s="190"/>
      <c r="AHU78" s="194"/>
      <c r="AHV78" s="189"/>
      <c r="AHW78" s="190"/>
      <c r="AHX78" s="190"/>
      <c r="AHY78" s="190"/>
      <c r="AHZ78" s="190"/>
      <c r="AIA78" s="197"/>
      <c r="AIB78" s="190"/>
      <c r="AIC78" s="190"/>
      <c r="AID78" s="190"/>
      <c r="AIE78" s="190"/>
      <c r="AIF78" s="190"/>
      <c r="AIG78" s="198"/>
      <c r="AIH78" s="190"/>
      <c r="AII78" s="190"/>
      <c r="AIJ78" s="190"/>
      <c r="AIK78" s="190"/>
      <c r="AIL78" s="190"/>
      <c r="AIM78" s="199"/>
      <c r="AIN78" s="190"/>
      <c r="AIO78" s="190"/>
      <c r="AIP78" s="190"/>
      <c r="AIQ78" s="190"/>
      <c r="AIR78" s="190"/>
      <c r="AIS78" s="198"/>
      <c r="AIT78" s="190"/>
      <c r="AIU78" s="190"/>
      <c r="AIV78" s="190"/>
      <c r="AIW78" s="190"/>
      <c r="AIX78" s="190"/>
      <c r="AIY78" s="199"/>
      <c r="AIZ78" s="190"/>
      <c r="AJA78" s="190"/>
      <c r="AJB78" s="190"/>
      <c r="AJC78" s="190"/>
      <c r="AJD78" s="190"/>
      <c r="AJE78" s="198"/>
      <c r="AJF78" s="190"/>
      <c r="AJG78" s="190"/>
      <c r="AJH78" s="190"/>
      <c r="AJI78" s="190"/>
      <c r="AJJ78" s="190"/>
      <c r="AJK78" s="199"/>
      <c r="AJL78" s="190"/>
      <c r="AJM78" s="190"/>
      <c r="AJN78" s="190"/>
      <c r="AJO78" s="190"/>
      <c r="AJP78" s="190"/>
      <c r="AJQ78" s="198"/>
      <c r="AJR78" s="190"/>
      <c r="AJS78" s="190"/>
      <c r="AJT78" s="190"/>
      <c r="AJU78" s="190"/>
      <c r="AJV78" s="190"/>
      <c r="AJW78" s="199"/>
      <c r="AJX78" s="190"/>
      <c r="AJY78" s="190"/>
      <c r="AJZ78" s="190"/>
      <c r="AKA78" s="190"/>
      <c r="AKB78" s="190"/>
      <c r="AKC78" s="194"/>
      <c r="AKD78" s="189"/>
      <c r="AKE78" s="190"/>
      <c r="AKF78" s="190"/>
      <c r="AKG78" s="190"/>
      <c r="AKH78" s="190"/>
      <c r="AKI78" s="197"/>
      <c r="AKJ78" s="190"/>
      <c r="AKK78" s="190"/>
      <c r="AKL78" s="190"/>
      <c r="AKM78" s="190"/>
      <c r="AKN78" s="190"/>
      <c r="AKO78" s="198"/>
      <c r="AKP78" s="190"/>
      <c r="AKQ78" s="190"/>
      <c r="AKR78" s="190"/>
      <c r="AKS78" s="190"/>
      <c r="AKT78" s="190"/>
      <c r="AKU78" s="199"/>
      <c r="AKV78" s="190"/>
      <c r="AKW78" s="190"/>
      <c r="AKX78" s="190"/>
      <c r="AKY78" s="190"/>
      <c r="AKZ78" s="190"/>
      <c r="ALA78" s="198"/>
      <c r="ALB78" s="190"/>
      <c r="ALC78" s="190"/>
      <c r="ALD78" s="190"/>
      <c r="ALE78" s="190"/>
      <c r="ALF78" s="190"/>
      <c r="ALG78" s="199"/>
      <c r="ALH78" s="190"/>
      <c r="ALI78" s="190"/>
      <c r="ALJ78" s="190"/>
      <c r="ALK78" s="190"/>
      <c r="ALL78" s="190"/>
      <c r="ALM78" s="198"/>
      <c r="ALN78" s="190"/>
      <c r="ALO78" s="190"/>
      <c r="ALP78" s="190"/>
      <c r="ALQ78" s="190"/>
      <c r="ALR78" s="190"/>
      <c r="ALS78" s="199"/>
      <c r="ALT78" s="190"/>
      <c r="ALU78" s="190"/>
      <c r="ALV78" s="190"/>
      <c r="ALW78" s="190"/>
      <c r="ALX78" s="190"/>
      <c r="ALY78" s="198"/>
      <c r="ALZ78" s="190"/>
      <c r="AMA78" s="190"/>
      <c r="AMB78" s="190"/>
      <c r="AMC78" s="190"/>
      <c r="AMD78" s="190"/>
      <c r="AME78" s="199"/>
      <c r="AMF78" s="190"/>
      <c r="AMG78" s="190"/>
      <c r="AMH78" s="190"/>
      <c r="AMI78" s="190"/>
      <c r="AMJ78" s="190"/>
      <c r="AMK78" s="194"/>
      <c r="AML78" s="189"/>
      <c r="AMM78" s="190"/>
      <c r="AMN78" s="190"/>
      <c r="AMO78" s="190"/>
      <c r="AMP78" s="190"/>
      <c r="AMQ78" s="197"/>
      <c r="AMR78" s="190"/>
      <c r="AMS78" s="190"/>
      <c r="AMT78" s="190"/>
      <c r="AMU78" s="190"/>
      <c r="AMV78" s="190"/>
      <c r="AMW78" s="198"/>
      <c r="AMX78" s="190"/>
      <c r="AMY78" s="190"/>
      <c r="AMZ78" s="190"/>
      <c r="ANA78" s="190"/>
      <c r="ANB78" s="190"/>
      <c r="ANC78" s="199"/>
      <c r="AND78" s="190"/>
      <c r="ANE78" s="190"/>
      <c r="ANF78" s="190"/>
      <c r="ANG78" s="190"/>
      <c r="ANH78" s="190"/>
      <c r="ANI78" s="198"/>
      <c r="ANJ78" s="190"/>
      <c r="ANK78" s="190"/>
      <c r="ANL78" s="190"/>
      <c r="ANM78" s="190"/>
      <c r="ANN78" s="190"/>
      <c r="ANO78" s="199"/>
      <c r="ANP78" s="190"/>
      <c r="ANQ78" s="190"/>
      <c r="ANR78" s="190"/>
      <c r="ANS78" s="190"/>
      <c r="ANT78" s="190"/>
      <c r="ANU78" s="198"/>
      <c r="ANV78" s="190"/>
      <c r="ANW78" s="190"/>
      <c r="ANX78" s="190"/>
      <c r="ANY78" s="190"/>
      <c r="ANZ78" s="190"/>
      <c r="AOA78" s="199"/>
      <c r="AOB78" s="190"/>
      <c r="AOC78" s="190"/>
      <c r="AOD78" s="190"/>
      <c r="AOE78" s="190"/>
      <c r="AOF78" s="190"/>
      <c r="AOG78" s="198"/>
      <c r="AOH78" s="190"/>
      <c r="AOI78" s="190"/>
      <c r="AOJ78" s="190"/>
      <c r="AOK78" s="190"/>
      <c r="AOL78" s="190"/>
      <c r="AOM78" s="199"/>
      <c r="AON78" s="190"/>
      <c r="AOO78" s="190"/>
      <c r="AOP78" s="190"/>
      <c r="AOQ78" s="190"/>
      <c r="AOR78" s="190"/>
      <c r="AOS78" s="194"/>
      <c r="AOT78" s="189"/>
      <c r="AOU78" s="190"/>
      <c r="AOV78" s="190"/>
      <c r="AOW78" s="190"/>
      <c r="AOX78" s="190"/>
      <c r="AOY78" s="197"/>
      <c r="AOZ78" s="190"/>
      <c r="APA78" s="190"/>
      <c r="APB78" s="190"/>
      <c r="APC78" s="190"/>
      <c r="APD78" s="190"/>
      <c r="APE78" s="198"/>
      <c r="APF78" s="190"/>
      <c r="APG78" s="190"/>
      <c r="APH78" s="190"/>
      <c r="API78" s="190"/>
      <c r="APJ78" s="190"/>
      <c r="APK78" s="199"/>
      <c r="APL78" s="190"/>
      <c r="APM78" s="190"/>
      <c r="APN78" s="190"/>
      <c r="APO78" s="190"/>
      <c r="APP78" s="190"/>
      <c r="APQ78" s="198"/>
      <c r="APR78" s="190"/>
      <c r="APS78" s="190"/>
      <c r="APT78" s="190"/>
      <c r="APU78" s="190"/>
      <c r="APV78" s="190"/>
      <c r="APW78" s="199"/>
      <c r="APX78" s="190"/>
      <c r="APY78" s="190"/>
      <c r="APZ78" s="190"/>
      <c r="AQA78" s="190"/>
      <c r="AQB78" s="190"/>
      <c r="AQC78" s="198"/>
      <c r="AQD78" s="190"/>
      <c r="AQE78" s="190"/>
      <c r="AQF78" s="190"/>
      <c r="AQG78" s="190"/>
      <c r="AQH78" s="190"/>
      <c r="AQI78" s="199"/>
      <c r="AQJ78" s="190"/>
      <c r="AQK78" s="190"/>
      <c r="AQL78" s="190"/>
      <c r="AQM78" s="190"/>
      <c r="AQN78" s="190"/>
      <c r="AQO78" s="198"/>
      <c r="AQP78" s="190"/>
      <c r="AQQ78" s="190"/>
      <c r="AQR78" s="190"/>
      <c r="AQS78" s="190"/>
      <c r="AQT78" s="190"/>
      <c r="AQU78" s="199"/>
      <c r="AQV78" s="190"/>
      <c r="AQW78" s="190"/>
      <c r="AQX78" s="190"/>
      <c r="AQY78" s="190"/>
      <c r="AQZ78" s="190"/>
      <c r="ARA78" s="194"/>
      <c r="ARB78" s="189"/>
      <c r="ARC78" s="190"/>
      <c r="ARD78" s="190"/>
      <c r="ARE78" s="190"/>
      <c r="ARF78" s="190"/>
      <c r="ARG78" s="197"/>
      <c r="ARH78" s="190"/>
      <c r="ARI78" s="190"/>
      <c r="ARJ78" s="190"/>
      <c r="ARK78" s="190"/>
      <c r="ARL78" s="190"/>
      <c r="ARM78" s="198"/>
      <c r="ARN78" s="190"/>
      <c r="ARO78" s="190"/>
      <c r="ARP78" s="190"/>
      <c r="ARQ78" s="190"/>
      <c r="ARR78" s="190"/>
      <c r="ARS78" s="199"/>
      <c r="ART78" s="190"/>
      <c r="ARU78" s="190"/>
      <c r="ARV78" s="190"/>
      <c r="ARW78" s="190"/>
      <c r="ARX78" s="190"/>
      <c r="ARY78" s="198"/>
      <c r="ARZ78" s="190"/>
      <c r="ASA78" s="190"/>
      <c r="ASB78" s="190"/>
      <c r="ASC78" s="190"/>
      <c r="ASD78" s="190"/>
      <c r="ASE78" s="199"/>
      <c r="ASF78" s="190"/>
      <c r="ASG78" s="190"/>
      <c r="ASH78" s="190"/>
      <c r="ASI78" s="190"/>
      <c r="ASJ78" s="190"/>
      <c r="ASK78" s="198"/>
      <c r="ASL78" s="190"/>
      <c r="ASM78" s="190"/>
      <c r="ASN78" s="190"/>
      <c r="ASO78" s="190"/>
      <c r="ASP78" s="190"/>
      <c r="ASQ78" s="199"/>
      <c r="ASR78" s="190"/>
      <c r="ASS78" s="190"/>
      <c r="AST78" s="190"/>
      <c r="ASU78" s="190"/>
      <c r="ASV78" s="190"/>
      <c r="ASW78" s="198"/>
      <c r="ASX78" s="190"/>
      <c r="ASY78" s="190"/>
      <c r="ASZ78" s="190"/>
      <c r="ATA78" s="190"/>
      <c r="ATB78" s="190"/>
      <c r="ATC78" s="199"/>
      <c r="ATD78" s="190"/>
      <c r="ATE78" s="190"/>
      <c r="ATF78" s="190"/>
      <c r="ATG78" s="190"/>
      <c r="ATH78" s="190"/>
      <c r="ATI78" s="194"/>
      <c r="ATJ78" s="189"/>
      <c r="ATK78" s="190"/>
      <c r="ATL78" s="190"/>
      <c r="ATM78" s="190"/>
      <c r="ATN78" s="190"/>
      <c r="ATO78" s="197"/>
      <c r="ATP78" s="190"/>
      <c r="ATQ78" s="190"/>
      <c r="ATR78" s="190"/>
      <c r="ATS78" s="190"/>
      <c r="ATT78" s="190"/>
      <c r="ATU78" s="198"/>
      <c r="ATV78" s="190"/>
      <c r="ATW78" s="190"/>
      <c r="ATX78" s="190"/>
      <c r="ATY78" s="190"/>
      <c r="ATZ78" s="190"/>
      <c r="AUA78" s="199"/>
      <c r="AUB78" s="190"/>
      <c r="AUC78" s="190"/>
      <c r="AUD78" s="190"/>
      <c r="AUE78" s="190"/>
      <c r="AUF78" s="190"/>
      <c r="AUG78" s="198"/>
      <c r="AUH78" s="190"/>
      <c r="AUI78" s="190"/>
      <c r="AUJ78" s="190"/>
      <c r="AUK78" s="190"/>
      <c r="AUL78" s="190"/>
      <c r="AUM78" s="199"/>
      <c r="AUN78" s="190"/>
      <c r="AUO78" s="190"/>
      <c r="AUP78" s="190"/>
      <c r="AUQ78" s="190"/>
      <c r="AUR78" s="190"/>
      <c r="AUS78" s="198"/>
      <c r="AUT78" s="190"/>
      <c r="AUU78" s="190"/>
      <c r="AUV78" s="190"/>
      <c r="AUW78" s="190"/>
      <c r="AUX78" s="190"/>
      <c r="AUY78" s="199"/>
      <c r="AUZ78" s="190"/>
      <c r="AVA78" s="190"/>
      <c r="AVB78" s="190"/>
      <c r="AVC78" s="190"/>
      <c r="AVD78" s="190"/>
      <c r="AVE78" s="198"/>
      <c r="AVF78" s="190"/>
      <c r="AVG78" s="190"/>
      <c r="AVH78" s="190"/>
      <c r="AVI78" s="190"/>
      <c r="AVJ78" s="190"/>
      <c r="AVK78" s="199"/>
      <c r="AVL78" s="190"/>
      <c r="AVM78" s="190"/>
      <c r="AVN78" s="190"/>
      <c r="AVO78" s="190"/>
      <c r="AVP78" s="190"/>
      <c r="AVQ78" s="194"/>
      <c r="AVR78" s="189"/>
      <c r="AVS78" s="190"/>
      <c r="AVT78" s="190"/>
      <c r="AVU78" s="190"/>
      <c r="AVV78" s="190"/>
      <c r="AVW78" s="197"/>
      <c r="AVX78" s="190"/>
      <c r="AVY78" s="190"/>
      <c r="AVZ78" s="190"/>
      <c r="AWA78" s="190"/>
      <c r="AWB78" s="190"/>
      <c r="AWC78" s="198"/>
      <c r="AWD78" s="190"/>
      <c r="AWE78" s="190"/>
      <c r="AWF78" s="190"/>
      <c r="AWG78" s="190"/>
      <c r="AWH78" s="190"/>
      <c r="AWI78" s="199"/>
      <c r="AWJ78" s="190"/>
      <c r="AWK78" s="190"/>
      <c r="AWL78" s="190"/>
      <c r="AWM78" s="190"/>
      <c r="AWN78" s="190"/>
      <c r="AWO78" s="198"/>
      <c r="AWP78" s="190"/>
      <c r="AWQ78" s="190"/>
      <c r="AWR78" s="190"/>
      <c r="AWS78" s="190"/>
      <c r="AWT78" s="190"/>
      <c r="AWU78" s="199"/>
      <c r="AWV78" s="190"/>
      <c r="AWW78" s="190"/>
      <c r="AWX78" s="190"/>
      <c r="AWY78" s="190"/>
      <c r="AWZ78" s="190"/>
      <c r="AXA78" s="198"/>
      <c r="AXB78" s="190"/>
      <c r="AXC78" s="190"/>
      <c r="AXD78" s="190"/>
      <c r="AXE78" s="190"/>
      <c r="AXF78" s="190"/>
      <c r="AXG78" s="199"/>
      <c r="AXH78" s="190"/>
      <c r="AXI78" s="190"/>
      <c r="AXJ78" s="190"/>
      <c r="AXK78" s="190"/>
      <c r="AXL78" s="190"/>
      <c r="AXM78" s="198"/>
      <c r="AXN78" s="190"/>
      <c r="AXO78" s="190"/>
      <c r="AXP78" s="190"/>
      <c r="AXQ78" s="190"/>
      <c r="AXR78" s="190"/>
      <c r="AXS78" s="199"/>
      <c r="AXT78" s="190"/>
      <c r="AXU78" s="190"/>
      <c r="AXV78" s="190"/>
      <c r="AXW78" s="190"/>
      <c r="AXX78" s="190"/>
      <c r="AXY78" s="194"/>
      <c r="AXZ78" s="189"/>
      <c r="AYA78" s="190"/>
      <c r="AYB78" s="190"/>
      <c r="AYC78" s="190"/>
      <c r="AYD78" s="190"/>
      <c r="AYE78" s="197"/>
      <c r="AYF78" s="190"/>
      <c r="AYG78" s="190"/>
      <c r="AYH78" s="190"/>
      <c r="AYI78" s="190"/>
      <c r="AYJ78" s="190"/>
      <c r="AYK78" s="198"/>
      <c r="AYL78" s="190"/>
      <c r="AYM78" s="190"/>
      <c r="AYN78" s="190"/>
      <c r="AYO78" s="190"/>
      <c r="AYP78" s="190"/>
      <c r="AYQ78" s="199"/>
      <c r="AYR78" s="190"/>
      <c r="AYS78" s="190"/>
      <c r="AYT78" s="190"/>
      <c r="AYU78" s="190"/>
      <c r="AYV78" s="190"/>
      <c r="AYW78" s="198"/>
      <c r="AYX78" s="190"/>
      <c r="AYY78" s="190"/>
      <c r="AYZ78" s="190"/>
      <c r="AZA78" s="190"/>
      <c r="AZB78" s="190"/>
      <c r="AZC78" s="199"/>
      <c r="AZD78" s="190"/>
      <c r="AZE78" s="190"/>
      <c r="AZF78" s="190"/>
      <c r="AZG78" s="190"/>
      <c r="AZH78" s="190"/>
      <c r="AZI78" s="198"/>
      <c r="AZJ78" s="190"/>
      <c r="AZK78" s="190"/>
      <c r="AZL78" s="190"/>
      <c r="AZM78" s="190"/>
      <c r="AZN78" s="190"/>
      <c r="AZO78" s="199"/>
      <c r="AZP78" s="190"/>
      <c r="AZQ78" s="190"/>
      <c r="AZR78" s="190"/>
      <c r="AZS78" s="190"/>
      <c r="AZT78" s="190"/>
      <c r="AZU78" s="198"/>
      <c r="AZV78" s="190"/>
      <c r="AZW78" s="190"/>
      <c r="AZX78" s="190"/>
      <c r="AZY78" s="190"/>
      <c r="AZZ78" s="190"/>
      <c r="BAA78" s="199"/>
      <c r="BAB78" s="190"/>
      <c r="BAC78" s="190"/>
      <c r="BAD78" s="190"/>
      <c r="BAE78" s="190"/>
      <c r="BAF78" s="190"/>
      <c r="BAG78" s="194"/>
      <c r="BAH78" s="189"/>
      <c r="BAI78" s="190"/>
      <c r="BAJ78" s="190"/>
      <c r="BAK78" s="190"/>
      <c r="BAL78" s="190"/>
      <c r="BAM78" s="197"/>
      <c r="BAN78" s="190"/>
      <c r="BAO78" s="190"/>
      <c r="BAP78" s="190"/>
      <c r="BAQ78" s="190"/>
      <c r="BAR78" s="190"/>
      <c r="BAS78" s="198"/>
      <c r="BAT78" s="190"/>
      <c r="BAU78" s="190"/>
      <c r="BAV78" s="190"/>
      <c r="BAW78" s="190"/>
      <c r="BAX78" s="190"/>
      <c r="BAY78" s="199"/>
      <c r="BAZ78" s="190"/>
      <c r="BBA78" s="190"/>
      <c r="BBB78" s="190"/>
      <c r="BBC78" s="190"/>
      <c r="BBD78" s="190"/>
      <c r="BBE78" s="198"/>
      <c r="BBF78" s="190"/>
      <c r="BBG78" s="190"/>
      <c r="BBH78" s="190"/>
      <c r="BBI78" s="190"/>
      <c r="BBJ78" s="190"/>
      <c r="BBK78" s="199"/>
      <c r="BBL78" s="190"/>
      <c r="BBM78" s="190"/>
      <c r="BBN78" s="190"/>
      <c r="BBO78" s="190"/>
      <c r="BBP78" s="190"/>
      <c r="BBQ78" s="198"/>
      <c r="BBR78" s="190"/>
      <c r="BBS78" s="190"/>
      <c r="BBT78" s="190"/>
      <c r="BBU78" s="190"/>
      <c r="BBV78" s="190"/>
      <c r="BBW78" s="199"/>
      <c r="BBX78" s="190"/>
      <c r="BBY78" s="190"/>
      <c r="BBZ78" s="190"/>
      <c r="BCA78" s="190"/>
      <c r="BCB78" s="190"/>
      <c r="BCC78" s="198"/>
      <c r="BCD78" s="190"/>
      <c r="BCE78" s="190"/>
      <c r="BCF78" s="190"/>
      <c r="BCG78" s="190"/>
      <c r="BCH78" s="190"/>
      <c r="BCI78" s="199"/>
      <c r="BCJ78" s="190"/>
      <c r="BCK78" s="190"/>
      <c r="BCL78" s="190"/>
      <c r="BCM78" s="190"/>
      <c r="BCN78" s="190"/>
      <c r="BCO78" s="194"/>
      <c r="BCP78" s="189"/>
      <c r="BCQ78" s="190"/>
      <c r="BCR78" s="190"/>
      <c r="BCS78" s="190"/>
      <c r="BCT78" s="190"/>
      <c r="BCU78" s="197"/>
      <c r="BCV78" s="190"/>
      <c r="BCW78" s="190"/>
      <c r="BCX78" s="190"/>
      <c r="BCY78" s="190"/>
      <c r="BCZ78" s="190"/>
      <c r="BDA78" s="198"/>
      <c r="BDB78" s="190"/>
      <c r="BDC78" s="190"/>
      <c r="BDD78" s="190"/>
      <c r="BDE78" s="190"/>
      <c r="BDF78" s="190"/>
      <c r="BDG78" s="199"/>
      <c r="BDH78" s="190"/>
      <c r="BDI78" s="190"/>
      <c r="BDJ78" s="190"/>
      <c r="BDK78" s="190"/>
      <c r="BDL78" s="190"/>
      <c r="BDM78" s="198"/>
      <c r="BDN78" s="190"/>
      <c r="BDO78" s="190"/>
      <c r="BDP78" s="190"/>
      <c r="BDQ78" s="190"/>
      <c r="BDR78" s="190"/>
      <c r="BDS78" s="199"/>
      <c r="BDT78" s="190"/>
      <c r="BDU78" s="190"/>
      <c r="BDV78" s="190"/>
      <c r="BDW78" s="190"/>
      <c r="BDX78" s="190"/>
      <c r="BDY78" s="198"/>
      <c r="BDZ78" s="190"/>
      <c r="BEA78" s="190"/>
      <c r="BEB78" s="190"/>
      <c r="BEC78" s="190"/>
      <c r="BED78" s="190"/>
      <c r="BEE78" s="199"/>
      <c r="BEF78" s="190"/>
      <c r="BEG78" s="190"/>
      <c r="BEH78" s="190"/>
      <c r="BEI78" s="190"/>
      <c r="BEJ78" s="190"/>
      <c r="BEK78" s="198"/>
      <c r="BEL78" s="190"/>
      <c r="BEM78" s="190"/>
      <c r="BEN78" s="190"/>
      <c r="BEO78" s="190"/>
      <c r="BEP78" s="190"/>
      <c r="BEQ78" s="199"/>
      <c r="BER78" s="190"/>
      <c r="BES78" s="190"/>
      <c r="BET78" s="190"/>
      <c r="BEU78" s="190"/>
      <c r="BEV78" s="190"/>
      <c r="BEW78" s="194"/>
      <c r="BEX78" s="189"/>
      <c r="BEY78" s="190"/>
      <c r="BEZ78" s="190"/>
      <c r="BFA78" s="190"/>
      <c r="BFB78" s="190"/>
      <c r="BFC78" s="197"/>
      <c r="BFD78" s="190"/>
      <c r="BFE78" s="190"/>
      <c r="BFF78" s="190"/>
      <c r="BFG78" s="190"/>
      <c r="BFH78" s="190"/>
      <c r="BFI78" s="198"/>
      <c r="BFJ78" s="190"/>
      <c r="BFK78" s="190"/>
      <c r="BFL78" s="190"/>
      <c r="BFM78" s="190"/>
      <c r="BFN78" s="190"/>
      <c r="BFO78" s="199"/>
      <c r="BFP78" s="190"/>
      <c r="BFQ78" s="190"/>
      <c r="BFR78" s="190"/>
      <c r="BFS78" s="190"/>
      <c r="BFT78" s="190"/>
      <c r="BFU78" s="198"/>
      <c r="BFV78" s="190"/>
      <c r="BFW78" s="190"/>
      <c r="BFX78" s="190"/>
      <c r="BFY78" s="190"/>
      <c r="BFZ78" s="190"/>
      <c r="BGA78" s="199"/>
      <c r="BGB78" s="190"/>
      <c r="BGC78" s="190"/>
      <c r="BGD78" s="190"/>
      <c r="BGE78" s="190"/>
      <c r="BGF78" s="190"/>
      <c r="BGG78" s="198"/>
      <c r="BGH78" s="190"/>
      <c r="BGI78" s="190"/>
      <c r="BGJ78" s="190"/>
      <c r="BGK78" s="190"/>
      <c r="BGL78" s="190"/>
      <c r="BGM78" s="199"/>
      <c r="BGN78" s="190"/>
      <c r="BGO78" s="190"/>
      <c r="BGP78" s="190"/>
      <c r="BGQ78" s="190"/>
      <c r="BGR78" s="190"/>
      <c r="BGS78" s="198"/>
      <c r="BGT78" s="190"/>
      <c r="BGU78" s="190"/>
      <c r="BGV78" s="190"/>
      <c r="BGW78" s="190"/>
      <c r="BGX78" s="190"/>
      <c r="BGY78" s="199"/>
      <c r="BGZ78" s="190"/>
      <c r="BHA78" s="190"/>
      <c r="BHB78" s="190"/>
      <c r="BHC78" s="190"/>
      <c r="BHD78" s="190"/>
      <c r="BHE78" s="194"/>
      <c r="BHF78" s="187"/>
      <c r="BHG78" s="188"/>
      <c r="BHH78" s="188"/>
      <c r="BHI78" s="188"/>
      <c r="BHJ78" s="188"/>
      <c r="BHK78" s="188"/>
      <c r="BHL78" s="188"/>
      <c r="BHM78" s="188"/>
      <c r="BHN78" s="188"/>
      <c r="BHO78" s="188"/>
      <c r="BHP78" s="188"/>
      <c r="BHQ78" s="188"/>
      <c r="BHR78" s="188"/>
      <c r="BHS78" s="188"/>
      <c r="BHT78" s="188"/>
      <c r="BHU78" s="188"/>
      <c r="BHV78" s="188"/>
      <c r="BHW78" s="188"/>
      <c r="BHX78" s="188"/>
      <c r="BHY78" s="188"/>
      <c r="BHZ78" s="188"/>
      <c r="BIA78" s="188"/>
      <c r="BIB78" s="188"/>
      <c r="BIC78" s="188"/>
      <c r="BID78" s="188"/>
      <c r="BIE78" s="188"/>
      <c r="BIF78" s="188"/>
      <c r="BIG78" s="188"/>
      <c r="BIH78" s="188"/>
      <c r="BII78" s="188"/>
      <c r="BIJ78" s="188"/>
      <c r="BIK78" s="188"/>
      <c r="BIL78" s="188"/>
      <c r="BIM78" s="188"/>
      <c r="BIN78" s="188"/>
      <c r="BIO78" s="188"/>
      <c r="BIP78" s="188"/>
    </row>
    <row r="79" spans="1:1602" ht="20.100000000000001" customHeight="1" x14ac:dyDescent="0.25">
      <c r="A79" s="78" t="s">
        <v>49</v>
      </c>
      <c r="B79" s="51"/>
      <c r="C79" s="23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87"/>
      <c r="BHG79" s="188"/>
      <c r="BHH79" s="188"/>
      <c r="BHI79" s="188"/>
      <c r="BHJ79" s="188"/>
      <c r="BHK79" s="188"/>
      <c r="BHL79" s="188"/>
      <c r="BHM79" s="188"/>
      <c r="BHN79" s="188"/>
      <c r="BHO79" s="188"/>
      <c r="BHP79" s="188"/>
      <c r="BHQ79" s="188"/>
      <c r="BHR79" s="188"/>
      <c r="BHS79" s="188"/>
      <c r="BHT79" s="188"/>
      <c r="BHU79" s="188"/>
      <c r="BHV79" s="188"/>
      <c r="BHW79" s="188"/>
      <c r="BHX79" s="188"/>
      <c r="BHY79" s="188"/>
      <c r="BHZ79" s="188"/>
      <c r="BIA79" s="188"/>
      <c r="BIB79" s="188"/>
      <c r="BIC79" s="188"/>
      <c r="BID79" s="188"/>
      <c r="BIE79" s="188"/>
      <c r="BIF79" s="188"/>
      <c r="BIG79" s="188"/>
      <c r="BIH79" s="188"/>
      <c r="BII79" s="188"/>
      <c r="BIJ79" s="188"/>
      <c r="BIK79" s="188"/>
      <c r="BIL79" s="188"/>
      <c r="BIM79" s="188"/>
      <c r="BIN79" s="188"/>
      <c r="BIO79" s="188"/>
      <c r="BIP79" s="188"/>
    </row>
    <row r="80" spans="1:1602" ht="20.100000000000001" customHeight="1" x14ac:dyDescent="0.3">
      <c r="A80" s="78" t="s">
        <v>50</v>
      </c>
      <c r="B80" s="51"/>
      <c r="C80" s="231"/>
      <c r="D80" s="121" t="str">
        <f t="shared" ref="D80:D94" si="1">setValueToTime(E80)</f>
        <v/>
      </c>
      <c r="E80" s="22">
        <v>0</v>
      </c>
      <c r="F80" s="195"/>
      <c r="G80" s="196"/>
      <c r="H80" s="196"/>
      <c r="I80" s="196"/>
      <c r="J80" s="196"/>
      <c r="K80" s="197"/>
      <c r="L80" s="196"/>
      <c r="M80" s="196"/>
      <c r="N80" s="196"/>
      <c r="O80" s="196"/>
      <c r="P80" s="196"/>
      <c r="Q80" s="198"/>
      <c r="R80" s="196"/>
      <c r="S80" s="196"/>
      <c r="T80" s="196"/>
      <c r="U80" s="196"/>
      <c r="V80" s="196"/>
      <c r="W80" s="199"/>
      <c r="X80" s="196"/>
      <c r="Y80" s="196"/>
      <c r="Z80" s="196"/>
      <c r="AA80" s="196"/>
      <c r="AB80" s="196"/>
      <c r="AC80" s="198"/>
      <c r="AD80" s="196"/>
      <c r="AE80" s="196"/>
      <c r="AF80" s="196"/>
      <c r="AG80" s="196"/>
      <c r="AH80" s="196"/>
      <c r="AI80" s="199"/>
      <c r="AJ80" s="196"/>
      <c r="AK80" s="196"/>
      <c r="AL80" s="196"/>
      <c r="AM80" s="196"/>
      <c r="AN80" s="196"/>
      <c r="AO80" s="198"/>
      <c r="AP80" s="196"/>
      <c r="AQ80" s="196"/>
      <c r="AR80" s="196"/>
      <c r="AS80" s="196"/>
      <c r="AT80" s="196"/>
      <c r="AU80" s="199"/>
      <c r="AV80" s="196"/>
      <c r="AW80" s="196"/>
      <c r="AX80" s="196"/>
      <c r="AY80" s="196"/>
      <c r="AZ80" s="196"/>
      <c r="BA80" s="198"/>
      <c r="BB80" s="196"/>
      <c r="BC80" s="196"/>
      <c r="BD80" s="196"/>
      <c r="BE80" s="196"/>
      <c r="BF80" s="196"/>
      <c r="BG80" s="199"/>
      <c r="BH80" s="196"/>
      <c r="BI80" s="196"/>
      <c r="BJ80" s="196"/>
      <c r="BK80" s="196"/>
      <c r="BL80" s="196"/>
      <c r="BM80" s="200"/>
      <c r="BN80" s="195"/>
      <c r="BO80" s="196"/>
      <c r="BP80" s="196"/>
      <c r="BQ80" s="196"/>
      <c r="BR80" s="196"/>
      <c r="BS80" s="197"/>
      <c r="BT80" s="196"/>
      <c r="BU80" s="196"/>
      <c r="BV80" s="196"/>
      <c r="BW80" s="196"/>
      <c r="BX80" s="196"/>
      <c r="BY80" s="198"/>
      <c r="BZ80" s="196"/>
      <c r="CA80" s="196"/>
      <c r="CB80" s="196"/>
      <c r="CC80" s="196"/>
      <c r="CD80" s="196"/>
      <c r="CE80" s="199"/>
      <c r="CF80" s="196"/>
      <c r="CG80" s="196"/>
      <c r="CH80" s="196"/>
      <c r="CI80" s="196"/>
      <c r="CJ80" s="196"/>
      <c r="CK80" s="198"/>
      <c r="CL80" s="196"/>
      <c r="CM80" s="196"/>
      <c r="CN80" s="196"/>
      <c r="CO80" s="196"/>
      <c r="CP80" s="196"/>
      <c r="CQ80" s="199"/>
      <c r="CR80" s="196"/>
      <c r="CS80" s="196"/>
      <c r="CT80" s="196"/>
      <c r="CU80" s="196"/>
      <c r="CV80" s="196"/>
      <c r="CW80" s="198"/>
      <c r="CX80" s="196"/>
      <c r="CY80" s="196"/>
      <c r="CZ80" s="196"/>
      <c r="DA80" s="196"/>
      <c r="DB80" s="196"/>
      <c r="DC80" s="199"/>
      <c r="DD80" s="196"/>
      <c r="DE80" s="196"/>
      <c r="DF80" s="196"/>
      <c r="DG80" s="196"/>
      <c r="DH80" s="196"/>
      <c r="DI80" s="198"/>
      <c r="DJ80" s="196"/>
      <c r="DK80" s="196"/>
      <c r="DL80" s="196"/>
      <c r="DM80" s="196"/>
      <c r="DN80" s="196"/>
      <c r="DO80" s="199"/>
      <c r="DP80" s="196"/>
      <c r="DQ80" s="196"/>
      <c r="DR80" s="196"/>
      <c r="DS80" s="196"/>
      <c r="DT80" s="196"/>
      <c r="DU80" s="200"/>
      <c r="DV80" s="195"/>
      <c r="DW80" s="196"/>
      <c r="DX80" s="196"/>
      <c r="DY80" s="196"/>
      <c r="DZ80" s="196"/>
      <c r="EA80" s="197"/>
      <c r="EB80" s="196"/>
      <c r="EC80" s="196"/>
      <c r="ED80" s="196"/>
      <c r="EE80" s="196"/>
      <c r="EF80" s="196"/>
      <c r="EG80" s="198"/>
      <c r="EH80" s="196"/>
      <c r="EI80" s="196"/>
      <c r="EJ80" s="196"/>
      <c r="EK80" s="196"/>
      <c r="EL80" s="196"/>
      <c r="EM80" s="199"/>
      <c r="EN80" s="196"/>
      <c r="EO80" s="196"/>
      <c r="EP80" s="196"/>
      <c r="EQ80" s="196"/>
      <c r="ER80" s="196"/>
      <c r="ES80" s="198"/>
      <c r="ET80" s="196"/>
      <c r="EU80" s="196"/>
      <c r="EV80" s="196"/>
      <c r="EW80" s="196"/>
      <c r="EX80" s="196"/>
      <c r="EY80" s="199"/>
      <c r="EZ80" s="196"/>
      <c r="FA80" s="196"/>
      <c r="FB80" s="196"/>
      <c r="FC80" s="196"/>
      <c r="FD80" s="196"/>
      <c r="FE80" s="198"/>
      <c r="FF80" s="196"/>
      <c r="FG80" s="196"/>
      <c r="FH80" s="196"/>
      <c r="FI80" s="196"/>
      <c r="FJ80" s="196"/>
      <c r="FK80" s="199"/>
      <c r="FL80" s="196"/>
      <c r="FM80" s="196"/>
      <c r="FN80" s="196"/>
      <c r="FO80" s="196"/>
      <c r="FP80" s="196"/>
      <c r="FQ80" s="198"/>
      <c r="FR80" s="196"/>
      <c r="FS80" s="196"/>
      <c r="FT80" s="196"/>
      <c r="FU80" s="196"/>
      <c r="FV80" s="196"/>
      <c r="FW80" s="199"/>
      <c r="FX80" s="196"/>
      <c r="FY80" s="196"/>
      <c r="FZ80" s="196"/>
      <c r="GA80" s="196"/>
      <c r="GB80" s="196"/>
      <c r="GC80" s="200"/>
      <c r="GD80" s="195"/>
      <c r="GE80" s="196"/>
      <c r="GF80" s="196"/>
      <c r="GG80" s="196"/>
      <c r="GH80" s="196"/>
      <c r="GI80" s="197"/>
      <c r="GJ80" s="196"/>
      <c r="GK80" s="196"/>
      <c r="GL80" s="196"/>
      <c r="GM80" s="196"/>
      <c r="GN80" s="196"/>
      <c r="GO80" s="198"/>
      <c r="GP80" s="196"/>
      <c r="GQ80" s="196"/>
      <c r="GR80" s="196"/>
      <c r="GS80" s="196"/>
      <c r="GT80" s="196"/>
      <c r="GU80" s="199"/>
      <c r="GV80" s="196"/>
      <c r="GW80" s="196"/>
      <c r="GX80" s="196"/>
      <c r="GY80" s="196"/>
      <c r="GZ80" s="196"/>
      <c r="HA80" s="198"/>
      <c r="HB80" s="196"/>
      <c r="HC80" s="196"/>
      <c r="HD80" s="196"/>
      <c r="HE80" s="196"/>
      <c r="HF80" s="196"/>
      <c r="HG80" s="199"/>
      <c r="HH80" s="196"/>
      <c r="HI80" s="196"/>
      <c r="HJ80" s="196"/>
      <c r="HK80" s="196"/>
      <c r="HL80" s="196"/>
      <c r="HM80" s="198"/>
      <c r="HN80" s="196"/>
      <c r="HO80" s="196"/>
      <c r="HP80" s="196"/>
      <c r="HQ80" s="196"/>
      <c r="HR80" s="196"/>
      <c r="HS80" s="199"/>
      <c r="HT80" s="196"/>
      <c r="HU80" s="196"/>
      <c r="HV80" s="196"/>
      <c r="HW80" s="196"/>
      <c r="HX80" s="196"/>
      <c r="HY80" s="198"/>
      <c r="HZ80" s="196"/>
      <c r="IA80" s="196"/>
      <c r="IB80" s="196"/>
      <c r="IC80" s="196"/>
      <c r="ID80" s="196"/>
      <c r="IE80" s="199"/>
      <c r="IF80" s="196"/>
      <c r="IG80" s="196"/>
      <c r="IH80" s="196"/>
      <c r="II80" s="196"/>
      <c r="IJ80" s="196"/>
      <c r="IK80" s="200"/>
      <c r="IL80" s="195"/>
      <c r="IM80" s="196"/>
      <c r="IN80" s="196"/>
      <c r="IO80" s="196"/>
      <c r="IP80" s="196"/>
      <c r="IQ80" s="197"/>
      <c r="IR80" s="196"/>
      <c r="IS80" s="196"/>
      <c r="IT80" s="196"/>
      <c r="IU80" s="196"/>
      <c r="IV80" s="196"/>
      <c r="IW80" s="198"/>
      <c r="IX80" s="196"/>
      <c r="IY80" s="196"/>
      <c r="IZ80" s="196"/>
      <c r="JA80" s="196"/>
      <c r="JB80" s="196"/>
      <c r="JC80" s="199"/>
      <c r="JD80" s="196"/>
      <c r="JE80" s="196"/>
      <c r="JF80" s="196"/>
      <c r="JG80" s="196"/>
      <c r="JH80" s="196"/>
      <c r="JI80" s="198"/>
      <c r="JJ80" s="196"/>
      <c r="JK80" s="196"/>
      <c r="JL80" s="196"/>
      <c r="JM80" s="196"/>
      <c r="JN80" s="196"/>
      <c r="JO80" s="199"/>
      <c r="JP80" s="196"/>
      <c r="JQ80" s="196"/>
      <c r="JR80" s="196"/>
      <c r="JS80" s="196"/>
      <c r="JT80" s="196"/>
      <c r="JU80" s="198"/>
      <c r="JV80" s="196"/>
      <c r="JW80" s="196"/>
      <c r="JX80" s="196"/>
      <c r="JY80" s="196"/>
      <c r="JZ80" s="196"/>
      <c r="KA80" s="199"/>
      <c r="KB80" s="196"/>
      <c r="KC80" s="196"/>
      <c r="KD80" s="196"/>
      <c r="KE80" s="196"/>
      <c r="KF80" s="196"/>
      <c r="KG80" s="198"/>
      <c r="KH80" s="196"/>
      <c r="KI80" s="196"/>
      <c r="KJ80" s="196"/>
      <c r="KK80" s="196"/>
      <c r="KL80" s="196"/>
      <c r="KM80" s="199"/>
      <c r="KN80" s="196"/>
      <c r="KO80" s="196"/>
      <c r="KP80" s="196"/>
      <c r="KQ80" s="196"/>
      <c r="KR80" s="196"/>
      <c r="KS80" s="200"/>
      <c r="KT80" s="195"/>
      <c r="KU80" s="196"/>
      <c r="KV80" s="196"/>
      <c r="KW80" s="196"/>
      <c r="KX80" s="196"/>
      <c r="KY80" s="197"/>
      <c r="KZ80" s="196"/>
      <c r="LA80" s="196"/>
      <c r="LB80" s="196"/>
      <c r="LC80" s="196"/>
      <c r="LD80" s="196"/>
      <c r="LE80" s="198"/>
      <c r="LF80" s="196"/>
      <c r="LG80" s="196"/>
      <c r="LH80" s="196"/>
      <c r="LI80" s="196"/>
      <c r="LJ80" s="196"/>
      <c r="LK80" s="199"/>
      <c r="LL80" s="196"/>
      <c r="LM80" s="196"/>
      <c r="LN80" s="196"/>
      <c r="LO80" s="196"/>
      <c r="LP80" s="196"/>
      <c r="LQ80" s="198"/>
      <c r="LR80" s="196"/>
      <c r="LS80" s="196"/>
      <c r="LT80" s="196"/>
      <c r="LU80" s="196"/>
      <c r="LV80" s="196"/>
      <c r="LW80" s="199"/>
      <c r="LX80" s="196"/>
      <c r="LY80" s="196"/>
      <c r="LZ80" s="196"/>
      <c r="MA80" s="196"/>
      <c r="MB80" s="196"/>
      <c r="MC80" s="198"/>
      <c r="MD80" s="196"/>
      <c r="ME80" s="196"/>
      <c r="MF80" s="196"/>
      <c r="MG80" s="196"/>
      <c r="MH80" s="196"/>
      <c r="MI80" s="199"/>
      <c r="MJ80" s="196"/>
      <c r="MK80" s="196"/>
      <c r="ML80" s="196"/>
      <c r="MM80" s="196"/>
      <c r="MN80" s="196"/>
      <c r="MO80" s="198"/>
      <c r="MP80" s="196"/>
      <c r="MQ80" s="196"/>
      <c r="MR80" s="196"/>
      <c r="MS80" s="196"/>
      <c r="MT80" s="196"/>
      <c r="MU80" s="199"/>
      <c r="MV80" s="196"/>
      <c r="MW80" s="196"/>
      <c r="MX80" s="196"/>
      <c r="MY80" s="196"/>
      <c r="MZ80" s="196"/>
      <c r="NA80" s="200"/>
      <c r="NB80" s="195"/>
      <c r="NC80" s="196"/>
      <c r="ND80" s="196"/>
      <c r="NE80" s="196"/>
      <c r="NF80" s="196"/>
      <c r="NG80" s="197"/>
      <c r="NH80" s="196"/>
      <c r="NI80" s="196"/>
      <c r="NJ80" s="196"/>
      <c r="NK80" s="196"/>
      <c r="NL80" s="196"/>
      <c r="NM80" s="198"/>
      <c r="NN80" s="196"/>
      <c r="NO80" s="196"/>
      <c r="NP80" s="196"/>
      <c r="NQ80" s="196"/>
      <c r="NR80" s="196"/>
      <c r="NS80" s="199"/>
      <c r="NT80" s="196"/>
      <c r="NU80" s="196"/>
      <c r="NV80" s="196"/>
      <c r="NW80" s="196"/>
      <c r="NX80" s="196"/>
      <c r="NY80" s="198"/>
      <c r="NZ80" s="196"/>
      <c r="OA80" s="196"/>
      <c r="OB80" s="196"/>
      <c r="OC80" s="196"/>
      <c r="OD80" s="196"/>
      <c r="OE80" s="199"/>
      <c r="OF80" s="196"/>
      <c r="OG80" s="196"/>
      <c r="OH80" s="196"/>
      <c r="OI80" s="196"/>
      <c r="OJ80" s="196"/>
      <c r="OK80" s="198"/>
      <c r="OL80" s="196"/>
      <c r="OM80" s="196"/>
      <c r="ON80" s="196"/>
      <c r="OO80" s="196"/>
      <c r="OP80" s="196"/>
      <c r="OQ80" s="199"/>
      <c r="OR80" s="196"/>
      <c r="OS80" s="196"/>
      <c r="OT80" s="196"/>
      <c r="OU80" s="196"/>
      <c r="OV80" s="196"/>
      <c r="OW80" s="198"/>
      <c r="OX80" s="196"/>
      <c r="OY80" s="196"/>
      <c r="OZ80" s="196"/>
      <c r="PA80" s="196"/>
      <c r="PB80" s="196"/>
      <c r="PC80" s="199"/>
      <c r="PD80" s="196"/>
      <c r="PE80" s="196"/>
      <c r="PF80" s="196"/>
      <c r="PG80" s="196"/>
      <c r="PH80" s="196"/>
      <c r="PI80" s="200"/>
      <c r="PJ80" s="195"/>
      <c r="PK80" s="196"/>
      <c r="PL80" s="196"/>
      <c r="PM80" s="196"/>
      <c r="PN80" s="196"/>
      <c r="PO80" s="197"/>
      <c r="PP80" s="196"/>
      <c r="PQ80" s="196"/>
      <c r="PR80" s="196"/>
      <c r="PS80" s="196"/>
      <c r="PT80" s="196"/>
      <c r="PU80" s="198"/>
      <c r="PV80" s="196"/>
      <c r="PW80" s="196"/>
      <c r="PX80" s="196"/>
      <c r="PY80" s="196"/>
      <c r="PZ80" s="196"/>
      <c r="QA80" s="199"/>
      <c r="QB80" s="196"/>
      <c r="QC80" s="196"/>
      <c r="QD80" s="196"/>
      <c r="QE80" s="196"/>
      <c r="QF80" s="196"/>
      <c r="QG80" s="198"/>
      <c r="QH80" s="196"/>
      <c r="QI80" s="196"/>
      <c r="QJ80" s="196"/>
      <c r="QK80" s="196"/>
      <c r="QL80" s="196"/>
      <c r="QM80" s="199"/>
      <c r="QN80" s="196"/>
      <c r="QO80" s="196"/>
      <c r="QP80" s="196"/>
      <c r="QQ80" s="196"/>
      <c r="QR80" s="196"/>
      <c r="QS80" s="198"/>
      <c r="QT80" s="196"/>
      <c r="QU80" s="196"/>
      <c r="QV80" s="196"/>
      <c r="QW80" s="196"/>
      <c r="QX80" s="196"/>
      <c r="QY80" s="199"/>
      <c r="QZ80" s="196"/>
      <c r="RA80" s="196"/>
      <c r="RB80" s="196"/>
      <c r="RC80" s="196"/>
      <c r="RD80" s="196"/>
      <c r="RE80" s="198"/>
      <c r="RF80" s="196"/>
      <c r="RG80" s="196"/>
      <c r="RH80" s="196"/>
      <c r="RI80" s="196"/>
      <c r="RJ80" s="196"/>
      <c r="RK80" s="199"/>
      <c r="RL80" s="196"/>
      <c r="RM80" s="196"/>
      <c r="RN80" s="196"/>
      <c r="RO80" s="196"/>
      <c r="RP80" s="196"/>
      <c r="RQ80" s="200"/>
      <c r="RR80" s="195"/>
      <c r="RS80" s="196"/>
      <c r="RT80" s="196"/>
      <c r="RU80" s="196"/>
      <c r="RV80" s="196"/>
      <c r="RW80" s="197"/>
      <c r="RX80" s="196"/>
      <c r="RY80" s="196"/>
      <c r="RZ80" s="196"/>
      <c r="SA80" s="196"/>
      <c r="SB80" s="196"/>
      <c r="SC80" s="198"/>
      <c r="SD80" s="196"/>
      <c r="SE80" s="196"/>
      <c r="SF80" s="196"/>
      <c r="SG80" s="196"/>
      <c r="SH80" s="196"/>
      <c r="SI80" s="199"/>
      <c r="SJ80" s="196"/>
      <c r="SK80" s="196"/>
      <c r="SL80" s="196"/>
      <c r="SM80" s="196"/>
      <c r="SN80" s="196"/>
      <c r="SO80" s="198"/>
      <c r="SP80" s="196"/>
      <c r="SQ80" s="196"/>
      <c r="SR80" s="196"/>
      <c r="SS80" s="196"/>
      <c r="ST80" s="196"/>
      <c r="SU80" s="199"/>
      <c r="SV80" s="196"/>
      <c r="SW80" s="196"/>
      <c r="SX80" s="196"/>
      <c r="SY80" s="196"/>
      <c r="SZ80" s="196"/>
      <c r="TA80" s="198"/>
      <c r="TB80" s="196"/>
      <c r="TC80" s="196"/>
      <c r="TD80" s="196"/>
      <c r="TE80" s="196"/>
      <c r="TF80" s="196"/>
      <c r="TG80" s="199"/>
      <c r="TH80" s="196"/>
      <c r="TI80" s="196"/>
      <c r="TJ80" s="196"/>
      <c r="TK80" s="196"/>
      <c r="TL80" s="196"/>
      <c r="TM80" s="198"/>
      <c r="TN80" s="196"/>
      <c r="TO80" s="196"/>
      <c r="TP80" s="196"/>
      <c r="TQ80" s="196"/>
      <c r="TR80" s="196"/>
      <c r="TS80" s="199"/>
      <c r="TT80" s="196"/>
      <c r="TU80" s="196"/>
      <c r="TV80" s="196"/>
      <c r="TW80" s="196"/>
      <c r="TX80" s="196"/>
      <c r="TY80" s="200"/>
      <c r="TZ80" s="195"/>
      <c r="UA80" s="196"/>
      <c r="UB80" s="196"/>
      <c r="UC80" s="196"/>
      <c r="UD80" s="196"/>
      <c r="UE80" s="197"/>
      <c r="UF80" s="196"/>
      <c r="UG80" s="196"/>
      <c r="UH80" s="196"/>
      <c r="UI80" s="196"/>
      <c r="UJ80" s="196"/>
      <c r="UK80" s="198"/>
      <c r="UL80" s="196"/>
      <c r="UM80" s="196"/>
      <c r="UN80" s="196"/>
      <c r="UO80" s="196"/>
      <c r="UP80" s="196"/>
      <c r="UQ80" s="199"/>
      <c r="UR80" s="196"/>
      <c r="US80" s="196"/>
      <c r="UT80" s="196"/>
      <c r="UU80" s="196"/>
      <c r="UV80" s="196"/>
      <c r="UW80" s="198"/>
      <c r="UX80" s="196"/>
      <c r="UY80" s="196"/>
      <c r="UZ80" s="196"/>
      <c r="VA80" s="196"/>
      <c r="VB80" s="196"/>
      <c r="VC80" s="199"/>
      <c r="VD80" s="196"/>
      <c r="VE80" s="196"/>
      <c r="VF80" s="196"/>
      <c r="VG80" s="196"/>
      <c r="VH80" s="196"/>
      <c r="VI80" s="198"/>
      <c r="VJ80" s="196"/>
      <c r="VK80" s="196"/>
      <c r="VL80" s="196"/>
      <c r="VM80" s="196"/>
      <c r="VN80" s="196"/>
      <c r="VO80" s="199"/>
      <c r="VP80" s="196"/>
      <c r="VQ80" s="196"/>
      <c r="VR80" s="196"/>
      <c r="VS80" s="196"/>
      <c r="VT80" s="196"/>
      <c r="VU80" s="198"/>
      <c r="VV80" s="196"/>
      <c r="VW80" s="196"/>
      <c r="VX80" s="196"/>
      <c r="VY80" s="196"/>
      <c r="VZ80" s="196"/>
      <c r="WA80" s="199"/>
      <c r="WB80" s="196"/>
      <c r="WC80" s="196"/>
      <c r="WD80" s="196"/>
      <c r="WE80" s="196"/>
      <c r="WF80" s="196"/>
      <c r="WG80" s="200"/>
      <c r="WH80" s="195"/>
      <c r="WI80" s="196"/>
      <c r="WJ80" s="196"/>
      <c r="WK80" s="196"/>
      <c r="WL80" s="196"/>
      <c r="WM80" s="197"/>
      <c r="WN80" s="196"/>
      <c r="WO80" s="196"/>
      <c r="WP80" s="196"/>
      <c r="WQ80" s="196"/>
      <c r="WR80" s="196"/>
      <c r="WS80" s="198"/>
      <c r="WT80" s="196"/>
      <c r="WU80" s="196"/>
      <c r="WV80" s="196"/>
      <c r="WW80" s="196"/>
      <c r="WX80" s="196"/>
      <c r="WY80" s="199"/>
      <c r="WZ80" s="196"/>
      <c r="XA80" s="196"/>
      <c r="XB80" s="196"/>
      <c r="XC80" s="196"/>
      <c r="XD80" s="196"/>
      <c r="XE80" s="198"/>
      <c r="XF80" s="196"/>
      <c r="XG80" s="196"/>
      <c r="XH80" s="196"/>
      <c r="XI80" s="196"/>
      <c r="XJ80" s="196"/>
      <c r="XK80" s="199"/>
      <c r="XL80" s="196"/>
      <c r="XM80" s="196"/>
      <c r="XN80" s="196"/>
      <c r="XO80" s="196"/>
      <c r="XP80" s="196"/>
      <c r="XQ80" s="198"/>
      <c r="XR80" s="196"/>
      <c r="XS80" s="196"/>
      <c r="XT80" s="196"/>
      <c r="XU80" s="196"/>
      <c r="XV80" s="196"/>
      <c r="XW80" s="199"/>
      <c r="XX80" s="196"/>
      <c r="XY80" s="196"/>
      <c r="XZ80" s="196"/>
      <c r="YA80" s="196"/>
      <c r="YB80" s="196"/>
      <c r="YC80" s="198"/>
      <c r="YD80" s="196"/>
      <c r="YE80" s="196"/>
      <c r="YF80" s="196"/>
      <c r="YG80" s="196"/>
      <c r="YH80" s="196"/>
      <c r="YI80" s="199"/>
      <c r="YJ80" s="196"/>
      <c r="YK80" s="196"/>
      <c r="YL80" s="196"/>
      <c r="YM80" s="196"/>
      <c r="YN80" s="196"/>
      <c r="YO80" s="200"/>
      <c r="YP80" s="195"/>
      <c r="YQ80" s="196"/>
      <c r="YR80" s="196"/>
      <c r="YS80" s="196"/>
      <c r="YT80" s="196"/>
      <c r="YU80" s="197"/>
      <c r="YV80" s="196"/>
      <c r="YW80" s="196"/>
      <c r="YX80" s="196"/>
      <c r="YY80" s="196"/>
      <c r="YZ80" s="196"/>
      <c r="ZA80" s="198"/>
      <c r="ZB80" s="196"/>
      <c r="ZC80" s="196"/>
      <c r="ZD80" s="196"/>
      <c r="ZE80" s="196"/>
      <c r="ZF80" s="196"/>
      <c r="ZG80" s="199"/>
      <c r="ZH80" s="196"/>
      <c r="ZI80" s="196"/>
      <c r="ZJ80" s="196"/>
      <c r="ZK80" s="196"/>
      <c r="ZL80" s="196"/>
      <c r="ZM80" s="198"/>
      <c r="ZN80" s="196"/>
      <c r="ZO80" s="196"/>
      <c r="ZP80" s="196"/>
      <c r="ZQ80" s="196"/>
      <c r="ZR80" s="196"/>
      <c r="ZS80" s="199"/>
      <c r="ZT80" s="196"/>
      <c r="ZU80" s="196"/>
      <c r="ZV80" s="196"/>
      <c r="ZW80" s="196"/>
      <c r="ZX80" s="196"/>
      <c r="ZY80" s="198"/>
      <c r="ZZ80" s="196"/>
      <c r="AAA80" s="196"/>
      <c r="AAB80" s="196"/>
      <c r="AAC80" s="196"/>
      <c r="AAD80" s="196"/>
      <c r="AAE80" s="199"/>
      <c r="AAF80" s="196"/>
      <c r="AAG80" s="196"/>
      <c r="AAH80" s="196"/>
      <c r="AAI80" s="196"/>
      <c r="AAJ80" s="196"/>
      <c r="AAK80" s="198"/>
      <c r="AAL80" s="196"/>
      <c r="AAM80" s="196"/>
      <c r="AAN80" s="196"/>
      <c r="AAO80" s="196"/>
      <c r="AAP80" s="196"/>
      <c r="AAQ80" s="199"/>
      <c r="AAR80" s="196"/>
      <c r="AAS80" s="196"/>
      <c r="AAT80" s="196"/>
      <c r="AAU80" s="196"/>
      <c r="AAV80" s="196"/>
      <c r="AAW80" s="200"/>
      <c r="AAX80" s="195"/>
      <c r="AAY80" s="196"/>
      <c r="AAZ80" s="196"/>
      <c r="ABA80" s="196"/>
      <c r="ABB80" s="196"/>
      <c r="ABC80" s="197"/>
      <c r="ABD80" s="196"/>
      <c r="ABE80" s="196"/>
      <c r="ABF80" s="196"/>
      <c r="ABG80" s="196"/>
      <c r="ABH80" s="196"/>
      <c r="ABI80" s="198"/>
      <c r="ABJ80" s="196"/>
      <c r="ABK80" s="196"/>
      <c r="ABL80" s="196"/>
      <c r="ABM80" s="196"/>
      <c r="ABN80" s="196"/>
      <c r="ABO80" s="199"/>
      <c r="ABP80" s="196"/>
      <c r="ABQ80" s="196"/>
      <c r="ABR80" s="196"/>
      <c r="ABS80" s="196"/>
      <c r="ABT80" s="196"/>
      <c r="ABU80" s="198"/>
      <c r="ABV80" s="196"/>
      <c r="ABW80" s="196"/>
      <c r="ABX80" s="196"/>
      <c r="ABY80" s="196"/>
      <c r="ABZ80" s="196"/>
      <c r="ACA80" s="199"/>
      <c r="ACB80" s="196"/>
      <c r="ACC80" s="196"/>
      <c r="ACD80" s="196"/>
      <c r="ACE80" s="196"/>
      <c r="ACF80" s="196"/>
      <c r="ACG80" s="198"/>
      <c r="ACH80" s="196"/>
      <c r="ACI80" s="196"/>
      <c r="ACJ80" s="196"/>
      <c r="ACK80" s="196"/>
      <c r="ACL80" s="196"/>
      <c r="ACM80" s="199"/>
      <c r="ACN80" s="196"/>
      <c r="ACO80" s="196"/>
      <c r="ACP80" s="196"/>
      <c r="ACQ80" s="196"/>
      <c r="ACR80" s="196"/>
      <c r="ACS80" s="198"/>
      <c r="ACT80" s="196"/>
      <c r="ACU80" s="196"/>
      <c r="ACV80" s="196"/>
      <c r="ACW80" s="196"/>
      <c r="ACX80" s="196"/>
      <c r="ACY80" s="199"/>
      <c r="ACZ80" s="196"/>
      <c r="ADA80" s="196"/>
      <c r="ADB80" s="196"/>
      <c r="ADC80" s="196"/>
      <c r="ADD80" s="196"/>
      <c r="ADE80" s="200"/>
      <c r="ADF80" s="195"/>
      <c r="ADG80" s="196"/>
      <c r="ADH80" s="196"/>
      <c r="ADI80" s="196"/>
      <c r="ADJ80" s="196"/>
      <c r="ADK80" s="197"/>
      <c r="ADL80" s="196"/>
      <c r="ADM80" s="196"/>
      <c r="ADN80" s="196"/>
      <c r="ADO80" s="196"/>
      <c r="ADP80" s="196"/>
      <c r="ADQ80" s="198"/>
      <c r="ADR80" s="196"/>
      <c r="ADS80" s="196"/>
      <c r="ADT80" s="196"/>
      <c r="ADU80" s="196"/>
      <c r="ADV80" s="196"/>
      <c r="ADW80" s="199"/>
      <c r="ADX80" s="196"/>
      <c r="ADY80" s="196"/>
      <c r="ADZ80" s="196"/>
      <c r="AEA80" s="196"/>
      <c r="AEB80" s="196"/>
      <c r="AEC80" s="198"/>
      <c r="AED80" s="196"/>
      <c r="AEE80" s="196"/>
      <c r="AEF80" s="196"/>
      <c r="AEG80" s="196"/>
      <c r="AEH80" s="196"/>
      <c r="AEI80" s="199"/>
      <c r="AEJ80" s="196"/>
      <c r="AEK80" s="196"/>
      <c r="AEL80" s="196"/>
      <c r="AEM80" s="196"/>
      <c r="AEN80" s="196"/>
      <c r="AEO80" s="198"/>
      <c r="AEP80" s="196"/>
      <c r="AEQ80" s="196"/>
      <c r="AER80" s="196"/>
      <c r="AES80" s="196"/>
      <c r="AET80" s="196"/>
      <c r="AEU80" s="199"/>
      <c r="AEV80" s="196"/>
      <c r="AEW80" s="196"/>
      <c r="AEX80" s="196"/>
      <c r="AEY80" s="196"/>
      <c r="AEZ80" s="196"/>
      <c r="AFA80" s="198"/>
      <c r="AFB80" s="196"/>
      <c r="AFC80" s="196"/>
      <c r="AFD80" s="196"/>
      <c r="AFE80" s="196"/>
      <c r="AFF80" s="196"/>
      <c r="AFG80" s="199"/>
      <c r="AFH80" s="196"/>
      <c r="AFI80" s="196"/>
      <c r="AFJ80" s="196"/>
      <c r="AFK80" s="196"/>
      <c r="AFL80" s="196"/>
      <c r="AFM80" s="200"/>
      <c r="AFN80" s="195"/>
      <c r="AFO80" s="196"/>
      <c r="AFP80" s="196"/>
      <c r="AFQ80" s="196"/>
      <c r="AFR80" s="196"/>
      <c r="AFS80" s="197"/>
      <c r="AFT80" s="196"/>
      <c r="AFU80" s="196"/>
      <c r="AFV80" s="196"/>
      <c r="AFW80" s="196"/>
      <c r="AFX80" s="196"/>
      <c r="AFY80" s="198"/>
      <c r="AFZ80" s="196"/>
      <c r="AGA80" s="196"/>
      <c r="AGB80" s="196"/>
      <c r="AGC80" s="196"/>
      <c r="AGD80" s="196"/>
      <c r="AGE80" s="199"/>
      <c r="AGF80" s="196"/>
      <c r="AGG80" s="196"/>
      <c r="AGH80" s="196"/>
      <c r="AGI80" s="196"/>
      <c r="AGJ80" s="196"/>
      <c r="AGK80" s="198"/>
      <c r="AGL80" s="196"/>
      <c r="AGM80" s="196"/>
      <c r="AGN80" s="196"/>
      <c r="AGO80" s="196"/>
      <c r="AGP80" s="196"/>
      <c r="AGQ80" s="199"/>
      <c r="AGR80" s="196"/>
      <c r="AGS80" s="196"/>
      <c r="AGT80" s="196"/>
      <c r="AGU80" s="196"/>
      <c r="AGV80" s="196"/>
      <c r="AGW80" s="198"/>
      <c r="AGX80" s="196"/>
      <c r="AGY80" s="196"/>
      <c r="AGZ80" s="196"/>
      <c r="AHA80" s="196"/>
      <c r="AHB80" s="196"/>
      <c r="AHC80" s="199"/>
      <c r="AHD80" s="196"/>
      <c r="AHE80" s="196"/>
      <c r="AHF80" s="196"/>
      <c r="AHG80" s="196"/>
      <c r="AHH80" s="196"/>
      <c r="AHI80" s="198"/>
      <c r="AHJ80" s="196"/>
      <c r="AHK80" s="196"/>
      <c r="AHL80" s="196"/>
      <c r="AHM80" s="196"/>
      <c r="AHN80" s="196"/>
      <c r="AHO80" s="199"/>
      <c r="AHP80" s="196"/>
      <c r="AHQ80" s="196"/>
      <c r="AHR80" s="196"/>
      <c r="AHS80" s="196"/>
      <c r="AHT80" s="196"/>
      <c r="AHU80" s="200"/>
      <c r="AHV80" s="195"/>
      <c r="AHW80" s="196"/>
      <c r="AHX80" s="196"/>
      <c r="AHY80" s="196"/>
      <c r="AHZ80" s="196"/>
      <c r="AIA80" s="197"/>
      <c r="AIB80" s="196"/>
      <c r="AIC80" s="196"/>
      <c r="AID80" s="196"/>
      <c r="AIE80" s="196"/>
      <c r="AIF80" s="196"/>
      <c r="AIG80" s="198"/>
      <c r="AIH80" s="196"/>
      <c r="AII80" s="196"/>
      <c r="AIJ80" s="196"/>
      <c r="AIK80" s="196"/>
      <c r="AIL80" s="196"/>
      <c r="AIM80" s="199"/>
      <c r="AIN80" s="196"/>
      <c r="AIO80" s="196"/>
      <c r="AIP80" s="196"/>
      <c r="AIQ80" s="196"/>
      <c r="AIR80" s="196"/>
      <c r="AIS80" s="198"/>
      <c r="AIT80" s="196"/>
      <c r="AIU80" s="196"/>
      <c r="AIV80" s="196"/>
      <c r="AIW80" s="196"/>
      <c r="AIX80" s="196"/>
      <c r="AIY80" s="199"/>
      <c r="AIZ80" s="196"/>
      <c r="AJA80" s="196"/>
      <c r="AJB80" s="196"/>
      <c r="AJC80" s="196"/>
      <c r="AJD80" s="196"/>
      <c r="AJE80" s="198"/>
      <c r="AJF80" s="196"/>
      <c r="AJG80" s="196"/>
      <c r="AJH80" s="196"/>
      <c r="AJI80" s="196"/>
      <c r="AJJ80" s="196"/>
      <c r="AJK80" s="199"/>
      <c r="AJL80" s="196"/>
      <c r="AJM80" s="196"/>
      <c r="AJN80" s="196"/>
      <c r="AJO80" s="196"/>
      <c r="AJP80" s="196"/>
      <c r="AJQ80" s="198"/>
      <c r="AJR80" s="196"/>
      <c r="AJS80" s="196"/>
      <c r="AJT80" s="196"/>
      <c r="AJU80" s="196"/>
      <c r="AJV80" s="196"/>
      <c r="AJW80" s="199"/>
      <c r="AJX80" s="196"/>
      <c r="AJY80" s="196"/>
      <c r="AJZ80" s="196"/>
      <c r="AKA80" s="196"/>
      <c r="AKB80" s="196"/>
      <c r="AKC80" s="200"/>
      <c r="AKD80" s="195"/>
      <c r="AKE80" s="196"/>
      <c r="AKF80" s="196"/>
      <c r="AKG80" s="196"/>
      <c r="AKH80" s="196"/>
      <c r="AKI80" s="197"/>
      <c r="AKJ80" s="196"/>
      <c r="AKK80" s="196"/>
      <c r="AKL80" s="196"/>
      <c r="AKM80" s="196"/>
      <c r="AKN80" s="196"/>
      <c r="AKO80" s="198"/>
      <c r="AKP80" s="196"/>
      <c r="AKQ80" s="196"/>
      <c r="AKR80" s="196"/>
      <c r="AKS80" s="196"/>
      <c r="AKT80" s="196"/>
      <c r="AKU80" s="199"/>
      <c r="AKV80" s="196"/>
      <c r="AKW80" s="196"/>
      <c r="AKX80" s="196"/>
      <c r="AKY80" s="196"/>
      <c r="AKZ80" s="196"/>
      <c r="ALA80" s="198"/>
      <c r="ALB80" s="196"/>
      <c r="ALC80" s="196"/>
      <c r="ALD80" s="196"/>
      <c r="ALE80" s="196"/>
      <c r="ALF80" s="196"/>
      <c r="ALG80" s="199"/>
      <c r="ALH80" s="196"/>
      <c r="ALI80" s="196"/>
      <c r="ALJ80" s="196"/>
      <c r="ALK80" s="196"/>
      <c r="ALL80" s="196"/>
      <c r="ALM80" s="198"/>
      <c r="ALN80" s="196"/>
      <c r="ALO80" s="196"/>
      <c r="ALP80" s="196"/>
      <c r="ALQ80" s="196"/>
      <c r="ALR80" s="196"/>
      <c r="ALS80" s="199"/>
      <c r="ALT80" s="196"/>
      <c r="ALU80" s="196"/>
      <c r="ALV80" s="196"/>
      <c r="ALW80" s="196"/>
      <c r="ALX80" s="196"/>
      <c r="ALY80" s="198"/>
      <c r="ALZ80" s="196"/>
      <c r="AMA80" s="196"/>
      <c r="AMB80" s="196"/>
      <c r="AMC80" s="196"/>
      <c r="AMD80" s="196"/>
      <c r="AME80" s="199"/>
      <c r="AMF80" s="196"/>
      <c r="AMG80" s="196"/>
      <c r="AMH80" s="196"/>
      <c r="AMI80" s="196"/>
      <c r="AMJ80" s="196"/>
      <c r="AMK80" s="200"/>
      <c r="AML80" s="195"/>
      <c r="AMM80" s="196"/>
      <c r="AMN80" s="196"/>
      <c r="AMO80" s="196"/>
      <c r="AMP80" s="196"/>
      <c r="AMQ80" s="197"/>
      <c r="AMR80" s="196"/>
      <c r="AMS80" s="196"/>
      <c r="AMT80" s="196"/>
      <c r="AMU80" s="196"/>
      <c r="AMV80" s="196"/>
      <c r="AMW80" s="198"/>
      <c r="AMX80" s="196"/>
      <c r="AMY80" s="196"/>
      <c r="AMZ80" s="196"/>
      <c r="ANA80" s="196"/>
      <c r="ANB80" s="196"/>
      <c r="ANC80" s="199"/>
      <c r="AND80" s="196"/>
      <c r="ANE80" s="196"/>
      <c r="ANF80" s="196"/>
      <c r="ANG80" s="196"/>
      <c r="ANH80" s="196"/>
      <c r="ANI80" s="198"/>
      <c r="ANJ80" s="196"/>
      <c r="ANK80" s="196"/>
      <c r="ANL80" s="196"/>
      <c r="ANM80" s="196"/>
      <c r="ANN80" s="196"/>
      <c r="ANO80" s="199"/>
      <c r="ANP80" s="196"/>
      <c r="ANQ80" s="196"/>
      <c r="ANR80" s="196"/>
      <c r="ANS80" s="196"/>
      <c r="ANT80" s="196"/>
      <c r="ANU80" s="198"/>
      <c r="ANV80" s="196"/>
      <c r="ANW80" s="196"/>
      <c r="ANX80" s="196"/>
      <c r="ANY80" s="196"/>
      <c r="ANZ80" s="196"/>
      <c r="AOA80" s="199"/>
      <c r="AOB80" s="196"/>
      <c r="AOC80" s="196"/>
      <c r="AOD80" s="196"/>
      <c r="AOE80" s="196"/>
      <c r="AOF80" s="196"/>
      <c r="AOG80" s="198"/>
      <c r="AOH80" s="196"/>
      <c r="AOI80" s="196"/>
      <c r="AOJ80" s="196"/>
      <c r="AOK80" s="196"/>
      <c r="AOL80" s="196"/>
      <c r="AOM80" s="199"/>
      <c r="AON80" s="196"/>
      <c r="AOO80" s="196"/>
      <c r="AOP80" s="196"/>
      <c r="AOQ80" s="196"/>
      <c r="AOR80" s="196"/>
      <c r="AOS80" s="200"/>
      <c r="AOT80" s="195"/>
      <c r="AOU80" s="196"/>
      <c r="AOV80" s="196"/>
      <c r="AOW80" s="196"/>
      <c r="AOX80" s="196"/>
      <c r="AOY80" s="197"/>
      <c r="AOZ80" s="196"/>
      <c r="APA80" s="196"/>
      <c r="APB80" s="196"/>
      <c r="APC80" s="196"/>
      <c r="APD80" s="196"/>
      <c r="APE80" s="198"/>
      <c r="APF80" s="196"/>
      <c r="APG80" s="196"/>
      <c r="APH80" s="196"/>
      <c r="API80" s="196"/>
      <c r="APJ80" s="196"/>
      <c r="APK80" s="199"/>
      <c r="APL80" s="196"/>
      <c r="APM80" s="196"/>
      <c r="APN80" s="196"/>
      <c r="APO80" s="196"/>
      <c r="APP80" s="196"/>
      <c r="APQ80" s="198"/>
      <c r="APR80" s="196"/>
      <c r="APS80" s="196"/>
      <c r="APT80" s="196"/>
      <c r="APU80" s="196"/>
      <c r="APV80" s="196"/>
      <c r="APW80" s="199"/>
      <c r="APX80" s="196"/>
      <c r="APY80" s="196"/>
      <c r="APZ80" s="196"/>
      <c r="AQA80" s="196"/>
      <c r="AQB80" s="196"/>
      <c r="AQC80" s="198"/>
      <c r="AQD80" s="196"/>
      <c r="AQE80" s="196"/>
      <c r="AQF80" s="196"/>
      <c r="AQG80" s="196"/>
      <c r="AQH80" s="196"/>
      <c r="AQI80" s="199"/>
      <c r="AQJ80" s="196"/>
      <c r="AQK80" s="196"/>
      <c r="AQL80" s="196"/>
      <c r="AQM80" s="196"/>
      <c r="AQN80" s="196"/>
      <c r="AQO80" s="198"/>
      <c r="AQP80" s="196"/>
      <c r="AQQ80" s="196"/>
      <c r="AQR80" s="196"/>
      <c r="AQS80" s="196"/>
      <c r="AQT80" s="196"/>
      <c r="AQU80" s="199"/>
      <c r="AQV80" s="196"/>
      <c r="AQW80" s="196"/>
      <c r="AQX80" s="196"/>
      <c r="AQY80" s="196"/>
      <c r="AQZ80" s="196"/>
      <c r="ARA80" s="200"/>
      <c r="ARB80" s="195"/>
      <c r="ARC80" s="196"/>
      <c r="ARD80" s="196"/>
      <c r="ARE80" s="196"/>
      <c r="ARF80" s="196"/>
      <c r="ARG80" s="197"/>
      <c r="ARH80" s="196"/>
      <c r="ARI80" s="196"/>
      <c r="ARJ80" s="196"/>
      <c r="ARK80" s="196"/>
      <c r="ARL80" s="196"/>
      <c r="ARM80" s="198"/>
      <c r="ARN80" s="196"/>
      <c r="ARO80" s="196"/>
      <c r="ARP80" s="196"/>
      <c r="ARQ80" s="196"/>
      <c r="ARR80" s="196"/>
      <c r="ARS80" s="199"/>
      <c r="ART80" s="196"/>
      <c r="ARU80" s="196"/>
      <c r="ARV80" s="196"/>
      <c r="ARW80" s="196"/>
      <c r="ARX80" s="196"/>
      <c r="ARY80" s="198"/>
      <c r="ARZ80" s="196"/>
      <c r="ASA80" s="196"/>
      <c r="ASB80" s="196"/>
      <c r="ASC80" s="196"/>
      <c r="ASD80" s="196"/>
      <c r="ASE80" s="199"/>
      <c r="ASF80" s="196"/>
      <c r="ASG80" s="196"/>
      <c r="ASH80" s="196"/>
      <c r="ASI80" s="196"/>
      <c r="ASJ80" s="196"/>
      <c r="ASK80" s="198"/>
      <c r="ASL80" s="196"/>
      <c r="ASM80" s="196"/>
      <c r="ASN80" s="196"/>
      <c r="ASO80" s="196"/>
      <c r="ASP80" s="196"/>
      <c r="ASQ80" s="199"/>
      <c r="ASR80" s="196"/>
      <c r="ASS80" s="196"/>
      <c r="AST80" s="196"/>
      <c r="ASU80" s="196"/>
      <c r="ASV80" s="196"/>
      <c r="ASW80" s="198"/>
      <c r="ASX80" s="196"/>
      <c r="ASY80" s="196"/>
      <c r="ASZ80" s="196"/>
      <c r="ATA80" s="196"/>
      <c r="ATB80" s="196"/>
      <c r="ATC80" s="199"/>
      <c r="ATD80" s="196"/>
      <c r="ATE80" s="196"/>
      <c r="ATF80" s="196"/>
      <c r="ATG80" s="196"/>
      <c r="ATH80" s="196"/>
      <c r="ATI80" s="200"/>
      <c r="ATJ80" s="195"/>
      <c r="ATK80" s="196"/>
      <c r="ATL80" s="196"/>
      <c r="ATM80" s="196"/>
      <c r="ATN80" s="196"/>
      <c r="ATO80" s="197"/>
      <c r="ATP80" s="196"/>
      <c r="ATQ80" s="196"/>
      <c r="ATR80" s="196"/>
      <c r="ATS80" s="196"/>
      <c r="ATT80" s="196"/>
      <c r="ATU80" s="198"/>
      <c r="ATV80" s="196"/>
      <c r="ATW80" s="196"/>
      <c r="ATX80" s="196"/>
      <c r="ATY80" s="196"/>
      <c r="ATZ80" s="196"/>
      <c r="AUA80" s="199"/>
      <c r="AUB80" s="196"/>
      <c r="AUC80" s="196"/>
      <c r="AUD80" s="196"/>
      <c r="AUE80" s="196"/>
      <c r="AUF80" s="196"/>
      <c r="AUG80" s="198"/>
      <c r="AUH80" s="196"/>
      <c r="AUI80" s="196"/>
      <c r="AUJ80" s="196"/>
      <c r="AUK80" s="196"/>
      <c r="AUL80" s="196"/>
      <c r="AUM80" s="199"/>
      <c r="AUN80" s="196"/>
      <c r="AUO80" s="196"/>
      <c r="AUP80" s="196"/>
      <c r="AUQ80" s="196"/>
      <c r="AUR80" s="196"/>
      <c r="AUS80" s="198"/>
      <c r="AUT80" s="196"/>
      <c r="AUU80" s="196"/>
      <c r="AUV80" s="196"/>
      <c r="AUW80" s="196"/>
      <c r="AUX80" s="196"/>
      <c r="AUY80" s="199"/>
      <c r="AUZ80" s="196"/>
      <c r="AVA80" s="196"/>
      <c r="AVB80" s="196"/>
      <c r="AVC80" s="196"/>
      <c r="AVD80" s="196"/>
      <c r="AVE80" s="198"/>
      <c r="AVF80" s="196"/>
      <c r="AVG80" s="196"/>
      <c r="AVH80" s="196"/>
      <c r="AVI80" s="196"/>
      <c r="AVJ80" s="196"/>
      <c r="AVK80" s="199"/>
      <c r="AVL80" s="196"/>
      <c r="AVM80" s="196"/>
      <c r="AVN80" s="196"/>
      <c r="AVO80" s="196"/>
      <c r="AVP80" s="196"/>
      <c r="AVQ80" s="200"/>
      <c r="AVR80" s="195"/>
      <c r="AVS80" s="196"/>
      <c r="AVT80" s="196"/>
      <c r="AVU80" s="196"/>
      <c r="AVV80" s="196"/>
      <c r="AVW80" s="197"/>
      <c r="AVX80" s="196"/>
      <c r="AVY80" s="196"/>
      <c r="AVZ80" s="196"/>
      <c r="AWA80" s="196"/>
      <c r="AWB80" s="196"/>
      <c r="AWC80" s="198"/>
      <c r="AWD80" s="196"/>
      <c r="AWE80" s="196"/>
      <c r="AWF80" s="196"/>
      <c r="AWG80" s="196"/>
      <c r="AWH80" s="196"/>
      <c r="AWI80" s="199"/>
      <c r="AWJ80" s="196"/>
      <c r="AWK80" s="196"/>
      <c r="AWL80" s="196"/>
      <c r="AWM80" s="196"/>
      <c r="AWN80" s="196"/>
      <c r="AWO80" s="198"/>
      <c r="AWP80" s="196"/>
      <c r="AWQ80" s="196"/>
      <c r="AWR80" s="196"/>
      <c r="AWS80" s="196"/>
      <c r="AWT80" s="196"/>
      <c r="AWU80" s="199"/>
      <c r="AWV80" s="196"/>
      <c r="AWW80" s="196"/>
      <c r="AWX80" s="196"/>
      <c r="AWY80" s="196"/>
      <c r="AWZ80" s="196"/>
      <c r="AXA80" s="198"/>
      <c r="AXB80" s="196"/>
      <c r="AXC80" s="196"/>
      <c r="AXD80" s="196"/>
      <c r="AXE80" s="196"/>
      <c r="AXF80" s="196"/>
      <c r="AXG80" s="199"/>
      <c r="AXH80" s="196"/>
      <c r="AXI80" s="196"/>
      <c r="AXJ80" s="196"/>
      <c r="AXK80" s="196"/>
      <c r="AXL80" s="196"/>
      <c r="AXM80" s="198"/>
      <c r="AXN80" s="196"/>
      <c r="AXO80" s="196"/>
      <c r="AXP80" s="196"/>
      <c r="AXQ80" s="196"/>
      <c r="AXR80" s="196"/>
      <c r="AXS80" s="199"/>
      <c r="AXT80" s="196"/>
      <c r="AXU80" s="196"/>
      <c r="AXV80" s="196"/>
      <c r="AXW80" s="196"/>
      <c r="AXX80" s="196"/>
      <c r="AXY80" s="200"/>
      <c r="AXZ80" s="195"/>
      <c r="AYA80" s="196"/>
      <c r="AYB80" s="196"/>
      <c r="AYC80" s="196"/>
      <c r="AYD80" s="196"/>
      <c r="AYE80" s="197"/>
      <c r="AYF80" s="196"/>
      <c r="AYG80" s="196"/>
      <c r="AYH80" s="196"/>
      <c r="AYI80" s="196"/>
      <c r="AYJ80" s="196"/>
      <c r="AYK80" s="198"/>
      <c r="AYL80" s="196"/>
      <c r="AYM80" s="196"/>
      <c r="AYN80" s="196"/>
      <c r="AYO80" s="196"/>
      <c r="AYP80" s="196"/>
      <c r="AYQ80" s="199"/>
      <c r="AYR80" s="196"/>
      <c r="AYS80" s="196"/>
      <c r="AYT80" s="196"/>
      <c r="AYU80" s="196"/>
      <c r="AYV80" s="196"/>
      <c r="AYW80" s="198"/>
      <c r="AYX80" s="196"/>
      <c r="AYY80" s="196"/>
      <c r="AYZ80" s="196"/>
      <c r="AZA80" s="196"/>
      <c r="AZB80" s="196"/>
      <c r="AZC80" s="199"/>
      <c r="AZD80" s="196"/>
      <c r="AZE80" s="196"/>
      <c r="AZF80" s="196"/>
      <c r="AZG80" s="196"/>
      <c r="AZH80" s="196"/>
      <c r="AZI80" s="198"/>
      <c r="AZJ80" s="196"/>
      <c r="AZK80" s="196"/>
      <c r="AZL80" s="196"/>
      <c r="AZM80" s="196"/>
      <c r="AZN80" s="196"/>
      <c r="AZO80" s="199"/>
      <c r="AZP80" s="196"/>
      <c r="AZQ80" s="196"/>
      <c r="AZR80" s="196"/>
      <c r="AZS80" s="196"/>
      <c r="AZT80" s="196"/>
      <c r="AZU80" s="198"/>
      <c r="AZV80" s="196"/>
      <c r="AZW80" s="196"/>
      <c r="AZX80" s="196"/>
      <c r="AZY80" s="196"/>
      <c r="AZZ80" s="196"/>
      <c r="BAA80" s="199"/>
      <c r="BAB80" s="196"/>
      <c r="BAC80" s="196"/>
      <c r="BAD80" s="196"/>
      <c r="BAE80" s="196"/>
      <c r="BAF80" s="196"/>
      <c r="BAG80" s="200"/>
      <c r="BAH80" s="195"/>
      <c r="BAI80" s="196"/>
      <c r="BAJ80" s="196"/>
      <c r="BAK80" s="196"/>
      <c r="BAL80" s="196"/>
      <c r="BAM80" s="197"/>
      <c r="BAN80" s="196"/>
      <c r="BAO80" s="196"/>
      <c r="BAP80" s="196"/>
      <c r="BAQ80" s="196"/>
      <c r="BAR80" s="196"/>
      <c r="BAS80" s="198"/>
      <c r="BAT80" s="196"/>
      <c r="BAU80" s="196"/>
      <c r="BAV80" s="196"/>
      <c r="BAW80" s="196"/>
      <c r="BAX80" s="196"/>
      <c r="BAY80" s="199"/>
      <c r="BAZ80" s="196"/>
      <c r="BBA80" s="196"/>
      <c r="BBB80" s="196"/>
      <c r="BBC80" s="196"/>
      <c r="BBD80" s="196"/>
      <c r="BBE80" s="198"/>
      <c r="BBF80" s="196"/>
      <c r="BBG80" s="196"/>
      <c r="BBH80" s="196"/>
      <c r="BBI80" s="196"/>
      <c r="BBJ80" s="196"/>
      <c r="BBK80" s="199"/>
      <c r="BBL80" s="196"/>
      <c r="BBM80" s="196"/>
      <c r="BBN80" s="196"/>
      <c r="BBO80" s="196"/>
      <c r="BBP80" s="196"/>
      <c r="BBQ80" s="198"/>
      <c r="BBR80" s="196"/>
      <c r="BBS80" s="196"/>
      <c r="BBT80" s="196"/>
      <c r="BBU80" s="196"/>
      <c r="BBV80" s="196"/>
      <c r="BBW80" s="199"/>
      <c r="BBX80" s="196"/>
      <c r="BBY80" s="196"/>
      <c r="BBZ80" s="196"/>
      <c r="BCA80" s="196"/>
      <c r="BCB80" s="196"/>
      <c r="BCC80" s="198"/>
      <c r="BCD80" s="196"/>
      <c r="BCE80" s="196"/>
      <c r="BCF80" s="196"/>
      <c r="BCG80" s="196"/>
      <c r="BCH80" s="196"/>
      <c r="BCI80" s="199"/>
      <c r="BCJ80" s="196"/>
      <c r="BCK80" s="196"/>
      <c r="BCL80" s="196"/>
      <c r="BCM80" s="196"/>
      <c r="BCN80" s="196"/>
      <c r="BCO80" s="200"/>
      <c r="BCP80" s="195"/>
      <c r="BCQ80" s="196"/>
      <c r="BCR80" s="196"/>
      <c r="BCS80" s="196"/>
      <c r="BCT80" s="196"/>
      <c r="BCU80" s="197"/>
      <c r="BCV80" s="196"/>
      <c r="BCW80" s="196"/>
      <c r="BCX80" s="196"/>
      <c r="BCY80" s="196"/>
      <c r="BCZ80" s="196"/>
      <c r="BDA80" s="198"/>
      <c r="BDB80" s="196"/>
      <c r="BDC80" s="196"/>
      <c r="BDD80" s="196"/>
      <c r="BDE80" s="196"/>
      <c r="BDF80" s="196"/>
      <c r="BDG80" s="199"/>
      <c r="BDH80" s="196"/>
      <c r="BDI80" s="196"/>
      <c r="BDJ80" s="196"/>
      <c r="BDK80" s="196"/>
      <c r="BDL80" s="196"/>
      <c r="BDM80" s="198"/>
      <c r="BDN80" s="196"/>
      <c r="BDO80" s="196"/>
      <c r="BDP80" s="196"/>
      <c r="BDQ80" s="196"/>
      <c r="BDR80" s="196"/>
      <c r="BDS80" s="199"/>
      <c r="BDT80" s="196"/>
      <c r="BDU80" s="196"/>
      <c r="BDV80" s="196"/>
      <c r="BDW80" s="196"/>
      <c r="BDX80" s="196"/>
      <c r="BDY80" s="198"/>
      <c r="BDZ80" s="196"/>
      <c r="BEA80" s="196"/>
      <c r="BEB80" s="196"/>
      <c r="BEC80" s="196"/>
      <c r="BED80" s="196"/>
      <c r="BEE80" s="199"/>
      <c r="BEF80" s="196"/>
      <c r="BEG80" s="196"/>
      <c r="BEH80" s="196"/>
      <c r="BEI80" s="196"/>
      <c r="BEJ80" s="196"/>
      <c r="BEK80" s="198"/>
      <c r="BEL80" s="196"/>
      <c r="BEM80" s="196"/>
      <c r="BEN80" s="196"/>
      <c r="BEO80" s="196"/>
      <c r="BEP80" s="196"/>
      <c r="BEQ80" s="199"/>
      <c r="BER80" s="196"/>
      <c r="BES80" s="196"/>
      <c r="BET80" s="196"/>
      <c r="BEU80" s="196"/>
      <c r="BEV80" s="196"/>
      <c r="BEW80" s="200"/>
      <c r="BEX80" s="195"/>
      <c r="BEY80" s="196"/>
      <c r="BEZ80" s="196"/>
      <c r="BFA80" s="196"/>
      <c r="BFB80" s="196"/>
      <c r="BFC80" s="197"/>
      <c r="BFD80" s="196"/>
      <c r="BFE80" s="196"/>
      <c r="BFF80" s="196"/>
      <c r="BFG80" s="196"/>
      <c r="BFH80" s="196"/>
      <c r="BFI80" s="198"/>
      <c r="BFJ80" s="196"/>
      <c r="BFK80" s="196"/>
      <c r="BFL80" s="196"/>
      <c r="BFM80" s="196"/>
      <c r="BFN80" s="196"/>
      <c r="BFO80" s="199"/>
      <c r="BFP80" s="196"/>
      <c r="BFQ80" s="196"/>
      <c r="BFR80" s="196"/>
      <c r="BFS80" s="196"/>
      <c r="BFT80" s="196"/>
      <c r="BFU80" s="198"/>
      <c r="BFV80" s="196"/>
      <c r="BFW80" s="196"/>
      <c r="BFX80" s="196"/>
      <c r="BFY80" s="196"/>
      <c r="BFZ80" s="196"/>
      <c r="BGA80" s="199"/>
      <c r="BGB80" s="196"/>
      <c r="BGC80" s="196"/>
      <c r="BGD80" s="196"/>
      <c r="BGE80" s="196"/>
      <c r="BGF80" s="196"/>
      <c r="BGG80" s="198"/>
      <c r="BGH80" s="196"/>
      <c r="BGI80" s="196"/>
      <c r="BGJ80" s="196"/>
      <c r="BGK80" s="196"/>
      <c r="BGL80" s="196"/>
      <c r="BGM80" s="199"/>
      <c r="BGN80" s="196"/>
      <c r="BGO80" s="196"/>
      <c r="BGP80" s="196"/>
      <c r="BGQ80" s="196"/>
      <c r="BGR80" s="196"/>
      <c r="BGS80" s="198"/>
      <c r="BGT80" s="196"/>
      <c r="BGU80" s="196"/>
      <c r="BGV80" s="196"/>
      <c r="BGW80" s="196"/>
      <c r="BGX80" s="196"/>
      <c r="BGY80" s="199"/>
      <c r="BGZ80" s="196"/>
      <c r="BHA80" s="196"/>
      <c r="BHB80" s="196"/>
      <c r="BHC80" s="196"/>
      <c r="BHD80" s="196"/>
      <c r="BHE80" s="200"/>
      <c r="BHF80" s="187"/>
      <c r="BHG80" s="188"/>
      <c r="BHH80" s="188"/>
      <c r="BHI80" s="188"/>
      <c r="BHJ80" s="188"/>
      <c r="BHK80" s="188"/>
      <c r="BHL80" s="188"/>
      <c r="BHM80" s="188"/>
      <c r="BHN80" s="188"/>
      <c r="BHO80" s="188"/>
      <c r="BHP80" s="188"/>
      <c r="BHQ80" s="188"/>
      <c r="BHR80" s="188"/>
      <c r="BHS80" s="188"/>
      <c r="BHT80" s="188"/>
      <c r="BHU80" s="188"/>
      <c r="BHV80" s="188"/>
      <c r="BHW80" s="188"/>
      <c r="BHX80" s="188"/>
      <c r="BHY80" s="188"/>
      <c r="BHZ80" s="188"/>
      <c r="BIA80" s="188"/>
      <c r="BIB80" s="188"/>
      <c r="BIC80" s="188"/>
      <c r="BID80" s="188"/>
      <c r="BIE80" s="188"/>
      <c r="BIF80" s="188"/>
      <c r="BIG80" s="188"/>
      <c r="BIH80" s="188"/>
      <c r="BII80" s="188"/>
      <c r="BIJ80" s="188"/>
      <c r="BIK80" s="188"/>
      <c r="BIL80" s="188"/>
      <c r="BIM80" s="188"/>
      <c r="BIN80" s="188"/>
      <c r="BIO80" s="188"/>
      <c r="BIP80" s="188"/>
    </row>
    <row r="81" spans="1:1602" ht="20.100000000000001" customHeight="1" x14ac:dyDescent="0.25">
      <c r="A81" s="78" t="s">
        <v>49</v>
      </c>
      <c r="B81" s="51"/>
      <c r="C81" s="23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87"/>
      <c r="BHG81" s="188"/>
      <c r="BHH81" s="188"/>
      <c r="BHI81" s="188"/>
      <c r="BHJ81" s="188"/>
      <c r="BHK81" s="188"/>
      <c r="BHL81" s="188"/>
      <c r="BHM81" s="188"/>
      <c r="BHN81" s="188"/>
      <c r="BHO81" s="188"/>
      <c r="BHP81" s="188"/>
      <c r="BHQ81" s="188"/>
      <c r="BHR81" s="188"/>
      <c r="BHS81" s="188"/>
      <c r="BHT81" s="188"/>
      <c r="BHU81" s="188"/>
      <c r="BHV81" s="188"/>
      <c r="BHW81" s="188"/>
      <c r="BHX81" s="188"/>
      <c r="BHY81" s="188"/>
      <c r="BHZ81" s="188"/>
      <c r="BIA81" s="188"/>
      <c r="BIB81" s="188"/>
      <c r="BIC81" s="188"/>
      <c r="BID81" s="188"/>
      <c r="BIE81" s="188"/>
      <c r="BIF81" s="188"/>
      <c r="BIG81" s="188"/>
      <c r="BIH81" s="188"/>
      <c r="BII81" s="188"/>
      <c r="BIJ81" s="188"/>
      <c r="BIK81" s="188"/>
      <c r="BIL81" s="188"/>
      <c r="BIM81" s="188"/>
      <c r="BIN81" s="188"/>
      <c r="BIO81" s="188"/>
      <c r="BIP81" s="188"/>
    </row>
    <row r="82" spans="1:1602" ht="20.100000000000001" customHeight="1" x14ac:dyDescent="0.3">
      <c r="A82" s="78" t="s">
        <v>50</v>
      </c>
      <c r="B82" s="51"/>
      <c r="C82" s="231"/>
      <c r="D82" s="121" t="str">
        <f t="shared" si="1"/>
        <v/>
      </c>
      <c r="E82" s="30">
        <v>0</v>
      </c>
      <c r="F82" s="189"/>
      <c r="G82" s="190"/>
      <c r="H82" s="190"/>
      <c r="I82" s="190"/>
      <c r="J82" s="190"/>
      <c r="K82" s="191"/>
      <c r="L82" s="190"/>
      <c r="M82" s="190"/>
      <c r="N82" s="190"/>
      <c r="O82" s="190"/>
      <c r="P82" s="190"/>
      <c r="Q82" s="192"/>
      <c r="R82" s="190"/>
      <c r="S82" s="190"/>
      <c r="T82" s="190"/>
      <c r="U82" s="190"/>
      <c r="V82" s="190"/>
      <c r="W82" s="193"/>
      <c r="X82" s="190"/>
      <c r="Y82" s="190"/>
      <c r="Z82" s="190"/>
      <c r="AA82" s="190"/>
      <c r="AB82" s="190"/>
      <c r="AC82" s="192"/>
      <c r="AD82" s="190"/>
      <c r="AE82" s="190"/>
      <c r="AF82" s="190"/>
      <c r="AG82" s="190"/>
      <c r="AH82" s="190"/>
      <c r="AI82" s="193"/>
      <c r="AJ82" s="190"/>
      <c r="AK82" s="190"/>
      <c r="AL82" s="190"/>
      <c r="AM82" s="190"/>
      <c r="AN82" s="190"/>
      <c r="AO82" s="192"/>
      <c r="AP82" s="190"/>
      <c r="AQ82" s="190"/>
      <c r="AR82" s="190"/>
      <c r="AS82" s="190"/>
      <c r="AT82" s="190"/>
      <c r="AU82" s="193"/>
      <c r="AV82" s="190"/>
      <c r="AW82" s="190"/>
      <c r="AX82" s="190"/>
      <c r="AY82" s="190"/>
      <c r="AZ82" s="190"/>
      <c r="BA82" s="192"/>
      <c r="BB82" s="190"/>
      <c r="BC82" s="190"/>
      <c r="BD82" s="190"/>
      <c r="BE82" s="190"/>
      <c r="BF82" s="190"/>
      <c r="BG82" s="193"/>
      <c r="BH82" s="190"/>
      <c r="BI82" s="190"/>
      <c r="BJ82" s="190"/>
      <c r="BK82" s="190"/>
      <c r="BL82" s="190"/>
      <c r="BM82" s="194"/>
      <c r="BN82" s="189"/>
      <c r="BO82" s="190"/>
      <c r="BP82" s="190"/>
      <c r="BQ82" s="190"/>
      <c r="BR82" s="190"/>
      <c r="BS82" s="191"/>
      <c r="BT82" s="190"/>
      <c r="BU82" s="190"/>
      <c r="BV82" s="190"/>
      <c r="BW82" s="190"/>
      <c r="BX82" s="190"/>
      <c r="BY82" s="192"/>
      <c r="BZ82" s="190"/>
      <c r="CA82" s="190"/>
      <c r="CB82" s="190"/>
      <c r="CC82" s="190"/>
      <c r="CD82" s="190"/>
      <c r="CE82" s="193"/>
      <c r="CF82" s="190"/>
      <c r="CG82" s="190"/>
      <c r="CH82" s="190"/>
      <c r="CI82" s="190"/>
      <c r="CJ82" s="190"/>
      <c r="CK82" s="192"/>
      <c r="CL82" s="190"/>
      <c r="CM82" s="190"/>
      <c r="CN82" s="190"/>
      <c r="CO82" s="190"/>
      <c r="CP82" s="190"/>
      <c r="CQ82" s="193"/>
      <c r="CR82" s="190"/>
      <c r="CS82" s="190"/>
      <c r="CT82" s="190"/>
      <c r="CU82" s="190"/>
      <c r="CV82" s="190"/>
      <c r="CW82" s="192"/>
      <c r="CX82" s="190"/>
      <c r="CY82" s="190"/>
      <c r="CZ82" s="190"/>
      <c r="DA82" s="190"/>
      <c r="DB82" s="190"/>
      <c r="DC82" s="193"/>
      <c r="DD82" s="190"/>
      <c r="DE82" s="190"/>
      <c r="DF82" s="190"/>
      <c r="DG82" s="190"/>
      <c r="DH82" s="190"/>
      <c r="DI82" s="192"/>
      <c r="DJ82" s="190"/>
      <c r="DK82" s="190"/>
      <c r="DL82" s="190"/>
      <c r="DM82" s="190"/>
      <c r="DN82" s="190"/>
      <c r="DO82" s="193"/>
      <c r="DP82" s="190"/>
      <c r="DQ82" s="190"/>
      <c r="DR82" s="190"/>
      <c r="DS82" s="190"/>
      <c r="DT82" s="190"/>
      <c r="DU82" s="194"/>
      <c r="DV82" s="189"/>
      <c r="DW82" s="190"/>
      <c r="DX82" s="190"/>
      <c r="DY82" s="190"/>
      <c r="DZ82" s="190"/>
      <c r="EA82" s="191"/>
      <c r="EB82" s="190"/>
      <c r="EC82" s="190"/>
      <c r="ED82" s="190"/>
      <c r="EE82" s="190"/>
      <c r="EF82" s="190"/>
      <c r="EG82" s="192"/>
      <c r="EH82" s="190"/>
      <c r="EI82" s="190"/>
      <c r="EJ82" s="190"/>
      <c r="EK82" s="190"/>
      <c r="EL82" s="190"/>
      <c r="EM82" s="193"/>
      <c r="EN82" s="190"/>
      <c r="EO82" s="190"/>
      <c r="EP82" s="190"/>
      <c r="EQ82" s="190"/>
      <c r="ER82" s="190"/>
      <c r="ES82" s="192"/>
      <c r="ET82" s="190"/>
      <c r="EU82" s="190"/>
      <c r="EV82" s="190"/>
      <c r="EW82" s="190"/>
      <c r="EX82" s="190"/>
      <c r="EY82" s="193"/>
      <c r="EZ82" s="190"/>
      <c r="FA82" s="190"/>
      <c r="FB82" s="190"/>
      <c r="FC82" s="190"/>
      <c r="FD82" s="190"/>
      <c r="FE82" s="192"/>
      <c r="FF82" s="190"/>
      <c r="FG82" s="190"/>
      <c r="FH82" s="190"/>
      <c r="FI82" s="190"/>
      <c r="FJ82" s="190"/>
      <c r="FK82" s="193"/>
      <c r="FL82" s="190"/>
      <c r="FM82" s="190"/>
      <c r="FN82" s="190"/>
      <c r="FO82" s="190"/>
      <c r="FP82" s="190"/>
      <c r="FQ82" s="192"/>
      <c r="FR82" s="190"/>
      <c r="FS82" s="190"/>
      <c r="FT82" s="190"/>
      <c r="FU82" s="190"/>
      <c r="FV82" s="190"/>
      <c r="FW82" s="193"/>
      <c r="FX82" s="190"/>
      <c r="FY82" s="190"/>
      <c r="FZ82" s="190"/>
      <c r="GA82" s="190"/>
      <c r="GB82" s="190"/>
      <c r="GC82" s="194"/>
      <c r="GD82" s="189"/>
      <c r="GE82" s="190"/>
      <c r="GF82" s="190"/>
      <c r="GG82" s="190"/>
      <c r="GH82" s="190"/>
      <c r="GI82" s="191"/>
      <c r="GJ82" s="190"/>
      <c r="GK82" s="190"/>
      <c r="GL82" s="190"/>
      <c r="GM82" s="190"/>
      <c r="GN82" s="190"/>
      <c r="GO82" s="192"/>
      <c r="GP82" s="190"/>
      <c r="GQ82" s="190"/>
      <c r="GR82" s="190"/>
      <c r="GS82" s="190"/>
      <c r="GT82" s="190"/>
      <c r="GU82" s="193"/>
      <c r="GV82" s="190"/>
      <c r="GW82" s="190"/>
      <c r="GX82" s="190"/>
      <c r="GY82" s="190"/>
      <c r="GZ82" s="190"/>
      <c r="HA82" s="192"/>
      <c r="HB82" s="190"/>
      <c r="HC82" s="190"/>
      <c r="HD82" s="190"/>
      <c r="HE82" s="190"/>
      <c r="HF82" s="190"/>
      <c r="HG82" s="193"/>
      <c r="HH82" s="190"/>
      <c r="HI82" s="190"/>
      <c r="HJ82" s="190"/>
      <c r="HK82" s="190"/>
      <c r="HL82" s="190"/>
      <c r="HM82" s="192"/>
      <c r="HN82" s="190"/>
      <c r="HO82" s="190"/>
      <c r="HP82" s="190"/>
      <c r="HQ82" s="190"/>
      <c r="HR82" s="190"/>
      <c r="HS82" s="193"/>
      <c r="HT82" s="190"/>
      <c r="HU82" s="190"/>
      <c r="HV82" s="190"/>
      <c r="HW82" s="190"/>
      <c r="HX82" s="190"/>
      <c r="HY82" s="192"/>
      <c r="HZ82" s="190"/>
      <c r="IA82" s="190"/>
      <c r="IB82" s="190"/>
      <c r="IC82" s="190"/>
      <c r="ID82" s="190"/>
      <c r="IE82" s="193"/>
      <c r="IF82" s="190"/>
      <c r="IG82" s="190"/>
      <c r="IH82" s="190"/>
      <c r="II82" s="190"/>
      <c r="IJ82" s="190"/>
      <c r="IK82" s="194"/>
      <c r="IL82" s="189"/>
      <c r="IM82" s="190"/>
      <c r="IN82" s="190"/>
      <c r="IO82" s="190"/>
      <c r="IP82" s="190"/>
      <c r="IQ82" s="191"/>
      <c r="IR82" s="190"/>
      <c r="IS82" s="190"/>
      <c r="IT82" s="190"/>
      <c r="IU82" s="190"/>
      <c r="IV82" s="190"/>
      <c r="IW82" s="192"/>
      <c r="IX82" s="190"/>
      <c r="IY82" s="190"/>
      <c r="IZ82" s="190"/>
      <c r="JA82" s="190"/>
      <c r="JB82" s="190"/>
      <c r="JC82" s="193"/>
      <c r="JD82" s="190"/>
      <c r="JE82" s="190"/>
      <c r="JF82" s="190"/>
      <c r="JG82" s="190"/>
      <c r="JH82" s="190"/>
      <c r="JI82" s="192"/>
      <c r="JJ82" s="190"/>
      <c r="JK82" s="190"/>
      <c r="JL82" s="190"/>
      <c r="JM82" s="190"/>
      <c r="JN82" s="190"/>
      <c r="JO82" s="193"/>
      <c r="JP82" s="190"/>
      <c r="JQ82" s="190"/>
      <c r="JR82" s="190"/>
      <c r="JS82" s="190"/>
      <c r="JT82" s="190"/>
      <c r="JU82" s="192"/>
      <c r="JV82" s="190"/>
      <c r="JW82" s="190"/>
      <c r="JX82" s="190"/>
      <c r="JY82" s="190"/>
      <c r="JZ82" s="190"/>
      <c r="KA82" s="193"/>
      <c r="KB82" s="190"/>
      <c r="KC82" s="190"/>
      <c r="KD82" s="190"/>
      <c r="KE82" s="190"/>
      <c r="KF82" s="190"/>
      <c r="KG82" s="192"/>
      <c r="KH82" s="190"/>
      <c r="KI82" s="190"/>
      <c r="KJ82" s="190"/>
      <c r="KK82" s="190"/>
      <c r="KL82" s="190"/>
      <c r="KM82" s="193"/>
      <c r="KN82" s="190"/>
      <c r="KO82" s="190"/>
      <c r="KP82" s="190"/>
      <c r="KQ82" s="190"/>
      <c r="KR82" s="190"/>
      <c r="KS82" s="194"/>
      <c r="KT82" s="189"/>
      <c r="KU82" s="190"/>
      <c r="KV82" s="190"/>
      <c r="KW82" s="190"/>
      <c r="KX82" s="190"/>
      <c r="KY82" s="191"/>
      <c r="KZ82" s="190"/>
      <c r="LA82" s="190"/>
      <c r="LB82" s="190"/>
      <c r="LC82" s="190"/>
      <c r="LD82" s="190"/>
      <c r="LE82" s="192"/>
      <c r="LF82" s="190"/>
      <c r="LG82" s="190"/>
      <c r="LH82" s="190"/>
      <c r="LI82" s="190"/>
      <c r="LJ82" s="190"/>
      <c r="LK82" s="193"/>
      <c r="LL82" s="190"/>
      <c r="LM82" s="190"/>
      <c r="LN82" s="190"/>
      <c r="LO82" s="190"/>
      <c r="LP82" s="190"/>
      <c r="LQ82" s="192"/>
      <c r="LR82" s="190"/>
      <c r="LS82" s="190"/>
      <c r="LT82" s="190"/>
      <c r="LU82" s="190"/>
      <c r="LV82" s="190"/>
      <c r="LW82" s="193"/>
      <c r="LX82" s="190"/>
      <c r="LY82" s="190"/>
      <c r="LZ82" s="190"/>
      <c r="MA82" s="190"/>
      <c r="MB82" s="190"/>
      <c r="MC82" s="192"/>
      <c r="MD82" s="190"/>
      <c r="ME82" s="190"/>
      <c r="MF82" s="190"/>
      <c r="MG82" s="190"/>
      <c r="MH82" s="190"/>
      <c r="MI82" s="193"/>
      <c r="MJ82" s="190"/>
      <c r="MK82" s="190"/>
      <c r="ML82" s="190"/>
      <c r="MM82" s="190"/>
      <c r="MN82" s="190"/>
      <c r="MO82" s="192"/>
      <c r="MP82" s="190"/>
      <c r="MQ82" s="190"/>
      <c r="MR82" s="190"/>
      <c r="MS82" s="190"/>
      <c r="MT82" s="190"/>
      <c r="MU82" s="193"/>
      <c r="MV82" s="190"/>
      <c r="MW82" s="190"/>
      <c r="MX82" s="190"/>
      <c r="MY82" s="190"/>
      <c r="MZ82" s="190"/>
      <c r="NA82" s="194"/>
      <c r="NB82" s="189"/>
      <c r="NC82" s="190"/>
      <c r="ND82" s="190"/>
      <c r="NE82" s="190"/>
      <c r="NF82" s="190"/>
      <c r="NG82" s="191"/>
      <c r="NH82" s="190"/>
      <c r="NI82" s="190"/>
      <c r="NJ82" s="190"/>
      <c r="NK82" s="190"/>
      <c r="NL82" s="190"/>
      <c r="NM82" s="192"/>
      <c r="NN82" s="190"/>
      <c r="NO82" s="190"/>
      <c r="NP82" s="190"/>
      <c r="NQ82" s="190"/>
      <c r="NR82" s="190"/>
      <c r="NS82" s="193"/>
      <c r="NT82" s="190"/>
      <c r="NU82" s="190"/>
      <c r="NV82" s="190"/>
      <c r="NW82" s="190"/>
      <c r="NX82" s="190"/>
      <c r="NY82" s="192"/>
      <c r="NZ82" s="190"/>
      <c r="OA82" s="190"/>
      <c r="OB82" s="190"/>
      <c r="OC82" s="190"/>
      <c r="OD82" s="190"/>
      <c r="OE82" s="193"/>
      <c r="OF82" s="190"/>
      <c r="OG82" s="190"/>
      <c r="OH82" s="190"/>
      <c r="OI82" s="190"/>
      <c r="OJ82" s="190"/>
      <c r="OK82" s="192"/>
      <c r="OL82" s="190"/>
      <c r="OM82" s="190"/>
      <c r="ON82" s="190"/>
      <c r="OO82" s="190"/>
      <c r="OP82" s="190"/>
      <c r="OQ82" s="193"/>
      <c r="OR82" s="190"/>
      <c r="OS82" s="190"/>
      <c r="OT82" s="190"/>
      <c r="OU82" s="190"/>
      <c r="OV82" s="190"/>
      <c r="OW82" s="192"/>
      <c r="OX82" s="190"/>
      <c r="OY82" s="190"/>
      <c r="OZ82" s="190"/>
      <c r="PA82" s="190"/>
      <c r="PB82" s="190"/>
      <c r="PC82" s="193"/>
      <c r="PD82" s="190"/>
      <c r="PE82" s="190"/>
      <c r="PF82" s="190"/>
      <c r="PG82" s="190"/>
      <c r="PH82" s="190"/>
      <c r="PI82" s="194"/>
      <c r="PJ82" s="189"/>
      <c r="PK82" s="190"/>
      <c r="PL82" s="190"/>
      <c r="PM82" s="190"/>
      <c r="PN82" s="190"/>
      <c r="PO82" s="191"/>
      <c r="PP82" s="190"/>
      <c r="PQ82" s="190"/>
      <c r="PR82" s="190"/>
      <c r="PS82" s="190"/>
      <c r="PT82" s="190"/>
      <c r="PU82" s="192"/>
      <c r="PV82" s="190"/>
      <c r="PW82" s="190"/>
      <c r="PX82" s="190"/>
      <c r="PY82" s="190"/>
      <c r="PZ82" s="190"/>
      <c r="QA82" s="193"/>
      <c r="QB82" s="190"/>
      <c r="QC82" s="190"/>
      <c r="QD82" s="190"/>
      <c r="QE82" s="190"/>
      <c r="QF82" s="190"/>
      <c r="QG82" s="192"/>
      <c r="QH82" s="190"/>
      <c r="QI82" s="190"/>
      <c r="QJ82" s="190"/>
      <c r="QK82" s="190"/>
      <c r="QL82" s="190"/>
      <c r="QM82" s="193"/>
      <c r="QN82" s="190"/>
      <c r="QO82" s="190"/>
      <c r="QP82" s="190"/>
      <c r="QQ82" s="190"/>
      <c r="QR82" s="190"/>
      <c r="QS82" s="192"/>
      <c r="QT82" s="190"/>
      <c r="QU82" s="190"/>
      <c r="QV82" s="190"/>
      <c r="QW82" s="190"/>
      <c r="QX82" s="190"/>
      <c r="QY82" s="193"/>
      <c r="QZ82" s="190"/>
      <c r="RA82" s="190"/>
      <c r="RB82" s="190"/>
      <c r="RC82" s="190"/>
      <c r="RD82" s="190"/>
      <c r="RE82" s="192"/>
      <c r="RF82" s="190"/>
      <c r="RG82" s="190"/>
      <c r="RH82" s="190"/>
      <c r="RI82" s="190"/>
      <c r="RJ82" s="190"/>
      <c r="RK82" s="193"/>
      <c r="RL82" s="190"/>
      <c r="RM82" s="190"/>
      <c r="RN82" s="190"/>
      <c r="RO82" s="190"/>
      <c r="RP82" s="190"/>
      <c r="RQ82" s="194"/>
      <c r="RR82" s="189"/>
      <c r="RS82" s="190"/>
      <c r="RT82" s="190"/>
      <c r="RU82" s="190"/>
      <c r="RV82" s="190"/>
      <c r="RW82" s="191"/>
      <c r="RX82" s="190"/>
      <c r="RY82" s="190"/>
      <c r="RZ82" s="190"/>
      <c r="SA82" s="190"/>
      <c r="SB82" s="190"/>
      <c r="SC82" s="192"/>
      <c r="SD82" s="190"/>
      <c r="SE82" s="190"/>
      <c r="SF82" s="190"/>
      <c r="SG82" s="190"/>
      <c r="SH82" s="190"/>
      <c r="SI82" s="193"/>
      <c r="SJ82" s="190"/>
      <c r="SK82" s="190"/>
      <c r="SL82" s="190"/>
      <c r="SM82" s="190"/>
      <c r="SN82" s="190"/>
      <c r="SO82" s="192"/>
      <c r="SP82" s="190"/>
      <c r="SQ82" s="190"/>
      <c r="SR82" s="190"/>
      <c r="SS82" s="190"/>
      <c r="ST82" s="190"/>
      <c r="SU82" s="193"/>
      <c r="SV82" s="190"/>
      <c r="SW82" s="190"/>
      <c r="SX82" s="190"/>
      <c r="SY82" s="190"/>
      <c r="SZ82" s="190"/>
      <c r="TA82" s="192"/>
      <c r="TB82" s="190"/>
      <c r="TC82" s="190"/>
      <c r="TD82" s="190"/>
      <c r="TE82" s="190"/>
      <c r="TF82" s="190"/>
      <c r="TG82" s="193"/>
      <c r="TH82" s="190"/>
      <c r="TI82" s="190"/>
      <c r="TJ82" s="190"/>
      <c r="TK82" s="190"/>
      <c r="TL82" s="190"/>
      <c r="TM82" s="192"/>
      <c r="TN82" s="190"/>
      <c r="TO82" s="190"/>
      <c r="TP82" s="190"/>
      <c r="TQ82" s="190"/>
      <c r="TR82" s="190"/>
      <c r="TS82" s="193"/>
      <c r="TT82" s="190"/>
      <c r="TU82" s="190"/>
      <c r="TV82" s="190"/>
      <c r="TW82" s="190"/>
      <c r="TX82" s="190"/>
      <c r="TY82" s="194"/>
      <c r="TZ82" s="189"/>
      <c r="UA82" s="190"/>
      <c r="UB82" s="190"/>
      <c r="UC82" s="190"/>
      <c r="UD82" s="190"/>
      <c r="UE82" s="191"/>
      <c r="UF82" s="190"/>
      <c r="UG82" s="190"/>
      <c r="UH82" s="190"/>
      <c r="UI82" s="190"/>
      <c r="UJ82" s="190"/>
      <c r="UK82" s="192"/>
      <c r="UL82" s="190"/>
      <c r="UM82" s="190"/>
      <c r="UN82" s="190"/>
      <c r="UO82" s="190"/>
      <c r="UP82" s="190"/>
      <c r="UQ82" s="193"/>
      <c r="UR82" s="190"/>
      <c r="US82" s="190"/>
      <c r="UT82" s="190"/>
      <c r="UU82" s="190"/>
      <c r="UV82" s="190"/>
      <c r="UW82" s="192"/>
      <c r="UX82" s="190"/>
      <c r="UY82" s="190"/>
      <c r="UZ82" s="190"/>
      <c r="VA82" s="190"/>
      <c r="VB82" s="190"/>
      <c r="VC82" s="193"/>
      <c r="VD82" s="190"/>
      <c r="VE82" s="190"/>
      <c r="VF82" s="190"/>
      <c r="VG82" s="190"/>
      <c r="VH82" s="190"/>
      <c r="VI82" s="192"/>
      <c r="VJ82" s="190"/>
      <c r="VK82" s="190"/>
      <c r="VL82" s="190"/>
      <c r="VM82" s="190"/>
      <c r="VN82" s="190"/>
      <c r="VO82" s="193"/>
      <c r="VP82" s="190"/>
      <c r="VQ82" s="190"/>
      <c r="VR82" s="190"/>
      <c r="VS82" s="190"/>
      <c r="VT82" s="190"/>
      <c r="VU82" s="192"/>
      <c r="VV82" s="190"/>
      <c r="VW82" s="190"/>
      <c r="VX82" s="190"/>
      <c r="VY82" s="190"/>
      <c r="VZ82" s="190"/>
      <c r="WA82" s="193"/>
      <c r="WB82" s="190"/>
      <c r="WC82" s="190"/>
      <c r="WD82" s="190"/>
      <c r="WE82" s="190"/>
      <c r="WF82" s="190"/>
      <c r="WG82" s="194"/>
      <c r="WH82" s="189"/>
      <c r="WI82" s="190"/>
      <c r="WJ82" s="190"/>
      <c r="WK82" s="190"/>
      <c r="WL82" s="190"/>
      <c r="WM82" s="191"/>
      <c r="WN82" s="190"/>
      <c r="WO82" s="190"/>
      <c r="WP82" s="190"/>
      <c r="WQ82" s="190"/>
      <c r="WR82" s="190"/>
      <c r="WS82" s="192"/>
      <c r="WT82" s="190"/>
      <c r="WU82" s="190"/>
      <c r="WV82" s="190"/>
      <c r="WW82" s="190"/>
      <c r="WX82" s="190"/>
      <c r="WY82" s="193"/>
      <c r="WZ82" s="190"/>
      <c r="XA82" s="190"/>
      <c r="XB82" s="190"/>
      <c r="XC82" s="190"/>
      <c r="XD82" s="190"/>
      <c r="XE82" s="192"/>
      <c r="XF82" s="190"/>
      <c r="XG82" s="190"/>
      <c r="XH82" s="190"/>
      <c r="XI82" s="190"/>
      <c r="XJ82" s="190"/>
      <c r="XK82" s="193"/>
      <c r="XL82" s="190"/>
      <c r="XM82" s="190"/>
      <c r="XN82" s="190"/>
      <c r="XO82" s="190"/>
      <c r="XP82" s="190"/>
      <c r="XQ82" s="192"/>
      <c r="XR82" s="190"/>
      <c r="XS82" s="190"/>
      <c r="XT82" s="190"/>
      <c r="XU82" s="190"/>
      <c r="XV82" s="190"/>
      <c r="XW82" s="193"/>
      <c r="XX82" s="190"/>
      <c r="XY82" s="190"/>
      <c r="XZ82" s="190"/>
      <c r="YA82" s="190"/>
      <c r="YB82" s="190"/>
      <c r="YC82" s="192"/>
      <c r="YD82" s="190"/>
      <c r="YE82" s="190"/>
      <c r="YF82" s="190"/>
      <c r="YG82" s="190"/>
      <c r="YH82" s="190"/>
      <c r="YI82" s="193"/>
      <c r="YJ82" s="190"/>
      <c r="YK82" s="190"/>
      <c r="YL82" s="190"/>
      <c r="YM82" s="190"/>
      <c r="YN82" s="190"/>
      <c r="YO82" s="194"/>
      <c r="YP82" s="189"/>
      <c r="YQ82" s="190"/>
      <c r="YR82" s="190"/>
      <c r="YS82" s="190"/>
      <c r="YT82" s="190"/>
      <c r="YU82" s="191"/>
      <c r="YV82" s="190"/>
      <c r="YW82" s="190"/>
      <c r="YX82" s="190"/>
      <c r="YY82" s="190"/>
      <c r="YZ82" s="190"/>
      <c r="ZA82" s="192"/>
      <c r="ZB82" s="190"/>
      <c r="ZC82" s="190"/>
      <c r="ZD82" s="190"/>
      <c r="ZE82" s="190"/>
      <c r="ZF82" s="190"/>
      <c r="ZG82" s="193"/>
      <c r="ZH82" s="190"/>
      <c r="ZI82" s="190"/>
      <c r="ZJ82" s="190"/>
      <c r="ZK82" s="190"/>
      <c r="ZL82" s="190"/>
      <c r="ZM82" s="192"/>
      <c r="ZN82" s="190"/>
      <c r="ZO82" s="190"/>
      <c r="ZP82" s="190"/>
      <c r="ZQ82" s="190"/>
      <c r="ZR82" s="190"/>
      <c r="ZS82" s="193"/>
      <c r="ZT82" s="190"/>
      <c r="ZU82" s="190"/>
      <c r="ZV82" s="190"/>
      <c r="ZW82" s="190"/>
      <c r="ZX82" s="190"/>
      <c r="ZY82" s="192"/>
      <c r="ZZ82" s="190"/>
      <c r="AAA82" s="190"/>
      <c r="AAB82" s="190"/>
      <c r="AAC82" s="190"/>
      <c r="AAD82" s="190"/>
      <c r="AAE82" s="193"/>
      <c r="AAF82" s="190"/>
      <c r="AAG82" s="190"/>
      <c r="AAH82" s="190"/>
      <c r="AAI82" s="190"/>
      <c r="AAJ82" s="190"/>
      <c r="AAK82" s="192"/>
      <c r="AAL82" s="190"/>
      <c r="AAM82" s="190"/>
      <c r="AAN82" s="190"/>
      <c r="AAO82" s="190"/>
      <c r="AAP82" s="190"/>
      <c r="AAQ82" s="193"/>
      <c r="AAR82" s="190"/>
      <c r="AAS82" s="190"/>
      <c r="AAT82" s="190"/>
      <c r="AAU82" s="190"/>
      <c r="AAV82" s="190"/>
      <c r="AAW82" s="194"/>
      <c r="AAX82" s="189"/>
      <c r="AAY82" s="190"/>
      <c r="AAZ82" s="190"/>
      <c r="ABA82" s="190"/>
      <c r="ABB82" s="190"/>
      <c r="ABC82" s="191"/>
      <c r="ABD82" s="190"/>
      <c r="ABE82" s="190"/>
      <c r="ABF82" s="190"/>
      <c r="ABG82" s="190"/>
      <c r="ABH82" s="190"/>
      <c r="ABI82" s="192"/>
      <c r="ABJ82" s="190"/>
      <c r="ABK82" s="190"/>
      <c r="ABL82" s="190"/>
      <c r="ABM82" s="190"/>
      <c r="ABN82" s="190"/>
      <c r="ABO82" s="193"/>
      <c r="ABP82" s="190"/>
      <c r="ABQ82" s="190"/>
      <c r="ABR82" s="190"/>
      <c r="ABS82" s="190"/>
      <c r="ABT82" s="190"/>
      <c r="ABU82" s="192"/>
      <c r="ABV82" s="190"/>
      <c r="ABW82" s="190"/>
      <c r="ABX82" s="190"/>
      <c r="ABY82" s="190"/>
      <c r="ABZ82" s="190"/>
      <c r="ACA82" s="193"/>
      <c r="ACB82" s="190"/>
      <c r="ACC82" s="190"/>
      <c r="ACD82" s="190"/>
      <c r="ACE82" s="190"/>
      <c r="ACF82" s="190"/>
      <c r="ACG82" s="192"/>
      <c r="ACH82" s="190"/>
      <c r="ACI82" s="190"/>
      <c r="ACJ82" s="190"/>
      <c r="ACK82" s="190"/>
      <c r="ACL82" s="190"/>
      <c r="ACM82" s="193"/>
      <c r="ACN82" s="190"/>
      <c r="ACO82" s="190"/>
      <c r="ACP82" s="190"/>
      <c r="ACQ82" s="190"/>
      <c r="ACR82" s="190"/>
      <c r="ACS82" s="192"/>
      <c r="ACT82" s="190"/>
      <c r="ACU82" s="190"/>
      <c r="ACV82" s="190"/>
      <c r="ACW82" s="190"/>
      <c r="ACX82" s="190"/>
      <c r="ACY82" s="193"/>
      <c r="ACZ82" s="190"/>
      <c r="ADA82" s="190"/>
      <c r="ADB82" s="190"/>
      <c r="ADC82" s="190"/>
      <c r="ADD82" s="190"/>
      <c r="ADE82" s="194"/>
      <c r="ADF82" s="189"/>
      <c r="ADG82" s="190"/>
      <c r="ADH82" s="190"/>
      <c r="ADI82" s="190"/>
      <c r="ADJ82" s="190"/>
      <c r="ADK82" s="191"/>
      <c r="ADL82" s="190"/>
      <c r="ADM82" s="190"/>
      <c r="ADN82" s="190"/>
      <c r="ADO82" s="190"/>
      <c r="ADP82" s="190"/>
      <c r="ADQ82" s="192"/>
      <c r="ADR82" s="190"/>
      <c r="ADS82" s="190"/>
      <c r="ADT82" s="190"/>
      <c r="ADU82" s="190"/>
      <c r="ADV82" s="190"/>
      <c r="ADW82" s="193"/>
      <c r="ADX82" s="190"/>
      <c r="ADY82" s="190"/>
      <c r="ADZ82" s="190"/>
      <c r="AEA82" s="190"/>
      <c r="AEB82" s="190"/>
      <c r="AEC82" s="192"/>
      <c r="AED82" s="190"/>
      <c r="AEE82" s="190"/>
      <c r="AEF82" s="190"/>
      <c r="AEG82" s="190"/>
      <c r="AEH82" s="190"/>
      <c r="AEI82" s="193"/>
      <c r="AEJ82" s="190"/>
      <c r="AEK82" s="190"/>
      <c r="AEL82" s="190"/>
      <c r="AEM82" s="190"/>
      <c r="AEN82" s="190"/>
      <c r="AEO82" s="192"/>
      <c r="AEP82" s="190"/>
      <c r="AEQ82" s="190"/>
      <c r="AER82" s="190"/>
      <c r="AES82" s="190"/>
      <c r="AET82" s="190"/>
      <c r="AEU82" s="193"/>
      <c r="AEV82" s="190"/>
      <c r="AEW82" s="190"/>
      <c r="AEX82" s="190"/>
      <c r="AEY82" s="190"/>
      <c r="AEZ82" s="190"/>
      <c r="AFA82" s="192"/>
      <c r="AFB82" s="190"/>
      <c r="AFC82" s="190"/>
      <c r="AFD82" s="190"/>
      <c r="AFE82" s="190"/>
      <c r="AFF82" s="190"/>
      <c r="AFG82" s="193"/>
      <c r="AFH82" s="190"/>
      <c r="AFI82" s="190"/>
      <c r="AFJ82" s="190"/>
      <c r="AFK82" s="190"/>
      <c r="AFL82" s="190"/>
      <c r="AFM82" s="194"/>
      <c r="AFN82" s="189"/>
      <c r="AFO82" s="190"/>
      <c r="AFP82" s="190"/>
      <c r="AFQ82" s="190"/>
      <c r="AFR82" s="190"/>
      <c r="AFS82" s="191"/>
      <c r="AFT82" s="190"/>
      <c r="AFU82" s="190"/>
      <c r="AFV82" s="190"/>
      <c r="AFW82" s="190"/>
      <c r="AFX82" s="190"/>
      <c r="AFY82" s="192"/>
      <c r="AFZ82" s="190"/>
      <c r="AGA82" s="190"/>
      <c r="AGB82" s="190"/>
      <c r="AGC82" s="190"/>
      <c r="AGD82" s="190"/>
      <c r="AGE82" s="193"/>
      <c r="AGF82" s="190"/>
      <c r="AGG82" s="190"/>
      <c r="AGH82" s="190"/>
      <c r="AGI82" s="190"/>
      <c r="AGJ82" s="190"/>
      <c r="AGK82" s="192"/>
      <c r="AGL82" s="190"/>
      <c r="AGM82" s="190"/>
      <c r="AGN82" s="190"/>
      <c r="AGO82" s="190"/>
      <c r="AGP82" s="190"/>
      <c r="AGQ82" s="193"/>
      <c r="AGR82" s="190"/>
      <c r="AGS82" s="190"/>
      <c r="AGT82" s="190"/>
      <c r="AGU82" s="190"/>
      <c r="AGV82" s="190"/>
      <c r="AGW82" s="192"/>
      <c r="AGX82" s="190"/>
      <c r="AGY82" s="190"/>
      <c r="AGZ82" s="190"/>
      <c r="AHA82" s="190"/>
      <c r="AHB82" s="190"/>
      <c r="AHC82" s="193"/>
      <c r="AHD82" s="190"/>
      <c r="AHE82" s="190"/>
      <c r="AHF82" s="190"/>
      <c r="AHG82" s="190"/>
      <c r="AHH82" s="190"/>
      <c r="AHI82" s="192"/>
      <c r="AHJ82" s="190"/>
      <c r="AHK82" s="190"/>
      <c r="AHL82" s="190"/>
      <c r="AHM82" s="190"/>
      <c r="AHN82" s="190"/>
      <c r="AHO82" s="193"/>
      <c r="AHP82" s="190"/>
      <c r="AHQ82" s="190"/>
      <c r="AHR82" s="190"/>
      <c r="AHS82" s="190"/>
      <c r="AHT82" s="190"/>
      <c r="AHU82" s="194"/>
      <c r="AHV82" s="189"/>
      <c r="AHW82" s="190"/>
      <c r="AHX82" s="190"/>
      <c r="AHY82" s="190"/>
      <c r="AHZ82" s="190"/>
      <c r="AIA82" s="191"/>
      <c r="AIB82" s="190"/>
      <c r="AIC82" s="190"/>
      <c r="AID82" s="190"/>
      <c r="AIE82" s="190"/>
      <c r="AIF82" s="190"/>
      <c r="AIG82" s="192"/>
      <c r="AIH82" s="190"/>
      <c r="AII82" s="190"/>
      <c r="AIJ82" s="190"/>
      <c r="AIK82" s="190"/>
      <c r="AIL82" s="190"/>
      <c r="AIM82" s="193"/>
      <c r="AIN82" s="190"/>
      <c r="AIO82" s="190"/>
      <c r="AIP82" s="190"/>
      <c r="AIQ82" s="190"/>
      <c r="AIR82" s="190"/>
      <c r="AIS82" s="192"/>
      <c r="AIT82" s="190"/>
      <c r="AIU82" s="190"/>
      <c r="AIV82" s="190"/>
      <c r="AIW82" s="190"/>
      <c r="AIX82" s="190"/>
      <c r="AIY82" s="193"/>
      <c r="AIZ82" s="190"/>
      <c r="AJA82" s="190"/>
      <c r="AJB82" s="190"/>
      <c r="AJC82" s="190"/>
      <c r="AJD82" s="190"/>
      <c r="AJE82" s="192"/>
      <c r="AJF82" s="190"/>
      <c r="AJG82" s="190"/>
      <c r="AJH82" s="190"/>
      <c r="AJI82" s="190"/>
      <c r="AJJ82" s="190"/>
      <c r="AJK82" s="193"/>
      <c r="AJL82" s="190"/>
      <c r="AJM82" s="190"/>
      <c r="AJN82" s="190"/>
      <c r="AJO82" s="190"/>
      <c r="AJP82" s="190"/>
      <c r="AJQ82" s="192"/>
      <c r="AJR82" s="190"/>
      <c r="AJS82" s="190"/>
      <c r="AJT82" s="190"/>
      <c r="AJU82" s="190"/>
      <c r="AJV82" s="190"/>
      <c r="AJW82" s="193"/>
      <c r="AJX82" s="190"/>
      <c r="AJY82" s="190"/>
      <c r="AJZ82" s="190"/>
      <c r="AKA82" s="190"/>
      <c r="AKB82" s="190"/>
      <c r="AKC82" s="194"/>
      <c r="AKD82" s="189"/>
      <c r="AKE82" s="190"/>
      <c r="AKF82" s="190"/>
      <c r="AKG82" s="190"/>
      <c r="AKH82" s="190"/>
      <c r="AKI82" s="191"/>
      <c r="AKJ82" s="190"/>
      <c r="AKK82" s="190"/>
      <c r="AKL82" s="190"/>
      <c r="AKM82" s="190"/>
      <c r="AKN82" s="190"/>
      <c r="AKO82" s="192"/>
      <c r="AKP82" s="190"/>
      <c r="AKQ82" s="190"/>
      <c r="AKR82" s="190"/>
      <c r="AKS82" s="190"/>
      <c r="AKT82" s="190"/>
      <c r="AKU82" s="193"/>
      <c r="AKV82" s="190"/>
      <c r="AKW82" s="190"/>
      <c r="AKX82" s="190"/>
      <c r="AKY82" s="190"/>
      <c r="AKZ82" s="190"/>
      <c r="ALA82" s="192"/>
      <c r="ALB82" s="190"/>
      <c r="ALC82" s="190"/>
      <c r="ALD82" s="190"/>
      <c r="ALE82" s="190"/>
      <c r="ALF82" s="190"/>
      <c r="ALG82" s="193"/>
      <c r="ALH82" s="190"/>
      <c r="ALI82" s="190"/>
      <c r="ALJ82" s="190"/>
      <c r="ALK82" s="190"/>
      <c r="ALL82" s="190"/>
      <c r="ALM82" s="192"/>
      <c r="ALN82" s="190"/>
      <c r="ALO82" s="190"/>
      <c r="ALP82" s="190"/>
      <c r="ALQ82" s="190"/>
      <c r="ALR82" s="190"/>
      <c r="ALS82" s="193"/>
      <c r="ALT82" s="190"/>
      <c r="ALU82" s="190"/>
      <c r="ALV82" s="190"/>
      <c r="ALW82" s="190"/>
      <c r="ALX82" s="190"/>
      <c r="ALY82" s="192"/>
      <c r="ALZ82" s="190"/>
      <c r="AMA82" s="190"/>
      <c r="AMB82" s="190"/>
      <c r="AMC82" s="190"/>
      <c r="AMD82" s="190"/>
      <c r="AME82" s="193"/>
      <c r="AMF82" s="190"/>
      <c r="AMG82" s="190"/>
      <c r="AMH82" s="190"/>
      <c r="AMI82" s="190"/>
      <c r="AMJ82" s="190"/>
      <c r="AMK82" s="194"/>
      <c r="AML82" s="189"/>
      <c r="AMM82" s="190"/>
      <c r="AMN82" s="190"/>
      <c r="AMO82" s="190"/>
      <c r="AMP82" s="190"/>
      <c r="AMQ82" s="191"/>
      <c r="AMR82" s="190"/>
      <c r="AMS82" s="190"/>
      <c r="AMT82" s="190"/>
      <c r="AMU82" s="190"/>
      <c r="AMV82" s="190"/>
      <c r="AMW82" s="192"/>
      <c r="AMX82" s="190"/>
      <c r="AMY82" s="190"/>
      <c r="AMZ82" s="190"/>
      <c r="ANA82" s="190"/>
      <c r="ANB82" s="190"/>
      <c r="ANC82" s="193"/>
      <c r="AND82" s="190"/>
      <c r="ANE82" s="190"/>
      <c r="ANF82" s="190"/>
      <c r="ANG82" s="190"/>
      <c r="ANH82" s="190"/>
      <c r="ANI82" s="192"/>
      <c r="ANJ82" s="190"/>
      <c r="ANK82" s="190"/>
      <c r="ANL82" s="190"/>
      <c r="ANM82" s="190"/>
      <c r="ANN82" s="190"/>
      <c r="ANO82" s="193"/>
      <c r="ANP82" s="190"/>
      <c r="ANQ82" s="190"/>
      <c r="ANR82" s="190"/>
      <c r="ANS82" s="190"/>
      <c r="ANT82" s="190"/>
      <c r="ANU82" s="192"/>
      <c r="ANV82" s="190"/>
      <c r="ANW82" s="190"/>
      <c r="ANX82" s="190"/>
      <c r="ANY82" s="190"/>
      <c r="ANZ82" s="190"/>
      <c r="AOA82" s="193"/>
      <c r="AOB82" s="190"/>
      <c r="AOC82" s="190"/>
      <c r="AOD82" s="190"/>
      <c r="AOE82" s="190"/>
      <c r="AOF82" s="190"/>
      <c r="AOG82" s="192"/>
      <c r="AOH82" s="190"/>
      <c r="AOI82" s="190"/>
      <c r="AOJ82" s="190"/>
      <c r="AOK82" s="190"/>
      <c r="AOL82" s="190"/>
      <c r="AOM82" s="193"/>
      <c r="AON82" s="190"/>
      <c r="AOO82" s="190"/>
      <c r="AOP82" s="190"/>
      <c r="AOQ82" s="190"/>
      <c r="AOR82" s="190"/>
      <c r="AOS82" s="194"/>
      <c r="AOT82" s="189"/>
      <c r="AOU82" s="190"/>
      <c r="AOV82" s="190"/>
      <c r="AOW82" s="190"/>
      <c r="AOX82" s="190"/>
      <c r="AOY82" s="191"/>
      <c r="AOZ82" s="190"/>
      <c r="APA82" s="190"/>
      <c r="APB82" s="190"/>
      <c r="APC82" s="190"/>
      <c r="APD82" s="190"/>
      <c r="APE82" s="192"/>
      <c r="APF82" s="190"/>
      <c r="APG82" s="190"/>
      <c r="APH82" s="190"/>
      <c r="API82" s="190"/>
      <c r="APJ82" s="190"/>
      <c r="APK82" s="193"/>
      <c r="APL82" s="190"/>
      <c r="APM82" s="190"/>
      <c r="APN82" s="190"/>
      <c r="APO82" s="190"/>
      <c r="APP82" s="190"/>
      <c r="APQ82" s="192"/>
      <c r="APR82" s="190"/>
      <c r="APS82" s="190"/>
      <c r="APT82" s="190"/>
      <c r="APU82" s="190"/>
      <c r="APV82" s="190"/>
      <c r="APW82" s="193"/>
      <c r="APX82" s="190"/>
      <c r="APY82" s="190"/>
      <c r="APZ82" s="190"/>
      <c r="AQA82" s="190"/>
      <c r="AQB82" s="190"/>
      <c r="AQC82" s="192"/>
      <c r="AQD82" s="190"/>
      <c r="AQE82" s="190"/>
      <c r="AQF82" s="190"/>
      <c r="AQG82" s="190"/>
      <c r="AQH82" s="190"/>
      <c r="AQI82" s="193"/>
      <c r="AQJ82" s="190"/>
      <c r="AQK82" s="190"/>
      <c r="AQL82" s="190"/>
      <c r="AQM82" s="190"/>
      <c r="AQN82" s="190"/>
      <c r="AQO82" s="192"/>
      <c r="AQP82" s="190"/>
      <c r="AQQ82" s="190"/>
      <c r="AQR82" s="190"/>
      <c r="AQS82" s="190"/>
      <c r="AQT82" s="190"/>
      <c r="AQU82" s="193"/>
      <c r="AQV82" s="190"/>
      <c r="AQW82" s="190"/>
      <c r="AQX82" s="190"/>
      <c r="AQY82" s="190"/>
      <c r="AQZ82" s="190"/>
      <c r="ARA82" s="194"/>
      <c r="ARB82" s="189"/>
      <c r="ARC82" s="190"/>
      <c r="ARD82" s="190"/>
      <c r="ARE82" s="190"/>
      <c r="ARF82" s="190"/>
      <c r="ARG82" s="191"/>
      <c r="ARH82" s="190"/>
      <c r="ARI82" s="190"/>
      <c r="ARJ82" s="190"/>
      <c r="ARK82" s="190"/>
      <c r="ARL82" s="190"/>
      <c r="ARM82" s="192"/>
      <c r="ARN82" s="190"/>
      <c r="ARO82" s="190"/>
      <c r="ARP82" s="190"/>
      <c r="ARQ82" s="190"/>
      <c r="ARR82" s="190"/>
      <c r="ARS82" s="193"/>
      <c r="ART82" s="190"/>
      <c r="ARU82" s="190"/>
      <c r="ARV82" s="190"/>
      <c r="ARW82" s="190"/>
      <c r="ARX82" s="190"/>
      <c r="ARY82" s="192"/>
      <c r="ARZ82" s="190"/>
      <c r="ASA82" s="190"/>
      <c r="ASB82" s="190"/>
      <c r="ASC82" s="190"/>
      <c r="ASD82" s="190"/>
      <c r="ASE82" s="193"/>
      <c r="ASF82" s="190"/>
      <c r="ASG82" s="190"/>
      <c r="ASH82" s="190"/>
      <c r="ASI82" s="190"/>
      <c r="ASJ82" s="190"/>
      <c r="ASK82" s="192"/>
      <c r="ASL82" s="190"/>
      <c r="ASM82" s="190"/>
      <c r="ASN82" s="190"/>
      <c r="ASO82" s="190"/>
      <c r="ASP82" s="190"/>
      <c r="ASQ82" s="193"/>
      <c r="ASR82" s="190"/>
      <c r="ASS82" s="190"/>
      <c r="AST82" s="190"/>
      <c r="ASU82" s="190"/>
      <c r="ASV82" s="190"/>
      <c r="ASW82" s="192"/>
      <c r="ASX82" s="190"/>
      <c r="ASY82" s="190"/>
      <c r="ASZ82" s="190"/>
      <c r="ATA82" s="190"/>
      <c r="ATB82" s="190"/>
      <c r="ATC82" s="193"/>
      <c r="ATD82" s="190"/>
      <c r="ATE82" s="190"/>
      <c r="ATF82" s="190"/>
      <c r="ATG82" s="190"/>
      <c r="ATH82" s="190"/>
      <c r="ATI82" s="194"/>
      <c r="ATJ82" s="189"/>
      <c r="ATK82" s="190"/>
      <c r="ATL82" s="190"/>
      <c r="ATM82" s="190"/>
      <c r="ATN82" s="190"/>
      <c r="ATO82" s="191"/>
      <c r="ATP82" s="190"/>
      <c r="ATQ82" s="190"/>
      <c r="ATR82" s="190"/>
      <c r="ATS82" s="190"/>
      <c r="ATT82" s="190"/>
      <c r="ATU82" s="192"/>
      <c r="ATV82" s="190"/>
      <c r="ATW82" s="190"/>
      <c r="ATX82" s="190"/>
      <c r="ATY82" s="190"/>
      <c r="ATZ82" s="190"/>
      <c r="AUA82" s="193"/>
      <c r="AUB82" s="190"/>
      <c r="AUC82" s="190"/>
      <c r="AUD82" s="190"/>
      <c r="AUE82" s="190"/>
      <c r="AUF82" s="190"/>
      <c r="AUG82" s="192"/>
      <c r="AUH82" s="190"/>
      <c r="AUI82" s="190"/>
      <c r="AUJ82" s="190"/>
      <c r="AUK82" s="190"/>
      <c r="AUL82" s="190"/>
      <c r="AUM82" s="193"/>
      <c r="AUN82" s="190"/>
      <c r="AUO82" s="190"/>
      <c r="AUP82" s="190"/>
      <c r="AUQ82" s="190"/>
      <c r="AUR82" s="190"/>
      <c r="AUS82" s="192"/>
      <c r="AUT82" s="190"/>
      <c r="AUU82" s="190"/>
      <c r="AUV82" s="190"/>
      <c r="AUW82" s="190"/>
      <c r="AUX82" s="190"/>
      <c r="AUY82" s="193"/>
      <c r="AUZ82" s="190"/>
      <c r="AVA82" s="190"/>
      <c r="AVB82" s="190"/>
      <c r="AVC82" s="190"/>
      <c r="AVD82" s="190"/>
      <c r="AVE82" s="192"/>
      <c r="AVF82" s="190"/>
      <c r="AVG82" s="190"/>
      <c r="AVH82" s="190"/>
      <c r="AVI82" s="190"/>
      <c r="AVJ82" s="190"/>
      <c r="AVK82" s="193"/>
      <c r="AVL82" s="190"/>
      <c r="AVM82" s="190"/>
      <c r="AVN82" s="190"/>
      <c r="AVO82" s="190"/>
      <c r="AVP82" s="190"/>
      <c r="AVQ82" s="194"/>
      <c r="AVR82" s="189"/>
      <c r="AVS82" s="190"/>
      <c r="AVT82" s="190"/>
      <c r="AVU82" s="190"/>
      <c r="AVV82" s="190"/>
      <c r="AVW82" s="191"/>
      <c r="AVX82" s="190"/>
      <c r="AVY82" s="190"/>
      <c r="AVZ82" s="190"/>
      <c r="AWA82" s="190"/>
      <c r="AWB82" s="190"/>
      <c r="AWC82" s="192"/>
      <c r="AWD82" s="190"/>
      <c r="AWE82" s="190"/>
      <c r="AWF82" s="190"/>
      <c r="AWG82" s="190"/>
      <c r="AWH82" s="190"/>
      <c r="AWI82" s="193"/>
      <c r="AWJ82" s="190"/>
      <c r="AWK82" s="190"/>
      <c r="AWL82" s="190"/>
      <c r="AWM82" s="190"/>
      <c r="AWN82" s="190"/>
      <c r="AWO82" s="192"/>
      <c r="AWP82" s="190"/>
      <c r="AWQ82" s="190"/>
      <c r="AWR82" s="190"/>
      <c r="AWS82" s="190"/>
      <c r="AWT82" s="190"/>
      <c r="AWU82" s="193"/>
      <c r="AWV82" s="190"/>
      <c r="AWW82" s="190"/>
      <c r="AWX82" s="190"/>
      <c r="AWY82" s="190"/>
      <c r="AWZ82" s="190"/>
      <c r="AXA82" s="192"/>
      <c r="AXB82" s="190"/>
      <c r="AXC82" s="190"/>
      <c r="AXD82" s="190"/>
      <c r="AXE82" s="190"/>
      <c r="AXF82" s="190"/>
      <c r="AXG82" s="193"/>
      <c r="AXH82" s="190"/>
      <c r="AXI82" s="190"/>
      <c r="AXJ82" s="190"/>
      <c r="AXK82" s="190"/>
      <c r="AXL82" s="190"/>
      <c r="AXM82" s="192"/>
      <c r="AXN82" s="190"/>
      <c r="AXO82" s="190"/>
      <c r="AXP82" s="190"/>
      <c r="AXQ82" s="190"/>
      <c r="AXR82" s="190"/>
      <c r="AXS82" s="193"/>
      <c r="AXT82" s="190"/>
      <c r="AXU82" s="190"/>
      <c r="AXV82" s="190"/>
      <c r="AXW82" s="190"/>
      <c r="AXX82" s="190"/>
      <c r="AXY82" s="194"/>
      <c r="AXZ82" s="189"/>
      <c r="AYA82" s="190"/>
      <c r="AYB82" s="190"/>
      <c r="AYC82" s="190"/>
      <c r="AYD82" s="190"/>
      <c r="AYE82" s="191"/>
      <c r="AYF82" s="190"/>
      <c r="AYG82" s="190"/>
      <c r="AYH82" s="190"/>
      <c r="AYI82" s="190"/>
      <c r="AYJ82" s="190"/>
      <c r="AYK82" s="192"/>
      <c r="AYL82" s="190"/>
      <c r="AYM82" s="190"/>
      <c r="AYN82" s="190"/>
      <c r="AYO82" s="190"/>
      <c r="AYP82" s="190"/>
      <c r="AYQ82" s="193"/>
      <c r="AYR82" s="190"/>
      <c r="AYS82" s="190"/>
      <c r="AYT82" s="190"/>
      <c r="AYU82" s="190"/>
      <c r="AYV82" s="190"/>
      <c r="AYW82" s="192"/>
      <c r="AYX82" s="190"/>
      <c r="AYY82" s="190"/>
      <c r="AYZ82" s="190"/>
      <c r="AZA82" s="190"/>
      <c r="AZB82" s="190"/>
      <c r="AZC82" s="193"/>
      <c r="AZD82" s="190"/>
      <c r="AZE82" s="190"/>
      <c r="AZF82" s="190"/>
      <c r="AZG82" s="190"/>
      <c r="AZH82" s="190"/>
      <c r="AZI82" s="192"/>
      <c r="AZJ82" s="190"/>
      <c r="AZK82" s="190"/>
      <c r="AZL82" s="190"/>
      <c r="AZM82" s="190"/>
      <c r="AZN82" s="190"/>
      <c r="AZO82" s="193"/>
      <c r="AZP82" s="190"/>
      <c r="AZQ82" s="190"/>
      <c r="AZR82" s="190"/>
      <c r="AZS82" s="190"/>
      <c r="AZT82" s="190"/>
      <c r="AZU82" s="192"/>
      <c r="AZV82" s="190"/>
      <c r="AZW82" s="190"/>
      <c r="AZX82" s="190"/>
      <c r="AZY82" s="190"/>
      <c r="AZZ82" s="190"/>
      <c r="BAA82" s="193"/>
      <c r="BAB82" s="190"/>
      <c r="BAC82" s="190"/>
      <c r="BAD82" s="190"/>
      <c r="BAE82" s="190"/>
      <c r="BAF82" s="190"/>
      <c r="BAG82" s="194"/>
      <c r="BAH82" s="189"/>
      <c r="BAI82" s="190"/>
      <c r="BAJ82" s="190"/>
      <c r="BAK82" s="190"/>
      <c r="BAL82" s="190"/>
      <c r="BAM82" s="191"/>
      <c r="BAN82" s="190"/>
      <c r="BAO82" s="190"/>
      <c r="BAP82" s="190"/>
      <c r="BAQ82" s="190"/>
      <c r="BAR82" s="190"/>
      <c r="BAS82" s="192"/>
      <c r="BAT82" s="190"/>
      <c r="BAU82" s="190"/>
      <c r="BAV82" s="190"/>
      <c r="BAW82" s="190"/>
      <c r="BAX82" s="190"/>
      <c r="BAY82" s="193"/>
      <c r="BAZ82" s="190"/>
      <c r="BBA82" s="190"/>
      <c r="BBB82" s="190"/>
      <c r="BBC82" s="190"/>
      <c r="BBD82" s="190"/>
      <c r="BBE82" s="192"/>
      <c r="BBF82" s="190"/>
      <c r="BBG82" s="190"/>
      <c r="BBH82" s="190"/>
      <c r="BBI82" s="190"/>
      <c r="BBJ82" s="190"/>
      <c r="BBK82" s="193"/>
      <c r="BBL82" s="190"/>
      <c r="BBM82" s="190"/>
      <c r="BBN82" s="190"/>
      <c r="BBO82" s="190"/>
      <c r="BBP82" s="190"/>
      <c r="BBQ82" s="192"/>
      <c r="BBR82" s="190"/>
      <c r="BBS82" s="190"/>
      <c r="BBT82" s="190"/>
      <c r="BBU82" s="190"/>
      <c r="BBV82" s="190"/>
      <c r="BBW82" s="193"/>
      <c r="BBX82" s="190"/>
      <c r="BBY82" s="190"/>
      <c r="BBZ82" s="190"/>
      <c r="BCA82" s="190"/>
      <c r="BCB82" s="190"/>
      <c r="BCC82" s="192"/>
      <c r="BCD82" s="190"/>
      <c r="BCE82" s="190"/>
      <c r="BCF82" s="190"/>
      <c r="BCG82" s="190"/>
      <c r="BCH82" s="190"/>
      <c r="BCI82" s="193"/>
      <c r="BCJ82" s="190"/>
      <c r="BCK82" s="190"/>
      <c r="BCL82" s="190"/>
      <c r="BCM82" s="190"/>
      <c r="BCN82" s="190"/>
      <c r="BCO82" s="194"/>
      <c r="BCP82" s="189"/>
      <c r="BCQ82" s="190"/>
      <c r="BCR82" s="190"/>
      <c r="BCS82" s="190"/>
      <c r="BCT82" s="190"/>
      <c r="BCU82" s="191"/>
      <c r="BCV82" s="190"/>
      <c r="BCW82" s="190"/>
      <c r="BCX82" s="190"/>
      <c r="BCY82" s="190"/>
      <c r="BCZ82" s="190"/>
      <c r="BDA82" s="192"/>
      <c r="BDB82" s="190"/>
      <c r="BDC82" s="190"/>
      <c r="BDD82" s="190"/>
      <c r="BDE82" s="190"/>
      <c r="BDF82" s="190"/>
      <c r="BDG82" s="193"/>
      <c r="BDH82" s="190"/>
      <c r="BDI82" s="190"/>
      <c r="BDJ82" s="190"/>
      <c r="BDK82" s="190"/>
      <c r="BDL82" s="190"/>
      <c r="BDM82" s="192"/>
      <c r="BDN82" s="190"/>
      <c r="BDO82" s="190"/>
      <c r="BDP82" s="190"/>
      <c r="BDQ82" s="190"/>
      <c r="BDR82" s="190"/>
      <c r="BDS82" s="193"/>
      <c r="BDT82" s="190"/>
      <c r="BDU82" s="190"/>
      <c r="BDV82" s="190"/>
      <c r="BDW82" s="190"/>
      <c r="BDX82" s="190"/>
      <c r="BDY82" s="192"/>
      <c r="BDZ82" s="190"/>
      <c r="BEA82" s="190"/>
      <c r="BEB82" s="190"/>
      <c r="BEC82" s="190"/>
      <c r="BED82" s="190"/>
      <c r="BEE82" s="193"/>
      <c r="BEF82" s="190"/>
      <c r="BEG82" s="190"/>
      <c r="BEH82" s="190"/>
      <c r="BEI82" s="190"/>
      <c r="BEJ82" s="190"/>
      <c r="BEK82" s="192"/>
      <c r="BEL82" s="190"/>
      <c r="BEM82" s="190"/>
      <c r="BEN82" s="190"/>
      <c r="BEO82" s="190"/>
      <c r="BEP82" s="190"/>
      <c r="BEQ82" s="193"/>
      <c r="BER82" s="190"/>
      <c r="BES82" s="190"/>
      <c r="BET82" s="190"/>
      <c r="BEU82" s="190"/>
      <c r="BEV82" s="190"/>
      <c r="BEW82" s="194"/>
      <c r="BEX82" s="189"/>
      <c r="BEY82" s="190"/>
      <c r="BEZ82" s="190"/>
      <c r="BFA82" s="190"/>
      <c r="BFB82" s="190"/>
      <c r="BFC82" s="191"/>
      <c r="BFD82" s="190"/>
      <c r="BFE82" s="190"/>
      <c r="BFF82" s="190"/>
      <c r="BFG82" s="190"/>
      <c r="BFH82" s="190"/>
      <c r="BFI82" s="192"/>
      <c r="BFJ82" s="190"/>
      <c r="BFK82" s="190"/>
      <c r="BFL82" s="190"/>
      <c r="BFM82" s="190"/>
      <c r="BFN82" s="190"/>
      <c r="BFO82" s="193"/>
      <c r="BFP82" s="190"/>
      <c r="BFQ82" s="190"/>
      <c r="BFR82" s="190"/>
      <c r="BFS82" s="190"/>
      <c r="BFT82" s="190"/>
      <c r="BFU82" s="192"/>
      <c r="BFV82" s="190"/>
      <c r="BFW82" s="190"/>
      <c r="BFX82" s="190"/>
      <c r="BFY82" s="190"/>
      <c r="BFZ82" s="190"/>
      <c r="BGA82" s="193"/>
      <c r="BGB82" s="190"/>
      <c r="BGC82" s="190"/>
      <c r="BGD82" s="190"/>
      <c r="BGE82" s="190"/>
      <c r="BGF82" s="190"/>
      <c r="BGG82" s="192"/>
      <c r="BGH82" s="190"/>
      <c r="BGI82" s="190"/>
      <c r="BGJ82" s="190"/>
      <c r="BGK82" s="190"/>
      <c r="BGL82" s="190"/>
      <c r="BGM82" s="193"/>
      <c r="BGN82" s="190"/>
      <c r="BGO82" s="190"/>
      <c r="BGP82" s="190"/>
      <c r="BGQ82" s="190"/>
      <c r="BGR82" s="190"/>
      <c r="BGS82" s="192"/>
      <c r="BGT82" s="190"/>
      <c r="BGU82" s="190"/>
      <c r="BGV82" s="190"/>
      <c r="BGW82" s="190"/>
      <c r="BGX82" s="190"/>
      <c r="BGY82" s="193"/>
      <c r="BGZ82" s="190"/>
      <c r="BHA82" s="190"/>
      <c r="BHB82" s="190"/>
      <c r="BHC82" s="190"/>
      <c r="BHD82" s="190"/>
      <c r="BHE82" s="194"/>
      <c r="BHF82" s="187"/>
      <c r="BHG82" s="188"/>
      <c r="BHH82" s="188"/>
      <c r="BHI82" s="188"/>
      <c r="BHJ82" s="188"/>
      <c r="BHK82" s="188"/>
      <c r="BHL82" s="188"/>
      <c r="BHM82" s="188"/>
      <c r="BHN82" s="188"/>
      <c r="BHO82" s="188"/>
      <c r="BHP82" s="188"/>
      <c r="BHQ82" s="188"/>
      <c r="BHR82" s="188"/>
      <c r="BHS82" s="188"/>
      <c r="BHT82" s="188"/>
      <c r="BHU82" s="188"/>
      <c r="BHV82" s="188"/>
      <c r="BHW82" s="188"/>
      <c r="BHX82" s="188"/>
      <c r="BHY82" s="188"/>
      <c r="BHZ82" s="188"/>
      <c r="BIA82" s="188"/>
      <c r="BIB82" s="188"/>
      <c r="BIC82" s="188"/>
      <c r="BID82" s="188"/>
      <c r="BIE82" s="188"/>
      <c r="BIF82" s="188"/>
      <c r="BIG82" s="188"/>
      <c r="BIH82" s="188"/>
      <c r="BII82" s="188"/>
      <c r="BIJ82" s="188"/>
      <c r="BIK82" s="188"/>
      <c r="BIL82" s="188"/>
      <c r="BIM82" s="188"/>
      <c r="BIN82" s="188"/>
      <c r="BIO82" s="188"/>
      <c r="BIP82" s="188"/>
    </row>
    <row r="83" spans="1:1602" ht="20.100000000000001" customHeight="1" x14ac:dyDescent="0.25">
      <c r="A83" s="78" t="s">
        <v>49</v>
      </c>
      <c r="B83" s="51"/>
      <c r="C83" s="23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87"/>
      <c r="BHG83" s="188"/>
      <c r="BHH83" s="188"/>
      <c r="BHI83" s="188"/>
      <c r="BHJ83" s="188"/>
      <c r="BHK83" s="188"/>
      <c r="BHL83" s="188"/>
      <c r="BHM83" s="188"/>
      <c r="BHN83" s="188"/>
      <c r="BHO83" s="188"/>
      <c r="BHP83" s="188"/>
      <c r="BHQ83" s="188"/>
      <c r="BHR83" s="188"/>
      <c r="BHS83" s="188"/>
      <c r="BHT83" s="188"/>
      <c r="BHU83" s="188"/>
      <c r="BHV83" s="188"/>
      <c r="BHW83" s="188"/>
      <c r="BHX83" s="188"/>
      <c r="BHY83" s="188"/>
      <c r="BHZ83" s="188"/>
      <c r="BIA83" s="188"/>
      <c r="BIB83" s="188"/>
      <c r="BIC83" s="188"/>
      <c r="BID83" s="188"/>
      <c r="BIE83" s="188"/>
      <c r="BIF83" s="188"/>
      <c r="BIG83" s="188"/>
      <c r="BIH83" s="188"/>
      <c r="BII83" s="188"/>
      <c r="BIJ83" s="188"/>
      <c r="BIK83" s="188"/>
      <c r="BIL83" s="188"/>
      <c r="BIM83" s="188"/>
      <c r="BIN83" s="188"/>
      <c r="BIO83" s="188"/>
      <c r="BIP83" s="188"/>
    </row>
    <row r="84" spans="1:1602" ht="20.100000000000001" customHeight="1" x14ac:dyDescent="0.25">
      <c r="A84" s="78" t="s">
        <v>50</v>
      </c>
      <c r="B84" s="51"/>
      <c r="C84" s="236"/>
      <c r="D84" s="120" t="str">
        <f t="shared" si="1"/>
        <v/>
      </c>
      <c r="E84" s="22">
        <v>0</v>
      </c>
      <c r="F84" s="195"/>
      <c r="G84" s="196"/>
      <c r="H84" s="196"/>
      <c r="I84" s="196"/>
      <c r="J84" s="196"/>
      <c r="K84" s="197"/>
      <c r="L84" s="196"/>
      <c r="M84" s="196"/>
      <c r="N84" s="196"/>
      <c r="O84" s="196"/>
      <c r="P84" s="196"/>
      <c r="Q84" s="198"/>
      <c r="R84" s="196"/>
      <c r="S84" s="196"/>
      <c r="T84" s="196"/>
      <c r="U84" s="196"/>
      <c r="V84" s="196"/>
      <c r="W84" s="199"/>
      <c r="X84" s="196"/>
      <c r="Y84" s="196"/>
      <c r="Z84" s="196"/>
      <c r="AA84" s="196"/>
      <c r="AB84" s="196"/>
      <c r="AC84" s="198"/>
      <c r="AD84" s="196"/>
      <c r="AE84" s="196"/>
      <c r="AF84" s="196"/>
      <c r="AG84" s="196"/>
      <c r="AH84" s="196"/>
      <c r="AI84" s="199"/>
      <c r="AJ84" s="196"/>
      <c r="AK84" s="196"/>
      <c r="AL84" s="196"/>
      <c r="AM84" s="196"/>
      <c r="AN84" s="196"/>
      <c r="AO84" s="198"/>
      <c r="AP84" s="196"/>
      <c r="AQ84" s="196"/>
      <c r="AR84" s="196"/>
      <c r="AS84" s="196"/>
      <c r="AT84" s="196"/>
      <c r="AU84" s="199"/>
      <c r="AV84" s="196"/>
      <c r="AW84" s="196"/>
      <c r="AX84" s="196"/>
      <c r="AY84" s="196"/>
      <c r="AZ84" s="196"/>
      <c r="BA84" s="198"/>
      <c r="BB84" s="196"/>
      <c r="BC84" s="196"/>
      <c r="BD84" s="196"/>
      <c r="BE84" s="196"/>
      <c r="BF84" s="196"/>
      <c r="BG84" s="199"/>
      <c r="BH84" s="196"/>
      <c r="BI84" s="196"/>
      <c r="BJ84" s="196"/>
      <c r="BK84" s="196"/>
      <c r="BL84" s="196"/>
      <c r="BM84" s="200"/>
      <c r="BN84" s="195"/>
      <c r="BO84" s="196"/>
      <c r="BP84" s="196"/>
      <c r="BQ84" s="196"/>
      <c r="BR84" s="196"/>
      <c r="BS84" s="197"/>
      <c r="BT84" s="196"/>
      <c r="BU84" s="196"/>
      <c r="BV84" s="196"/>
      <c r="BW84" s="196"/>
      <c r="BX84" s="196"/>
      <c r="BY84" s="198"/>
      <c r="BZ84" s="196"/>
      <c r="CA84" s="196"/>
      <c r="CB84" s="196"/>
      <c r="CC84" s="196"/>
      <c r="CD84" s="196"/>
      <c r="CE84" s="199"/>
      <c r="CF84" s="196"/>
      <c r="CG84" s="196"/>
      <c r="CH84" s="196"/>
      <c r="CI84" s="196"/>
      <c r="CJ84" s="196"/>
      <c r="CK84" s="198"/>
      <c r="CL84" s="196"/>
      <c r="CM84" s="196"/>
      <c r="CN84" s="196"/>
      <c r="CO84" s="196"/>
      <c r="CP84" s="196"/>
      <c r="CQ84" s="199"/>
      <c r="CR84" s="196"/>
      <c r="CS84" s="196"/>
      <c r="CT84" s="196"/>
      <c r="CU84" s="196"/>
      <c r="CV84" s="196"/>
      <c r="CW84" s="198"/>
      <c r="CX84" s="196"/>
      <c r="CY84" s="196"/>
      <c r="CZ84" s="196"/>
      <c r="DA84" s="196"/>
      <c r="DB84" s="196"/>
      <c r="DC84" s="199"/>
      <c r="DD84" s="196"/>
      <c r="DE84" s="196"/>
      <c r="DF84" s="196"/>
      <c r="DG84" s="196"/>
      <c r="DH84" s="196"/>
      <c r="DI84" s="198"/>
      <c r="DJ84" s="196"/>
      <c r="DK84" s="196"/>
      <c r="DL84" s="196"/>
      <c r="DM84" s="196"/>
      <c r="DN84" s="196"/>
      <c r="DO84" s="199"/>
      <c r="DP84" s="196"/>
      <c r="DQ84" s="196"/>
      <c r="DR84" s="196"/>
      <c r="DS84" s="196"/>
      <c r="DT84" s="196"/>
      <c r="DU84" s="200"/>
      <c r="DV84" s="195"/>
      <c r="DW84" s="196"/>
      <c r="DX84" s="196"/>
      <c r="DY84" s="196"/>
      <c r="DZ84" s="196"/>
      <c r="EA84" s="197"/>
      <c r="EB84" s="196"/>
      <c r="EC84" s="196"/>
      <c r="ED84" s="196"/>
      <c r="EE84" s="196"/>
      <c r="EF84" s="196"/>
      <c r="EG84" s="198"/>
      <c r="EH84" s="196"/>
      <c r="EI84" s="196"/>
      <c r="EJ84" s="196"/>
      <c r="EK84" s="196"/>
      <c r="EL84" s="196"/>
      <c r="EM84" s="199"/>
      <c r="EN84" s="196"/>
      <c r="EO84" s="196"/>
      <c r="EP84" s="196"/>
      <c r="EQ84" s="196"/>
      <c r="ER84" s="196"/>
      <c r="ES84" s="198"/>
      <c r="ET84" s="196"/>
      <c r="EU84" s="196"/>
      <c r="EV84" s="196"/>
      <c r="EW84" s="196"/>
      <c r="EX84" s="196"/>
      <c r="EY84" s="199"/>
      <c r="EZ84" s="196"/>
      <c r="FA84" s="196"/>
      <c r="FB84" s="196"/>
      <c r="FC84" s="196"/>
      <c r="FD84" s="196"/>
      <c r="FE84" s="198"/>
      <c r="FF84" s="196"/>
      <c r="FG84" s="196"/>
      <c r="FH84" s="196"/>
      <c r="FI84" s="196"/>
      <c r="FJ84" s="196"/>
      <c r="FK84" s="199"/>
      <c r="FL84" s="196"/>
      <c r="FM84" s="196"/>
      <c r="FN84" s="196"/>
      <c r="FO84" s="196"/>
      <c r="FP84" s="196"/>
      <c r="FQ84" s="198"/>
      <c r="FR84" s="196"/>
      <c r="FS84" s="196"/>
      <c r="FT84" s="196"/>
      <c r="FU84" s="196"/>
      <c r="FV84" s="196"/>
      <c r="FW84" s="199"/>
      <c r="FX84" s="196"/>
      <c r="FY84" s="196"/>
      <c r="FZ84" s="196"/>
      <c r="GA84" s="196"/>
      <c r="GB84" s="196"/>
      <c r="GC84" s="200"/>
      <c r="GD84" s="195"/>
      <c r="GE84" s="196"/>
      <c r="GF84" s="196"/>
      <c r="GG84" s="196"/>
      <c r="GH84" s="196"/>
      <c r="GI84" s="197"/>
      <c r="GJ84" s="196"/>
      <c r="GK84" s="196"/>
      <c r="GL84" s="196"/>
      <c r="GM84" s="196"/>
      <c r="GN84" s="196"/>
      <c r="GO84" s="198"/>
      <c r="GP84" s="196"/>
      <c r="GQ84" s="196"/>
      <c r="GR84" s="196"/>
      <c r="GS84" s="196"/>
      <c r="GT84" s="196"/>
      <c r="GU84" s="199"/>
      <c r="GV84" s="196"/>
      <c r="GW84" s="196"/>
      <c r="GX84" s="196"/>
      <c r="GY84" s="196"/>
      <c r="GZ84" s="196"/>
      <c r="HA84" s="198"/>
      <c r="HB84" s="196"/>
      <c r="HC84" s="196"/>
      <c r="HD84" s="196"/>
      <c r="HE84" s="196"/>
      <c r="HF84" s="196"/>
      <c r="HG84" s="199"/>
      <c r="HH84" s="196"/>
      <c r="HI84" s="196"/>
      <c r="HJ84" s="196"/>
      <c r="HK84" s="196"/>
      <c r="HL84" s="196"/>
      <c r="HM84" s="198"/>
      <c r="HN84" s="196"/>
      <c r="HO84" s="196"/>
      <c r="HP84" s="196"/>
      <c r="HQ84" s="196"/>
      <c r="HR84" s="196"/>
      <c r="HS84" s="199"/>
      <c r="HT84" s="196"/>
      <c r="HU84" s="196"/>
      <c r="HV84" s="196"/>
      <c r="HW84" s="196"/>
      <c r="HX84" s="196"/>
      <c r="HY84" s="198"/>
      <c r="HZ84" s="196"/>
      <c r="IA84" s="196"/>
      <c r="IB84" s="196"/>
      <c r="IC84" s="196"/>
      <c r="ID84" s="196"/>
      <c r="IE84" s="199"/>
      <c r="IF84" s="196"/>
      <c r="IG84" s="196"/>
      <c r="IH84" s="196"/>
      <c r="II84" s="196"/>
      <c r="IJ84" s="196"/>
      <c r="IK84" s="200"/>
      <c r="IL84" s="195"/>
      <c r="IM84" s="196"/>
      <c r="IN84" s="196"/>
      <c r="IO84" s="196"/>
      <c r="IP84" s="196"/>
      <c r="IQ84" s="197"/>
      <c r="IR84" s="196"/>
      <c r="IS84" s="196"/>
      <c r="IT84" s="196"/>
      <c r="IU84" s="196"/>
      <c r="IV84" s="196"/>
      <c r="IW84" s="198"/>
      <c r="IX84" s="196"/>
      <c r="IY84" s="196"/>
      <c r="IZ84" s="196"/>
      <c r="JA84" s="196"/>
      <c r="JB84" s="196"/>
      <c r="JC84" s="199"/>
      <c r="JD84" s="196"/>
      <c r="JE84" s="196"/>
      <c r="JF84" s="196"/>
      <c r="JG84" s="196"/>
      <c r="JH84" s="196"/>
      <c r="JI84" s="198"/>
      <c r="JJ84" s="196"/>
      <c r="JK84" s="196"/>
      <c r="JL84" s="196"/>
      <c r="JM84" s="196"/>
      <c r="JN84" s="196"/>
      <c r="JO84" s="199"/>
      <c r="JP84" s="196"/>
      <c r="JQ84" s="196"/>
      <c r="JR84" s="196"/>
      <c r="JS84" s="196"/>
      <c r="JT84" s="196"/>
      <c r="JU84" s="198"/>
      <c r="JV84" s="196"/>
      <c r="JW84" s="196"/>
      <c r="JX84" s="196"/>
      <c r="JY84" s="196"/>
      <c r="JZ84" s="196"/>
      <c r="KA84" s="199"/>
      <c r="KB84" s="196"/>
      <c r="KC84" s="196"/>
      <c r="KD84" s="196"/>
      <c r="KE84" s="196"/>
      <c r="KF84" s="196"/>
      <c r="KG84" s="198"/>
      <c r="KH84" s="196"/>
      <c r="KI84" s="196"/>
      <c r="KJ84" s="196"/>
      <c r="KK84" s="196"/>
      <c r="KL84" s="196"/>
      <c r="KM84" s="199"/>
      <c r="KN84" s="196"/>
      <c r="KO84" s="196"/>
      <c r="KP84" s="196"/>
      <c r="KQ84" s="196"/>
      <c r="KR84" s="196"/>
      <c r="KS84" s="200"/>
      <c r="KT84" s="195"/>
      <c r="KU84" s="196"/>
      <c r="KV84" s="196"/>
      <c r="KW84" s="196"/>
      <c r="KX84" s="196"/>
      <c r="KY84" s="197"/>
      <c r="KZ84" s="196"/>
      <c r="LA84" s="196"/>
      <c r="LB84" s="196"/>
      <c r="LC84" s="196"/>
      <c r="LD84" s="196"/>
      <c r="LE84" s="198"/>
      <c r="LF84" s="196"/>
      <c r="LG84" s="196"/>
      <c r="LH84" s="196"/>
      <c r="LI84" s="196"/>
      <c r="LJ84" s="196"/>
      <c r="LK84" s="199"/>
      <c r="LL84" s="196"/>
      <c r="LM84" s="196"/>
      <c r="LN84" s="196"/>
      <c r="LO84" s="196"/>
      <c r="LP84" s="196"/>
      <c r="LQ84" s="198"/>
      <c r="LR84" s="196"/>
      <c r="LS84" s="196"/>
      <c r="LT84" s="196"/>
      <c r="LU84" s="196"/>
      <c r="LV84" s="196"/>
      <c r="LW84" s="199"/>
      <c r="LX84" s="196"/>
      <c r="LY84" s="196"/>
      <c r="LZ84" s="196"/>
      <c r="MA84" s="196"/>
      <c r="MB84" s="196"/>
      <c r="MC84" s="198"/>
      <c r="MD84" s="196"/>
      <c r="ME84" s="196"/>
      <c r="MF84" s="196"/>
      <c r="MG84" s="196"/>
      <c r="MH84" s="196"/>
      <c r="MI84" s="199"/>
      <c r="MJ84" s="196"/>
      <c r="MK84" s="196"/>
      <c r="ML84" s="196"/>
      <c r="MM84" s="196"/>
      <c r="MN84" s="196"/>
      <c r="MO84" s="198"/>
      <c r="MP84" s="196"/>
      <c r="MQ84" s="196"/>
      <c r="MR84" s="196"/>
      <c r="MS84" s="196"/>
      <c r="MT84" s="196"/>
      <c r="MU84" s="199"/>
      <c r="MV84" s="196"/>
      <c r="MW84" s="196"/>
      <c r="MX84" s="196"/>
      <c r="MY84" s="196"/>
      <c r="MZ84" s="196"/>
      <c r="NA84" s="200"/>
      <c r="NB84" s="195"/>
      <c r="NC84" s="196"/>
      <c r="ND84" s="196"/>
      <c r="NE84" s="196"/>
      <c r="NF84" s="196"/>
      <c r="NG84" s="197"/>
      <c r="NH84" s="196"/>
      <c r="NI84" s="196"/>
      <c r="NJ84" s="196"/>
      <c r="NK84" s="196"/>
      <c r="NL84" s="196"/>
      <c r="NM84" s="198"/>
      <c r="NN84" s="196"/>
      <c r="NO84" s="196"/>
      <c r="NP84" s="196"/>
      <c r="NQ84" s="196"/>
      <c r="NR84" s="196"/>
      <c r="NS84" s="199"/>
      <c r="NT84" s="196"/>
      <c r="NU84" s="196"/>
      <c r="NV84" s="196"/>
      <c r="NW84" s="196"/>
      <c r="NX84" s="196"/>
      <c r="NY84" s="198"/>
      <c r="NZ84" s="196"/>
      <c r="OA84" s="196"/>
      <c r="OB84" s="196"/>
      <c r="OC84" s="196"/>
      <c r="OD84" s="196"/>
      <c r="OE84" s="199"/>
      <c r="OF84" s="196"/>
      <c r="OG84" s="196"/>
      <c r="OH84" s="196"/>
      <c r="OI84" s="196"/>
      <c r="OJ84" s="196"/>
      <c r="OK84" s="198"/>
      <c r="OL84" s="196"/>
      <c r="OM84" s="196"/>
      <c r="ON84" s="196"/>
      <c r="OO84" s="196"/>
      <c r="OP84" s="196"/>
      <c r="OQ84" s="199"/>
      <c r="OR84" s="196"/>
      <c r="OS84" s="196"/>
      <c r="OT84" s="196"/>
      <c r="OU84" s="196"/>
      <c r="OV84" s="196"/>
      <c r="OW84" s="198"/>
      <c r="OX84" s="196"/>
      <c r="OY84" s="196"/>
      <c r="OZ84" s="196"/>
      <c r="PA84" s="196"/>
      <c r="PB84" s="196"/>
      <c r="PC84" s="199"/>
      <c r="PD84" s="196"/>
      <c r="PE84" s="196"/>
      <c r="PF84" s="196"/>
      <c r="PG84" s="196"/>
      <c r="PH84" s="196"/>
      <c r="PI84" s="200"/>
      <c r="PJ84" s="195"/>
      <c r="PK84" s="196"/>
      <c r="PL84" s="196"/>
      <c r="PM84" s="196"/>
      <c r="PN84" s="196"/>
      <c r="PO84" s="197"/>
      <c r="PP84" s="196"/>
      <c r="PQ84" s="196"/>
      <c r="PR84" s="196"/>
      <c r="PS84" s="196"/>
      <c r="PT84" s="196"/>
      <c r="PU84" s="198"/>
      <c r="PV84" s="196"/>
      <c r="PW84" s="196"/>
      <c r="PX84" s="196"/>
      <c r="PY84" s="196"/>
      <c r="PZ84" s="196"/>
      <c r="QA84" s="199"/>
      <c r="QB84" s="196"/>
      <c r="QC84" s="196"/>
      <c r="QD84" s="196"/>
      <c r="QE84" s="196"/>
      <c r="QF84" s="196"/>
      <c r="QG84" s="198"/>
      <c r="QH84" s="196"/>
      <c r="QI84" s="196"/>
      <c r="QJ84" s="196"/>
      <c r="QK84" s="196"/>
      <c r="QL84" s="196"/>
      <c r="QM84" s="199"/>
      <c r="QN84" s="196"/>
      <c r="QO84" s="196"/>
      <c r="QP84" s="196"/>
      <c r="QQ84" s="196"/>
      <c r="QR84" s="196"/>
      <c r="QS84" s="198"/>
      <c r="QT84" s="196"/>
      <c r="QU84" s="196"/>
      <c r="QV84" s="196"/>
      <c r="QW84" s="196"/>
      <c r="QX84" s="196"/>
      <c r="QY84" s="199"/>
      <c r="QZ84" s="196"/>
      <c r="RA84" s="196"/>
      <c r="RB84" s="196"/>
      <c r="RC84" s="196"/>
      <c r="RD84" s="196"/>
      <c r="RE84" s="198"/>
      <c r="RF84" s="196"/>
      <c r="RG84" s="196"/>
      <c r="RH84" s="196"/>
      <c r="RI84" s="196"/>
      <c r="RJ84" s="196"/>
      <c r="RK84" s="199"/>
      <c r="RL84" s="196"/>
      <c r="RM84" s="196"/>
      <c r="RN84" s="196"/>
      <c r="RO84" s="196"/>
      <c r="RP84" s="196"/>
      <c r="RQ84" s="200"/>
      <c r="RR84" s="195"/>
      <c r="RS84" s="196"/>
      <c r="RT84" s="196"/>
      <c r="RU84" s="196"/>
      <c r="RV84" s="196"/>
      <c r="RW84" s="197"/>
      <c r="RX84" s="196"/>
      <c r="RY84" s="196"/>
      <c r="RZ84" s="196"/>
      <c r="SA84" s="196"/>
      <c r="SB84" s="196"/>
      <c r="SC84" s="198"/>
      <c r="SD84" s="196"/>
      <c r="SE84" s="196"/>
      <c r="SF84" s="196"/>
      <c r="SG84" s="196"/>
      <c r="SH84" s="196"/>
      <c r="SI84" s="199"/>
      <c r="SJ84" s="196"/>
      <c r="SK84" s="196"/>
      <c r="SL84" s="196"/>
      <c r="SM84" s="196"/>
      <c r="SN84" s="196"/>
      <c r="SO84" s="198"/>
      <c r="SP84" s="196"/>
      <c r="SQ84" s="196"/>
      <c r="SR84" s="196"/>
      <c r="SS84" s="196"/>
      <c r="ST84" s="196"/>
      <c r="SU84" s="199"/>
      <c r="SV84" s="196"/>
      <c r="SW84" s="196"/>
      <c r="SX84" s="196"/>
      <c r="SY84" s="196"/>
      <c r="SZ84" s="196"/>
      <c r="TA84" s="198"/>
      <c r="TB84" s="196"/>
      <c r="TC84" s="196"/>
      <c r="TD84" s="196"/>
      <c r="TE84" s="196"/>
      <c r="TF84" s="196"/>
      <c r="TG84" s="199"/>
      <c r="TH84" s="196"/>
      <c r="TI84" s="196"/>
      <c r="TJ84" s="196"/>
      <c r="TK84" s="196"/>
      <c r="TL84" s="196"/>
      <c r="TM84" s="198"/>
      <c r="TN84" s="196"/>
      <c r="TO84" s="196"/>
      <c r="TP84" s="196"/>
      <c r="TQ84" s="196"/>
      <c r="TR84" s="196"/>
      <c r="TS84" s="199"/>
      <c r="TT84" s="196"/>
      <c r="TU84" s="196"/>
      <c r="TV84" s="196"/>
      <c r="TW84" s="196"/>
      <c r="TX84" s="196"/>
      <c r="TY84" s="200"/>
      <c r="TZ84" s="195"/>
      <c r="UA84" s="196"/>
      <c r="UB84" s="196"/>
      <c r="UC84" s="196"/>
      <c r="UD84" s="196"/>
      <c r="UE84" s="197"/>
      <c r="UF84" s="196"/>
      <c r="UG84" s="196"/>
      <c r="UH84" s="196"/>
      <c r="UI84" s="196"/>
      <c r="UJ84" s="196"/>
      <c r="UK84" s="198"/>
      <c r="UL84" s="196"/>
      <c r="UM84" s="196"/>
      <c r="UN84" s="196"/>
      <c r="UO84" s="196"/>
      <c r="UP84" s="196"/>
      <c r="UQ84" s="199"/>
      <c r="UR84" s="196"/>
      <c r="US84" s="196"/>
      <c r="UT84" s="196"/>
      <c r="UU84" s="196"/>
      <c r="UV84" s="196"/>
      <c r="UW84" s="198"/>
      <c r="UX84" s="196"/>
      <c r="UY84" s="196"/>
      <c r="UZ84" s="196"/>
      <c r="VA84" s="196"/>
      <c r="VB84" s="196"/>
      <c r="VC84" s="199"/>
      <c r="VD84" s="196"/>
      <c r="VE84" s="196"/>
      <c r="VF84" s="196"/>
      <c r="VG84" s="196"/>
      <c r="VH84" s="196"/>
      <c r="VI84" s="198"/>
      <c r="VJ84" s="196"/>
      <c r="VK84" s="196"/>
      <c r="VL84" s="196"/>
      <c r="VM84" s="196"/>
      <c r="VN84" s="196"/>
      <c r="VO84" s="199"/>
      <c r="VP84" s="196"/>
      <c r="VQ84" s="196"/>
      <c r="VR84" s="196"/>
      <c r="VS84" s="196"/>
      <c r="VT84" s="196"/>
      <c r="VU84" s="198"/>
      <c r="VV84" s="196"/>
      <c r="VW84" s="196"/>
      <c r="VX84" s="196"/>
      <c r="VY84" s="196"/>
      <c r="VZ84" s="196"/>
      <c r="WA84" s="199"/>
      <c r="WB84" s="196"/>
      <c r="WC84" s="196"/>
      <c r="WD84" s="196"/>
      <c r="WE84" s="196"/>
      <c r="WF84" s="196"/>
      <c r="WG84" s="200"/>
      <c r="WH84" s="195"/>
      <c r="WI84" s="196"/>
      <c r="WJ84" s="196"/>
      <c r="WK84" s="196"/>
      <c r="WL84" s="196"/>
      <c r="WM84" s="197"/>
      <c r="WN84" s="196"/>
      <c r="WO84" s="196"/>
      <c r="WP84" s="196"/>
      <c r="WQ84" s="196"/>
      <c r="WR84" s="196"/>
      <c r="WS84" s="198"/>
      <c r="WT84" s="196"/>
      <c r="WU84" s="196"/>
      <c r="WV84" s="196"/>
      <c r="WW84" s="196"/>
      <c r="WX84" s="196"/>
      <c r="WY84" s="199"/>
      <c r="WZ84" s="196"/>
      <c r="XA84" s="196"/>
      <c r="XB84" s="196"/>
      <c r="XC84" s="196"/>
      <c r="XD84" s="196"/>
      <c r="XE84" s="198"/>
      <c r="XF84" s="196"/>
      <c r="XG84" s="196"/>
      <c r="XH84" s="196"/>
      <c r="XI84" s="196"/>
      <c r="XJ84" s="196"/>
      <c r="XK84" s="199"/>
      <c r="XL84" s="196"/>
      <c r="XM84" s="196"/>
      <c r="XN84" s="196"/>
      <c r="XO84" s="196"/>
      <c r="XP84" s="196"/>
      <c r="XQ84" s="198"/>
      <c r="XR84" s="196"/>
      <c r="XS84" s="196"/>
      <c r="XT84" s="196"/>
      <c r="XU84" s="196"/>
      <c r="XV84" s="196"/>
      <c r="XW84" s="199"/>
      <c r="XX84" s="196"/>
      <c r="XY84" s="196"/>
      <c r="XZ84" s="196"/>
      <c r="YA84" s="196"/>
      <c r="YB84" s="196"/>
      <c r="YC84" s="198"/>
      <c r="YD84" s="196"/>
      <c r="YE84" s="196"/>
      <c r="YF84" s="196"/>
      <c r="YG84" s="196"/>
      <c r="YH84" s="196"/>
      <c r="YI84" s="199"/>
      <c r="YJ84" s="196"/>
      <c r="YK84" s="196"/>
      <c r="YL84" s="196"/>
      <c r="YM84" s="196"/>
      <c r="YN84" s="196"/>
      <c r="YO84" s="200"/>
      <c r="YP84" s="195"/>
      <c r="YQ84" s="196"/>
      <c r="YR84" s="196"/>
      <c r="YS84" s="196"/>
      <c r="YT84" s="196"/>
      <c r="YU84" s="197"/>
      <c r="YV84" s="196"/>
      <c r="YW84" s="196"/>
      <c r="YX84" s="196"/>
      <c r="YY84" s="196"/>
      <c r="YZ84" s="196"/>
      <c r="ZA84" s="198"/>
      <c r="ZB84" s="196"/>
      <c r="ZC84" s="196"/>
      <c r="ZD84" s="196"/>
      <c r="ZE84" s="196"/>
      <c r="ZF84" s="196"/>
      <c r="ZG84" s="199"/>
      <c r="ZH84" s="196"/>
      <c r="ZI84" s="196"/>
      <c r="ZJ84" s="196"/>
      <c r="ZK84" s="196"/>
      <c r="ZL84" s="196"/>
      <c r="ZM84" s="198"/>
      <c r="ZN84" s="196"/>
      <c r="ZO84" s="196"/>
      <c r="ZP84" s="196"/>
      <c r="ZQ84" s="196"/>
      <c r="ZR84" s="196"/>
      <c r="ZS84" s="199"/>
      <c r="ZT84" s="196"/>
      <c r="ZU84" s="196"/>
      <c r="ZV84" s="196"/>
      <c r="ZW84" s="196"/>
      <c r="ZX84" s="196"/>
      <c r="ZY84" s="198"/>
      <c r="ZZ84" s="196"/>
      <c r="AAA84" s="196"/>
      <c r="AAB84" s="196"/>
      <c r="AAC84" s="196"/>
      <c r="AAD84" s="196"/>
      <c r="AAE84" s="199"/>
      <c r="AAF84" s="196"/>
      <c r="AAG84" s="196"/>
      <c r="AAH84" s="196"/>
      <c r="AAI84" s="196"/>
      <c r="AAJ84" s="196"/>
      <c r="AAK84" s="198"/>
      <c r="AAL84" s="196"/>
      <c r="AAM84" s="196"/>
      <c r="AAN84" s="196"/>
      <c r="AAO84" s="196"/>
      <c r="AAP84" s="196"/>
      <c r="AAQ84" s="199"/>
      <c r="AAR84" s="196"/>
      <c r="AAS84" s="196"/>
      <c r="AAT84" s="196"/>
      <c r="AAU84" s="196"/>
      <c r="AAV84" s="196"/>
      <c r="AAW84" s="200"/>
      <c r="AAX84" s="195"/>
      <c r="AAY84" s="196"/>
      <c r="AAZ84" s="196"/>
      <c r="ABA84" s="196"/>
      <c r="ABB84" s="196"/>
      <c r="ABC84" s="197"/>
      <c r="ABD84" s="196"/>
      <c r="ABE84" s="196"/>
      <c r="ABF84" s="196"/>
      <c r="ABG84" s="196"/>
      <c r="ABH84" s="196"/>
      <c r="ABI84" s="198"/>
      <c r="ABJ84" s="196"/>
      <c r="ABK84" s="196"/>
      <c r="ABL84" s="196"/>
      <c r="ABM84" s="196"/>
      <c r="ABN84" s="196"/>
      <c r="ABO84" s="199"/>
      <c r="ABP84" s="196"/>
      <c r="ABQ84" s="196"/>
      <c r="ABR84" s="196"/>
      <c r="ABS84" s="196"/>
      <c r="ABT84" s="196"/>
      <c r="ABU84" s="198"/>
      <c r="ABV84" s="196"/>
      <c r="ABW84" s="196"/>
      <c r="ABX84" s="196"/>
      <c r="ABY84" s="196"/>
      <c r="ABZ84" s="196"/>
      <c r="ACA84" s="199"/>
      <c r="ACB84" s="196"/>
      <c r="ACC84" s="196"/>
      <c r="ACD84" s="196"/>
      <c r="ACE84" s="196"/>
      <c r="ACF84" s="196"/>
      <c r="ACG84" s="198"/>
      <c r="ACH84" s="196"/>
      <c r="ACI84" s="196"/>
      <c r="ACJ84" s="196"/>
      <c r="ACK84" s="196"/>
      <c r="ACL84" s="196"/>
      <c r="ACM84" s="199"/>
      <c r="ACN84" s="196"/>
      <c r="ACO84" s="196"/>
      <c r="ACP84" s="196"/>
      <c r="ACQ84" s="196"/>
      <c r="ACR84" s="196"/>
      <c r="ACS84" s="198"/>
      <c r="ACT84" s="196"/>
      <c r="ACU84" s="196"/>
      <c r="ACV84" s="196"/>
      <c r="ACW84" s="196"/>
      <c r="ACX84" s="196"/>
      <c r="ACY84" s="199"/>
      <c r="ACZ84" s="196"/>
      <c r="ADA84" s="196"/>
      <c r="ADB84" s="196"/>
      <c r="ADC84" s="196"/>
      <c r="ADD84" s="196"/>
      <c r="ADE84" s="200"/>
      <c r="ADF84" s="195"/>
      <c r="ADG84" s="196"/>
      <c r="ADH84" s="196"/>
      <c r="ADI84" s="196"/>
      <c r="ADJ84" s="196"/>
      <c r="ADK84" s="197"/>
      <c r="ADL84" s="196"/>
      <c r="ADM84" s="196"/>
      <c r="ADN84" s="196"/>
      <c r="ADO84" s="196"/>
      <c r="ADP84" s="196"/>
      <c r="ADQ84" s="198"/>
      <c r="ADR84" s="196"/>
      <c r="ADS84" s="196"/>
      <c r="ADT84" s="196"/>
      <c r="ADU84" s="196"/>
      <c r="ADV84" s="196"/>
      <c r="ADW84" s="199"/>
      <c r="ADX84" s="196"/>
      <c r="ADY84" s="196"/>
      <c r="ADZ84" s="196"/>
      <c r="AEA84" s="196"/>
      <c r="AEB84" s="196"/>
      <c r="AEC84" s="198"/>
      <c r="AED84" s="196"/>
      <c r="AEE84" s="196"/>
      <c r="AEF84" s="196"/>
      <c r="AEG84" s="196"/>
      <c r="AEH84" s="196"/>
      <c r="AEI84" s="199"/>
      <c r="AEJ84" s="196"/>
      <c r="AEK84" s="196"/>
      <c r="AEL84" s="196"/>
      <c r="AEM84" s="196"/>
      <c r="AEN84" s="196"/>
      <c r="AEO84" s="198"/>
      <c r="AEP84" s="196"/>
      <c r="AEQ84" s="196"/>
      <c r="AER84" s="196"/>
      <c r="AES84" s="196"/>
      <c r="AET84" s="196"/>
      <c r="AEU84" s="199"/>
      <c r="AEV84" s="196"/>
      <c r="AEW84" s="196"/>
      <c r="AEX84" s="196"/>
      <c r="AEY84" s="196"/>
      <c r="AEZ84" s="196"/>
      <c r="AFA84" s="198"/>
      <c r="AFB84" s="196"/>
      <c r="AFC84" s="196"/>
      <c r="AFD84" s="196"/>
      <c r="AFE84" s="196"/>
      <c r="AFF84" s="196"/>
      <c r="AFG84" s="199"/>
      <c r="AFH84" s="196"/>
      <c r="AFI84" s="196"/>
      <c r="AFJ84" s="196"/>
      <c r="AFK84" s="196"/>
      <c r="AFL84" s="196"/>
      <c r="AFM84" s="200"/>
      <c r="AFN84" s="195"/>
      <c r="AFO84" s="196"/>
      <c r="AFP84" s="196"/>
      <c r="AFQ84" s="196"/>
      <c r="AFR84" s="196"/>
      <c r="AFS84" s="197"/>
      <c r="AFT84" s="196"/>
      <c r="AFU84" s="196"/>
      <c r="AFV84" s="196"/>
      <c r="AFW84" s="196"/>
      <c r="AFX84" s="196"/>
      <c r="AFY84" s="198"/>
      <c r="AFZ84" s="196"/>
      <c r="AGA84" s="196"/>
      <c r="AGB84" s="196"/>
      <c r="AGC84" s="196"/>
      <c r="AGD84" s="196"/>
      <c r="AGE84" s="199"/>
      <c r="AGF84" s="196"/>
      <c r="AGG84" s="196"/>
      <c r="AGH84" s="196"/>
      <c r="AGI84" s="196"/>
      <c r="AGJ84" s="196"/>
      <c r="AGK84" s="198"/>
      <c r="AGL84" s="196"/>
      <c r="AGM84" s="196"/>
      <c r="AGN84" s="196"/>
      <c r="AGO84" s="196"/>
      <c r="AGP84" s="196"/>
      <c r="AGQ84" s="199"/>
      <c r="AGR84" s="196"/>
      <c r="AGS84" s="196"/>
      <c r="AGT84" s="196"/>
      <c r="AGU84" s="196"/>
      <c r="AGV84" s="196"/>
      <c r="AGW84" s="198"/>
      <c r="AGX84" s="196"/>
      <c r="AGY84" s="196"/>
      <c r="AGZ84" s="196"/>
      <c r="AHA84" s="196"/>
      <c r="AHB84" s="196"/>
      <c r="AHC84" s="199"/>
      <c r="AHD84" s="196"/>
      <c r="AHE84" s="196"/>
      <c r="AHF84" s="196"/>
      <c r="AHG84" s="196"/>
      <c r="AHH84" s="196"/>
      <c r="AHI84" s="198"/>
      <c r="AHJ84" s="196"/>
      <c r="AHK84" s="196"/>
      <c r="AHL84" s="196"/>
      <c r="AHM84" s="196"/>
      <c r="AHN84" s="196"/>
      <c r="AHO84" s="199"/>
      <c r="AHP84" s="196"/>
      <c r="AHQ84" s="196"/>
      <c r="AHR84" s="196"/>
      <c r="AHS84" s="196"/>
      <c r="AHT84" s="196"/>
      <c r="AHU84" s="200"/>
      <c r="AHV84" s="195"/>
      <c r="AHW84" s="196"/>
      <c r="AHX84" s="196"/>
      <c r="AHY84" s="196"/>
      <c r="AHZ84" s="196"/>
      <c r="AIA84" s="197"/>
      <c r="AIB84" s="196"/>
      <c r="AIC84" s="196"/>
      <c r="AID84" s="196"/>
      <c r="AIE84" s="196"/>
      <c r="AIF84" s="196"/>
      <c r="AIG84" s="198"/>
      <c r="AIH84" s="196"/>
      <c r="AII84" s="196"/>
      <c r="AIJ84" s="196"/>
      <c r="AIK84" s="196"/>
      <c r="AIL84" s="196"/>
      <c r="AIM84" s="199"/>
      <c r="AIN84" s="196"/>
      <c r="AIO84" s="196"/>
      <c r="AIP84" s="196"/>
      <c r="AIQ84" s="196"/>
      <c r="AIR84" s="196"/>
      <c r="AIS84" s="198"/>
      <c r="AIT84" s="196"/>
      <c r="AIU84" s="196"/>
      <c r="AIV84" s="196"/>
      <c r="AIW84" s="196"/>
      <c r="AIX84" s="196"/>
      <c r="AIY84" s="199"/>
      <c r="AIZ84" s="196"/>
      <c r="AJA84" s="196"/>
      <c r="AJB84" s="196"/>
      <c r="AJC84" s="196"/>
      <c r="AJD84" s="196"/>
      <c r="AJE84" s="198"/>
      <c r="AJF84" s="196"/>
      <c r="AJG84" s="196"/>
      <c r="AJH84" s="196"/>
      <c r="AJI84" s="196"/>
      <c r="AJJ84" s="196"/>
      <c r="AJK84" s="199"/>
      <c r="AJL84" s="196"/>
      <c r="AJM84" s="196"/>
      <c r="AJN84" s="196"/>
      <c r="AJO84" s="196"/>
      <c r="AJP84" s="196"/>
      <c r="AJQ84" s="198"/>
      <c r="AJR84" s="196"/>
      <c r="AJS84" s="196"/>
      <c r="AJT84" s="196"/>
      <c r="AJU84" s="196"/>
      <c r="AJV84" s="196"/>
      <c r="AJW84" s="199"/>
      <c r="AJX84" s="196"/>
      <c r="AJY84" s="196"/>
      <c r="AJZ84" s="196"/>
      <c r="AKA84" s="196"/>
      <c r="AKB84" s="196"/>
      <c r="AKC84" s="200"/>
      <c r="AKD84" s="195"/>
      <c r="AKE84" s="196"/>
      <c r="AKF84" s="196"/>
      <c r="AKG84" s="196"/>
      <c r="AKH84" s="196"/>
      <c r="AKI84" s="197"/>
      <c r="AKJ84" s="196"/>
      <c r="AKK84" s="196"/>
      <c r="AKL84" s="196"/>
      <c r="AKM84" s="196"/>
      <c r="AKN84" s="196"/>
      <c r="AKO84" s="198"/>
      <c r="AKP84" s="196"/>
      <c r="AKQ84" s="196"/>
      <c r="AKR84" s="196"/>
      <c r="AKS84" s="196"/>
      <c r="AKT84" s="196"/>
      <c r="AKU84" s="199"/>
      <c r="AKV84" s="196"/>
      <c r="AKW84" s="196"/>
      <c r="AKX84" s="196"/>
      <c r="AKY84" s="196"/>
      <c r="AKZ84" s="196"/>
      <c r="ALA84" s="198"/>
      <c r="ALB84" s="196"/>
      <c r="ALC84" s="196"/>
      <c r="ALD84" s="196"/>
      <c r="ALE84" s="196"/>
      <c r="ALF84" s="196"/>
      <c r="ALG84" s="199"/>
      <c r="ALH84" s="196"/>
      <c r="ALI84" s="196"/>
      <c r="ALJ84" s="196"/>
      <c r="ALK84" s="196"/>
      <c r="ALL84" s="196"/>
      <c r="ALM84" s="198"/>
      <c r="ALN84" s="196"/>
      <c r="ALO84" s="196"/>
      <c r="ALP84" s="196"/>
      <c r="ALQ84" s="196"/>
      <c r="ALR84" s="196"/>
      <c r="ALS84" s="199"/>
      <c r="ALT84" s="196"/>
      <c r="ALU84" s="196"/>
      <c r="ALV84" s="196"/>
      <c r="ALW84" s="196"/>
      <c r="ALX84" s="196"/>
      <c r="ALY84" s="198"/>
      <c r="ALZ84" s="196"/>
      <c r="AMA84" s="196"/>
      <c r="AMB84" s="196"/>
      <c r="AMC84" s="196"/>
      <c r="AMD84" s="196"/>
      <c r="AME84" s="199"/>
      <c r="AMF84" s="196"/>
      <c r="AMG84" s="196"/>
      <c r="AMH84" s="196"/>
      <c r="AMI84" s="196"/>
      <c r="AMJ84" s="196"/>
      <c r="AMK84" s="200"/>
      <c r="AML84" s="195"/>
      <c r="AMM84" s="196"/>
      <c r="AMN84" s="196"/>
      <c r="AMO84" s="196"/>
      <c r="AMP84" s="196"/>
      <c r="AMQ84" s="197"/>
      <c r="AMR84" s="196"/>
      <c r="AMS84" s="196"/>
      <c r="AMT84" s="196"/>
      <c r="AMU84" s="196"/>
      <c r="AMV84" s="196"/>
      <c r="AMW84" s="198"/>
      <c r="AMX84" s="196"/>
      <c r="AMY84" s="196"/>
      <c r="AMZ84" s="196"/>
      <c r="ANA84" s="196"/>
      <c r="ANB84" s="196"/>
      <c r="ANC84" s="199"/>
      <c r="AND84" s="196"/>
      <c r="ANE84" s="196"/>
      <c r="ANF84" s="196"/>
      <c r="ANG84" s="196"/>
      <c r="ANH84" s="196"/>
      <c r="ANI84" s="198"/>
      <c r="ANJ84" s="196"/>
      <c r="ANK84" s="196"/>
      <c r="ANL84" s="196"/>
      <c r="ANM84" s="196"/>
      <c r="ANN84" s="196"/>
      <c r="ANO84" s="199"/>
      <c r="ANP84" s="196"/>
      <c r="ANQ84" s="196"/>
      <c r="ANR84" s="196"/>
      <c r="ANS84" s="196"/>
      <c r="ANT84" s="196"/>
      <c r="ANU84" s="198"/>
      <c r="ANV84" s="196"/>
      <c r="ANW84" s="196"/>
      <c r="ANX84" s="196"/>
      <c r="ANY84" s="196"/>
      <c r="ANZ84" s="196"/>
      <c r="AOA84" s="199"/>
      <c r="AOB84" s="196"/>
      <c r="AOC84" s="196"/>
      <c r="AOD84" s="196"/>
      <c r="AOE84" s="196"/>
      <c r="AOF84" s="196"/>
      <c r="AOG84" s="198"/>
      <c r="AOH84" s="196"/>
      <c r="AOI84" s="196"/>
      <c r="AOJ84" s="196"/>
      <c r="AOK84" s="196"/>
      <c r="AOL84" s="196"/>
      <c r="AOM84" s="199"/>
      <c r="AON84" s="196"/>
      <c r="AOO84" s="196"/>
      <c r="AOP84" s="196"/>
      <c r="AOQ84" s="196"/>
      <c r="AOR84" s="196"/>
      <c r="AOS84" s="200"/>
      <c r="AOT84" s="195"/>
      <c r="AOU84" s="196"/>
      <c r="AOV84" s="196"/>
      <c r="AOW84" s="196"/>
      <c r="AOX84" s="196"/>
      <c r="AOY84" s="197"/>
      <c r="AOZ84" s="196"/>
      <c r="APA84" s="196"/>
      <c r="APB84" s="196"/>
      <c r="APC84" s="196"/>
      <c r="APD84" s="196"/>
      <c r="APE84" s="198"/>
      <c r="APF84" s="196"/>
      <c r="APG84" s="196"/>
      <c r="APH84" s="196"/>
      <c r="API84" s="196"/>
      <c r="APJ84" s="196"/>
      <c r="APK84" s="199"/>
      <c r="APL84" s="196"/>
      <c r="APM84" s="196"/>
      <c r="APN84" s="196"/>
      <c r="APO84" s="196"/>
      <c r="APP84" s="196"/>
      <c r="APQ84" s="198"/>
      <c r="APR84" s="196"/>
      <c r="APS84" s="196"/>
      <c r="APT84" s="196"/>
      <c r="APU84" s="196"/>
      <c r="APV84" s="196"/>
      <c r="APW84" s="199"/>
      <c r="APX84" s="196"/>
      <c r="APY84" s="196"/>
      <c r="APZ84" s="196"/>
      <c r="AQA84" s="196"/>
      <c r="AQB84" s="196"/>
      <c r="AQC84" s="198"/>
      <c r="AQD84" s="196"/>
      <c r="AQE84" s="196"/>
      <c r="AQF84" s="196"/>
      <c r="AQG84" s="196"/>
      <c r="AQH84" s="196"/>
      <c r="AQI84" s="199"/>
      <c r="AQJ84" s="196"/>
      <c r="AQK84" s="196"/>
      <c r="AQL84" s="196"/>
      <c r="AQM84" s="196"/>
      <c r="AQN84" s="196"/>
      <c r="AQO84" s="198"/>
      <c r="AQP84" s="196"/>
      <c r="AQQ84" s="196"/>
      <c r="AQR84" s="196"/>
      <c r="AQS84" s="196"/>
      <c r="AQT84" s="196"/>
      <c r="AQU84" s="199"/>
      <c r="AQV84" s="196"/>
      <c r="AQW84" s="196"/>
      <c r="AQX84" s="196"/>
      <c r="AQY84" s="196"/>
      <c r="AQZ84" s="196"/>
      <c r="ARA84" s="200"/>
      <c r="ARB84" s="195"/>
      <c r="ARC84" s="196"/>
      <c r="ARD84" s="196"/>
      <c r="ARE84" s="196"/>
      <c r="ARF84" s="196"/>
      <c r="ARG84" s="197"/>
      <c r="ARH84" s="196"/>
      <c r="ARI84" s="196"/>
      <c r="ARJ84" s="196"/>
      <c r="ARK84" s="196"/>
      <c r="ARL84" s="196"/>
      <c r="ARM84" s="198"/>
      <c r="ARN84" s="196"/>
      <c r="ARO84" s="196"/>
      <c r="ARP84" s="196"/>
      <c r="ARQ84" s="196"/>
      <c r="ARR84" s="196"/>
      <c r="ARS84" s="199"/>
      <c r="ART84" s="196"/>
      <c r="ARU84" s="196"/>
      <c r="ARV84" s="196"/>
      <c r="ARW84" s="196"/>
      <c r="ARX84" s="196"/>
      <c r="ARY84" s="198"/>
      <c r="ARZ84" s="196"/>
      <c r="ASA84" s="196"/>
      <c r="ASB84" s="196"/>
      <c r="ASC84" s="196"/>
      <c r="ASD84" s="196"/>
      <c r="ASE84" s="199"/>
      <c r="ASF84" s="196"/>
      <c r="ASG84" s="196"/>
      <c r="ASH84" s="196"/>
      <c r="ASI84" s="196"/>
      <c r="ASJ84" s="196"/>
      <c r="ASK84" s="198"/>
      <c r="ASL84" s="196"/>
      <c r="ASM84" s="196"/>
      <c r="ASN84" s="196"/>
      <c r="ASO84" s="196"/>
      <c r="ASP84" s="196"/>
      <c r="ASQ84" s="199"/>
      <c r="ASR84" s="196"/>
      <c r="ASS84" s="196"/>
      <c r="AST84" s="196"/>
      <c r="ASU84" s="196"/>
      <c r="ASV84" s="196"/>
      <c r="ASW84" s="198"/>
      <c r="ASX84" s="196"/>
      <c r="ASY84" s="196"/>
      <c r="ASZ84" s="196"/>
      <c r="ATA84" s="196"/>
      <c r="ATB84" s="196"/>
      <c r="ATC84" s="199"/>
      <c r="ATD84" s="196"/>
      <c r="ATE84" s="196"/>
      <c r="ATF84" s="196"/>
      <c r="ATG84" s="196"/>
      <c r="ATH84" s="196"/>
      <c r="ATI84" s="200"/>
      <c r="ATJ84" s="195"/>
      <c r="ATK84" s="196"/>
      <c r="ATL84" s="196"/>
      <c r="ATM84" s="196"/>
      <c r="ATN84" s="196"/>
      <c r="ATO84" s="197"/>
      <c r="ATP84" s="196"/>
      <c r="ATQ84" s="196"/>
      <c r="ATR84" s="196"/>
      <c r="ATS84" s="196"/>
      <c r="ATT84" s="196"/>
      <c r="ATU84" s="198"/>
      <c r="ATV84" s="196"/>
      <c r="ATW84" s="196"/>
      <c r="ATX84" s="196"/>
      <c r="ATY84" s="196"/>
      <c r="ATZ84" s="196"/>
      <c r="AUA84" s="199"/>
      <c r="AUB84" s="196"/>
      <c r="AUC84" s="196"/>
      <c r="AUD84" s="196"/>
      <c r="AUE84" s="196"/>
      <c r="AUF84" s="196"/>
      <c r="AUG84" s="198"/>
      <c r="AUH84" s="196"/>
      <c r="AUI84" s="196"/>
      <c r="AUJ84" s="196"/>
      <c r="AUK84" s="196"/>
      <c r="AUL84" s="196"/>
      <c r="AUM84" s="199"/>
      <c r="AUN84" s="196"/>
      <c r="AUO84" s="196"/>
      <c r="AUP84" s="196"/>
      <c r="AUQ84" s="196"/>
      <c r="AUR84" s="196"/>
      <c r="AUS84" s="198"/>
      <c r="AUT84" s="196"/>
      <c r="AUU84" s="196"/>
      <c r="AUV84" s="196"/>
      <c r="AUW84" s="196"/>
      <c r="AUX84" s="196"/>
      <c r="AUY84" s="199"/>
      <c r="AUZ84" s="196"/>
      <c r="AVA84" s="196"/>
      <c r="AVB84" s="196"/>
      <c r="AVC84" s="196"/>
      <c r="AVD84" s="196"/>
      <c r="AVE84" s="198"/>
      <c r="AVF84" s="196"/>
      <c r="AVG84" s="196"/>
      <c r="AVH84" s="196"/>
      <c r="AVI84" s="196"/>
      <c r="AVJ84" s="196"/>
      <c r="AVK84" s="199"/>
      <c r="AVL84" s="196"/>
      <c r="AVM84" s="196"/>
      <c r="AVN84" s="196"/>
      <c r="AVO84" s="196"/>
      <c r="AVP84" s="196"/>
      <c r="AVQ84" s="200"/>
      <c r="AVR84" s="195"/>
      <c r="AVS84" s="196"/>
      <c r="AVT84" s="196"/>
      <c r="AVU84" s="196"/>
      <c r="AVV84" s="196"/>
      <c r="AVW84" s="197"/>
      <c r="AVX84" s="196"/>
      <c r="AVY84" s="196"/>
      <c r="AVZ84" s="196"/>
      <c r="AWA84" s="196"/>
      <c r="AWB84" s="196"/>
      <c r="AWC84" s="198"/>
      <c r="AWD84" s="196"/>
      <c r="AWE84" s="196"/>
      <c r="AWF84" s="196"/>
      <c r="AWG84" s="196"/>
      <c r="AWH84" s="196"/>
      <c r="AWI84" s="199"/>
      <c r="AWJ84" s="196"/>
      <c r="AWK84" s="196"/>
      <c r="AWL84" s="196"/>
      <c r="AWM84" s="196"/>
      <c r="AWN84" s="196"/>
      <c r="AWO84" s="198"/>
      <c r="AWP84" s="196"/>
      <c r="AWQ84" s="196"/>
      <c r="AWR84" s="196"/>
      <c r="AWS84" s="196"/>
      <c r="AWT84" s="196"/>
      <c r="AWU84" s="199"/>
      <c r="AWV84" s="196"/>
      <c r="AWW84" s="196"/>
      <c r="AWX84" s="196"/>
      <c r="AWY84" s="196"/>
      <c r="AWZ84" s="196"/>
      <c r="AXA84" s="198"/>
      <c r="AXB84" s="196"/>
      <c r="AXC84" s="196"/>
      <c r="AXD84" s="196"/>
      <c r="AXE84" s="196"/>
      <c r="AXF84" s="196"/>
      <c r="AXG84" s="199"/>
      <c r="AXH84" s="196"/>
      <c r="AXI84" s="196"/>
      <c r="AXJ84" s="196"/>
      <c r="AXK84" s="196"/>
      <c r="AXL84" s="196"/>
      <c r="AXM84" s="198"/>
      <c r="AXN84" s="196"/>
      <c r="AXO84" s="196"/>
      <c r="AXP84" s="196"/>
      <c r="AXQ84" s="196"/>
      <c r="AXR84" s="196"/>
      <c r="AXS84" s="199"/>
      <c r="AXT84" s="196"/>
      <c r="AXU84" s="196"/>
      <c r="AXV84" s="196"/>
      <c r="AXW84" s="196"/>
      <c r="AXX84" s="196"/>
      <c r="AXY84" s="200"/>
      <c r="AXZ84" s="195"/>
      <c r="AYA84" s="196"/>
      <c r="AYB84" s="196"/>
      <c r="AYC84" s="196"/>
      <c r="AYD84" s="196"/>
      <c r="AYE84" s="197"/>
      <c r="AYF84" s="196"/>
      <c r="AYG84" s="196"/>
      <c r="AYH84" s="196"/>
      <c r="AYI84" s="196"/>
      <c r="AYJ84" s="196"/>
      <c r="AYK84" s="198"/>
      <c r="AYL84" s="196"/>
      <c r="AYM84" s="196"/>
      <c r="AYN84" s="196"/>
      <c r="AYO84" s="196"/>
      <c r="AYP84" s="196"/>
      <c r="AYQ84" s="199"/>
      <c r="AYR84" s="196"/>
      <c r="AYS84" s="196"/>
      <c r="AYT84" s="196"/>
      <c r="AYU84" s="196"/>
      <c r="AYV84" s="196"/>
      <c r="AYW84" s="198"/>
      <c r="AYX84" s="196"/>
      <c r="AYY84" s="196"/>
      <c r="AYZ84" s="196"/>
      <c r="AZA84" s="196"/>
      <c r="AZB84" s="196"/>
      <c r="AZC84" s="199"/>
      <c r="AZD84" s="196"/>
      <c r="AZE84" s="196"/>
      <c r="AZF84" s="196"/>
      <c r="AZG84" s="196"/>
      <c r="AZH84" s="196"/>
      <c r="AZI84" s="198"/>
      <c r="AZJ84" s="196"/>
      <c r="AZK84" s="196"/>
      <c r="AZL84" s="196"/>
      <c r="AZM84" s="196"/>
      <c r="AZN84" s="196"/>
      <c r="AZO84" s="199"/>
      <c r="AZP84" s="196"/>
      <c r="AZQ84" s="196"/>
      <c r="AZR84" s="196"/>
      <c r="AZS84" s="196"/>
      <c r="AZT84" s="196"/>
      <c r="AZU84" s="198"/>
      <c r="AZV84" s="196"/>
      <c r="AZW84" s="196"/>
      <c r="AZX84" s="196"/>
      <c r="AZY84" s="196"/>
      <c r="AZZ84" s="196"/>
      <c r="BAA84" s="199"/>
      <c r="BAB84" s="196"/>
      <c r="BAC84" s="196"/>
      <c r="BAD84" s="196"/>
      <c r="BAE84" s="196"/>
      <c r="BAF84" s="196"/>
      <c r="BAG84" s="200"/>
      <c r="BAH84" s="195"/>
      <c r="BAI84" s="196"/>
      <c r="BAJ84" s="196"/>
      <c r="BAK84" s="196"/>
      <c r="BAL84" s="196"/>
      <c r="BAM84" s="197"/>
      <c r="BAN84" s="196"/>
      <c r="BAO84" s="196"/>
      <c r="BAP84" s="196"/>
      <c r="BAQ84" s="196"/>
      <c r="BAR84" s="196"/>
      <c r="BAS84" s="198"/>
      <c r="BAT84" s="196"/>
      <c r="BAU84" s="196"/>
      <c r="BAV84" s="196"/>
      <c r="BAW84" s="196"/>
      <c r="BAX84" s="196"/>
      <c r="BAY84" s="199"/>
      <c r="BAZ84" s="196"/>
      <c r="BBA84" s="196"/>
      <c r="BBB84" s="196"/>
      <c r="BBC84" s="196"/>
      <c r="BBD84" s="196"/>
      <c r="BBE84" s="198"/>
      <c r="BBF84" s="196"/>
      <c r="BBG84" s="196"/>
      <c r="BBH84" s="196"/>
      <c r="BBI84" s="196"/>
      <c r="BBJ84" s="196"/>
      <c r="BBK84" s="199"/>
      <c r="BBL84" s="196"/>
      <c r="BBM84" s="196"/>
      <c r="BBN84" s="196"/>
      <c r="BBO84" s="196"/>
      <c r="BBP84" s="196"/>
      <c r="BBQ84" s="198"/>
      <c r="BBR84" s="196"/>
      <c r="BBS84" s="196"/>
      <c r="BBT84" s="196"/>
      <c r="BBU84" s="196"/>
      <c r="BBV84" s="196"/>
      <c r="BBW84" s="199"/>
      <c r="BBX84" s="196"/>
      <c r="BBY84" s="196"/>
      <c r="BBZ84" s="196"/>
      <c r="BCA84" s="196"/>
      <c r="BCB84" s="196"/>
      <c r="BCC84" s="198"/>
      <c r="BCD84" s="196"/>
      <c r="BCE84" s="196"/>
      <c r="BCF84" s="196"/>
      <c r="BCG84" s="196"/>
      <c r="BCH84" s="196"/>
      <c r="BCI84" s="199"/>
      <c r="BCJ84" s="196"/>
      <c r="BCK84" s="196"/>
      <c r="BCL84" s="196"/>
      <c r="BCM84" s="196"/>
      <c r="BCN84" s="196"/>
      <c r="BCO84" s="200"/>
      <c r="BCP84" s="195"/>
      <c r="BCQ84" s="196"/>
      <c r="BCR84" s="196"/>
      <c r="BCS84" s="196"/>
      <c r="BCT84" s="196"/>
      <c r="BCU84" s="197"/>
      <c r="BCV84" s="196"/>
      <c r="BCW84" s="196"/>
      <c r="BCX84" s="196"/>
      <c r="BCY84" s="196"/>
      <c r="BCZ84" s="196"/>
      <c r="BDA84" s="198"/>
      <c r="BDB84" s="196"/>
      <c r="BDC84" s="196"/>
      <c r="BDD84" s="196"/>
      <c r="BDE84" s="196"/>
      <c r="BDF84" s="196"/>
      <c r="BDG84" s="199"/>
      <c r="BDH84" s="196"/>
      <c r="BDI84" s="196"/>
      <c r="BDJ84" s="196"/>
      <c r="BDK84" s="196"/>
      <c r="BDL84" s="196"/>
      <c r="BDM84" s="198"/>
      <c r="BDN84" s="196"/>
      <c r="BDO84" s="196"/>
      <c r="BDP84" s="196"/>
      <c r="BDQ84" s="196"/>
      <c r="BDR84" s="196"/>
      <c r="BDS84" s="199"/>
      <c r="BDT84" s="196"/>
      <c r="BDU84" s="196"/>
      <c r="BDV84" s="196"/>
      <c r="BDW84" s="196"/>
      <c r="BDX84" s="196"/>
      <c r="BDY84" s="198"/>
      <c r="BDZ84" s="196"/>
      <c r="BEA84" s="196"/>
      <c r="BEB84" s="196"/>
      <c r="BEC84" s="196"/>
      <c r="BED84" s="196"/>
      <c r="BEE84" s="199"/>
      <c r="BEF84" s="196"/>
      <c r="BEG84" s="196"/>
      <c r="BEH84" s="196"/>
      <c r="BEI84" s="196"/>
      <c r="BEJ84" s="196"/>
      <c r="BEK84" s="198"/>
      <c r="BEL84" s="196"/>
      <c r="BEM84" s="196"/>
      <c r="BEN84" s="196"/>
      <c r="BEO84" s="196"/>
      <c r="BEP84" s="196"/>
      <c r="BEQ84" s="199"/>
      <c r="BER84" s="196"/>
      <c r="BES84" s="196"/>
      <c r="BET84" s="196"/>
      <c r="BEU84" s="196"/>
      <c r="BEV84" s="196"/>
      <c r="BEW84" s="200"/>
      <c r="BEX84" s="195"/>
      <c r="BEY84" s="196"/>
      <c r="BEZ84" s="196"/>
      <c r="BFA84" s="196"/>
      <c r="BFB84" s="196"/>
      <c r="BFC84" s="197"/>
      <c r="BFD84" s="196"/>
      <c r="BFE84" s="196"/>
      <c r="BFF84" s="196"/>
      <c r="BFG84" s="196"/>
      <c r="BFH84" s="196"/>
      <c r="BFI84" s="198"/>
      <c r="BFJ84" s="196"/>
      <c r="BFK84" s="196"/>
      <c r="BFL84" s="196"/>
      <c r="BFM84" s="196"/>
      <c r="BFN84" s="196"/>
      <c r="BFO84" s="199"/>
      <c r="BFP84" s="196"/>
      <c r="BFQ84" s="196"/>
      <c r="BFR84" s="196"/>
      <c r="BFS84" s="196"/>
      <c r="BFT84" s="196"/>
      <c r="BFU84" s="198"/>
      <c r="BFV84" s="196"/>
      <c r="BFW84" s="196"/>
      <c r="BFX84" s="196"/>
      <c r="BFY84" s="196"/>
      <c r="BFZ84" s="196"/>
      <c r="BGA84" s="199"/>
      <c r="BGB84" s="196"/>
      <c r="BGC84" s="196"/>
      <c r="BGD84" s="196"/>
      <c r="BGE84" s="196"/>
      <c r="BGF84" s="196"/>
      <c r="BGG84" s="198"/>
      <c r="BGH84" s="196"/>
      <c r="BGI84" s="196"/>
      <c r="BGJ84" s="196"/>
      <c r="BGK84" s="196"/>
      <c r="BGL84" s="196"/>
      <c r="BGM84" s="199"/>
      <c r="BGN84" s="196"/>
      <c r="BGO84" s="196"/>
      <c r="BGP84" s="196"/>
      <c r="BGQ84" s="196"/>
      <c r="BGR84" s="196"/>
      <c r="BGS84" s="198"/>
      <c r="BGT84" s="196"/>
      <c r="BGU84" s="196"/>
      <c r="BGV84" s="196"/>
      <c r="BGW84" s="196"/>
      <c r="BGX84" s="196"/>
      <c r="BGY84" s="199"/>
      <c r="BGZ84" s="196"/>
      <c r="BHA84" s="196"/>
      <c r="BHB84" s="196"/>
      <c r="BHC84" s="196"/>
      <c r="BHD84" s="196"/>
      <c r="BHE84" s="200"/>
      <c r="BHF84" s="187"/>
      <c r="BHG84" s="188"/>
      <c r="BHH84" s="188"/>
      <c r="BHI84" s="188"/>
      <c r="BHJ84" s="188"/>
      <c r="BHK84" s="188"/>
      <c r="BHL84" s="188"/>
      <c r="BHM84" s="188"/>
      <c r="BHN84" s="188"/>
      <c r="BHO84" s="188"/>
      <c r="BHP84" s="188"/>
      <c r="BHQ84" s="188"/>
      <c r="BHR84" s="188"/>
      <c r="BHS84" s="188"/>
      <c r="BHT84" s="188"/>
      <c r="BHU84" s="188"/>
      <c r="BHV84" s="188"/>
      <c r="BHW84" s="188"/>
      <c r="BHX84" s="188"/>
      <c r="BHY84" s="188"/>
      <c r="BHZ84" s="188"/>
      <c r="BIA84" s="188"/>
      <c r="BIB84" s="188"/>
      <c r="BIC84" s="188"/>
      <c r="BID84" s="188"/>
      <c r="BIE84" s="188"/>
      <c r="BIF84" s="188"/>
      <c r="BIG84" s="188"/>
      <c r="BIH84" s="188"/>
      <c r="BII84" s="188"/>
      <c r="BIJ84" s="188"/>
      <c r="BIK84" s="188"/>
      <c r="BIL84" s="188"/>
      <c r="BIM84" s="188"/>
      <c r="BIN84" s="188"/>
      <c r="BIO84" s="188"/>
      <c r="BIP84" s="188"/>
    </row>
    <row r="85" spans="1:1602" ht="20.100000000000001" customHeight="1" x14ac:dyDescent="0.25">
      <c r="A85" s="78" t="s">
        <v>49</v>
      </c>
      <c r="B85" s="51"/>
      <c r="C85" s="23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87"/>
      <c r="BHG85" s="188"/>
      <c r="BHH85" s="188"/>
      <c r="BHI85" s="188"/>
      <c r="BHJ85" s="188"/>
      <c r="BHK85" s="188"/>
      <c r="BHL85" s="188"/>
      <c r="BHM85" s="188"/>
      <c r="BHN85" s="188"/>
      <c r="BHO85" s="188"/>
      <c r="BHP85" s="188"/>
      <c r="BHQ85" s="188"/>
      <c r="BHR85" s="188"/>
      <c r="BHS85" s="188"/>
      <c r="BHT85" s="188"/>
      <c r="BHU85" s="188"/>
      <c r="BHV85" s="188"/>
      <c r="BHW85" s="188"/>
      <c r="BHX85" s="188"/>
      <c r="BHY85" s="188"/>
      <c r="BHZ85" s="188"/>
      <c r="BIA85" s="188"/>
      <c r="BIB85" s="188"/>
      <c r="BIC85" s="188"/>
      <c r="BID85" s="188"/>
      <c r="BIE85" s="188"/>
      <c r="BIF85" s="188"/>
      <c r="BIG85" s="188"/>
      <c r="BIH85" s="188"/>
      <c r="BII85" s="188"/>
      <c r="BIJ85" s="188"/>
      <c r="BIK85" s="188"/>
      <c r="BIL85" s="188"/>
      <c r="BIM85" s="188"/>
      <c r="BIN85" s="188"/>
      <c r="BIO85" s="188"/>
      <c r="BIP85" s="188"/>
    </row>
    <row r="86" spans="1:1602" ht="20.100000000000001" customHeight="1" x14ac:dyDescent="0.3">
      <c r="A86" s="78" t="s">
        <v>50</v>
      </c>
      <c r="B86" s="51"/>
      <c r="C86" s="231"/>
      <c r="D86" s="121" t="str">
        <f t="shared" si="1"/>
        <v/>
      </c>
      <c r="E86" s="30">
        <v>0</v>
      </c>
      <c r="F86" s="189"/>
      <c r="G86" s="190"/>
      <c r="H86" s="190"/>
      <c r="I86" s="190"/>
      <c r="J86" s="190"/>
      <c r="K86" s="191"/>
      <c r="L86" s="190"/>
      <c r="M86" s="190"/>
      <c r="N86" s="190"/>
      <c r="O86" s="190"/>
      <c r="P86" s="190"/>
      <c r="Q86" s="192"/>
      <c r="R86" s="190"/>
      <c r="S86" s="190"/>
      <c r="T86" s="190"/>
      <c r="U86" s="190"/>
      <c r="V86" s="190"/>
      <c r="W86" s="193"/>
      <c r="X86" s="190"/>
      <c r="Y86" s="190"/>
      <c r="Z86" s="190"/>
      <c r="AA86" s="190"/>
      <c r="AB86" s="190"/>
      <c r="AC86" s="192"/>
      <c r="AD86" s="190"/>
      <c r="AE86" s="190"/>
      <c r="AF86" s="190"/>
      <c r="AG86" s="190"/>
      <c r="AH86" s="190"/>
      <c r="AI86" s="193"/>
      <c r="AJ86" s="190"/>
      <c r="AK86" s="190"/>
      <c r="AL86" s="190"/>
      <c r="AM86" s="190"/>
      <c r="AN86" s="190"/>
      <c r="AO86" s="192"/>
      <c r="AP86" s="190"/>
      <c r="AQ86" s="190"/>
      <c r="AR86" s="190"/>
      <c r="AS86" s="190"/>
      <c r="AT86" s="190"/>
      <c r="AU86" s="193"/>
      <c r="AV86" s="190"/>
      <c r="AW86" s="190"/>
      <c r="AX86" s="190"/>
      <c r="AY86" s="190"/>
      <c r="AZ86" s="190"/>
      <c r="BA86" s="192"/>
      <c r="BB86" s="190"/>
      <c r="BC86" s="190"/>
      <c r="BD86" s="190"/>
      <c r="BE86" s="190"/>
      <c r="BF86" s="190"/>
      <c r="BG86" s="193"/>
      <c r="BH86" s="190"/>
      <c r="BI86" s="190"/>
      <c r="BJ86" s="190"/>
      <c r="BK86" s="190"/>
      <c r="BL86" s="190"/>
      <c r="BM86" s="194"/>
      <c r="BN86" s="189"/>
      <c r="BO86" s="190"/>
      <c r="BP86" s="190"/>
      <c r="BQ86" s="190"/>
      <c r="BR86" s="190"/>
      <c r="BS86" s="191"/>
      <c r="BT86" s="190"/>
      <c r="BU86" s="190"/>
      <c r="BV86" s="190"/>
      <c r="BW86" s="190"/>
      <c r="BX86" s="190"/>
      <c r="BY86" s="192"/>
      <c r="BZ86" s="190"/>
      <c r="CA86" s="190"/>
      <c r="CB86" s="190"/>
      <c r="CC86" s="190"/>
      <c r="CD86" s="190"/>
      <c r="CE86" s="193"/>
      <c r="CF86" s="190"/>
      <c r="CG86" s="190"/>
      <c r="CH86" s="190"/>
      <c r="CI86" s="190"/>
      <c r="CJ86" s="190"/>
      <c r="CK86" s="192"/>
      <c r="CL86" s="190"/>
      <c r="CM86" s="190"/>
      <c r="CN86" s="190"/>
      <c r="CO86" s="190"/>
      <c r="CP86" s="190"/>
      <c r="CQ86" s="193"/>
      <c r="CR86" s="190"/>
      <c r="CS86" s="190"/>
      <c r="CT86" s="190"/>
      <c r="CU86" s="190"/>
      <c r="CV86" s="190"/>
      <c r="CW86" s="192"/>
      <c r="CX86" s="190"/>
      <c r="CY86" s="190"/>
      <c r="CZ86" s="190"/>
      <c r="DA86" s="190"/>
      <c r="DB86" s="190"/>
      <c r="DC86" s="193"/>
      <c r="DD86" s="190"/>
      <c r="DE86" s="190"/>
      <c r="DF86" s="190"/>
      <c r="DG86" s="190"/>
      <c r="DH86" s="190"/>
      <c r="DI86" s="192"/>
      <c r="DJ86" s="190"/>
      <c r="DK86" s="190"/>
      <c r="DL86" s="190"/>
      <c r="DM86" s="190"/>
      <c r="DN86" s="190"/>
      <c r="DO86" s="193"/>
      <c r="DP86" s="190"/>
      <c r="DQ86" s="190"/>
      <c r="DR86" s="190"/>
      <c r="DS86" s="190"/>
      <c r="DT86" s="190"/>
      <c r="DU86" s="194"/>
      <c r="DV86" s="189"/>
      <c r="DW86" s="190"/>
      <c r="DX86" s="190"/>
      <c r="DY86" s="190"/>
      <c r="DZ86" s="190"/>
      <c r="EA86" s="191"/>
      <c r="EB86" s="190"/>
      <c r="EC86" s="190"/>
      <c r="ED86" s="190"/>
      <c r="EE86" s="190"/>
      <c r="EF86" s="190"/>
      <c r="EG86" s="192"/>
      <c r="EH86" s="190"/>
      <c r="EI86" s="190"/>
      <c r="EJ86" s="190"/>
      <c r="EK86" s="190"/>
      <c r="EL86" s="190"/>
      <c r="EM86" s="193"/>
      <c r="EN86" s="190"/>
      <c r="EO86" s="190"/>
      <c r="EP86" s="190"/>
      <c r="EQ86" s="190"/>
      <c r="ER86" s="190"/>
      <c r="ES86" s="192"/>
      <c r="ET86" s="190"/>
      <c r="EU86" s="190"/>
      <c r="EV86" s="190"/>
      <c r="EW86" s="190"/>
      <c r="EX86" s="190"/>
      <c r="EY86" s="193"/>
      <c r="EZ86" s="190"/>
      <c r="FA86" s="190"/>
      <c r="FB86" s="190"/>
      <c r="FC86" s="190"/>
      <c r="FD86" s="190"/>
      <c r="FE86" s="192"/>
      <c r="FF86" s="190"/>
      <c r="FG86" s="190"/>
      <c r="FH86" s="190"/>
      <c r="FI86" s="190"/>
      <c r="FJ86" s="190"/>
      <c r="FK86" s="193"/>
      <c r="FL86" s="190"/>
      <c r="FM86" s="190"/>
      <c r="FN86" s="190"/>
      <c r="FO86" s="190"/>
      <c r="FP86" s="190"/>
      <c r="FQ86" s="192"/>
      <c r="FR86" s="190"/>
      <c r="FS86" s="190"/>
      <c r="FT86" s="190"/>
      <c r="FU86" s="190"/>
      <c r="FV86" s="190"/>
      <c r="FW86" s="193"/>
      <c r="FX86" s="190"/>
      <c r="FY86" s="190"/>
      <c r="FZ86" s="190"/>
      <c r="GA86" s="190"/>
      <c r="GB86" s="190"/>
      <c r="GC86" s="194"/>
      <c r="GD86" s="189"/>
      <c r="GE86" s="190"/>
      <c r="GF86" s="190"/>
      <c r="GG86" s="190"/>
      <c r="GH86" s="190"/>
      <c r="GI86" s="191"/>
      <c r="GJ86" s="190"/>
      <c r="GK86" s="190"/>
      <c r="GL86" s="190"/>
      <c r="GM86" s="190"/>
      <c r="GN86" s="190"/>
      <c r="GO86" s="192"/>
      <c r="GP86" s="190"/>
      <c r="GQ86" s="190"/>
      <c r="GR86" s="190"/>
      <c r="GS86" s="190"/>
      <c r="GT86" s="190"/>
      <c r="GU86" s="193"/>
      <c r="GV86" s="190"/>
      <c r="GW86" s="190"/>
      <c r="GX86" s="190"/>
      <c r="GY86" s="190"/>
      <c r="GZ86" s="190"/>
      <c r="HA86" s="192"/>
      <c r="HB86" s="190"/>
      <c r="HC86" s="190"/>
      <c r="HD86" s="190"/>
      <c r="HE86" s="190"/>
      <c r="HF86" s="190"/>
      <c r="HG86" s="193"/>
      <c r="HH86" s="190"/>
      <c r="HI86" s="190"/>
      <c r="HJ86" s="190"/>
      <c r="HK86" s="190"/>
      <c r="HL86" s="190"/>
      <c r="HM86" s="192"/>
      <c r="HN86" s="190"/>
      <c r="HO86" s="190"/>
      <c r="HP86" s="190"/>
      <c r="HQ86" s="190"/>
      <c r="HR86" s="190"/>
      <c r="HS86" s="193"/>
      <c r="HT86" s="190"/>
      <c r="HU86" s="190"/>
      <c r="HV86" s="190"/>
      <c r="HW86" s="190"/>
      <c r="HX86" s="190"/>
      <c r="HY86" s="192"/>
      <c r="HZ86" s="190"/>
      <c r="IA86" s="190"/>
      <c r="IB86" s="190"/>
      <c r="IC86" s="190"/>
      <c r="ID86" s="190"/>
      <c r="IE86" s="193"/>
      <c r="IF86" s="190"/>
      <c r="IG86" s="190"/>
      <c r="IH86" s="190"/>
      <c r="II86" s="190"/>
      <c r="IJ86" s="190"/>
      <c r="IK86" s="194"/>
      <c r="IL86" s="189"/>
      <c r="IM86" s="190"/>
      <c r="IN86" s="190"/>
      <c r="IO86" s="190"/>
      <c r="IP86" s="190"/>
      <c r="IQ86" s="191"/>
      <c r="IR86" s="190"/>
      <c r="IS86" s="190"/>
      <c r="IT86" s="190"/>
      <c r="IU86" s="190"/>
      <c r="IV86" s="190"/>
      <c r="IW86" s="192"/>
      <c r="IX86" s="190"/>
      <c r="IY86" s="190"/>
      <c r="IZ86" s="190"/>
      <c r="JA86" s="190"/>
      <c r="JB86" s="190"/>
      <c r="JC86" s="193"/>
      <c r="JD86" s="190"/>
      <c r="JE86" s="190"/>
      <c r="JF86" s="190"/>
      <c r="JG86" s="190"/>
      <c r="JH86" s="190"/>
      <c r="JI86" s="192"/>
      <c r="JJ86" s="190"/>
      <c r="JK86" s="190"/>
      <c r="JL86" s="190"/>
      <c r="JM86" s="190"/>
      <c r="JN86" s="190"/>
      <c r="JO86" s="193"/>
      <c r="JP86" s="190"/>
      <c r="JQ86" s="190"/>
      <c r="JR86" s="190"/>
      <c r="JS86" s="190"/>
      <c r="JT86" s="190"/>
      <c r="JU86" s="192"/>
      <c r="JV86" s="190"/>
      <c r="JW86" s="190"/>
      <c r="JX86" s="190"/>
      <c r="JY86" s="190"/>
      <c r="JZ86" s="190"/>
      <c r="KA86" s="193"/>
      <c r="KB86" s="190"/>
      <c r="KC86" s="190"/>
      <c r="KD86" s="190"/>
      <c r="KE86" s="190"/>
      <c r="KF86" s="190"/>
      <c r="KG86" s="192"/>
      <c r="KH86" s="190"/>
      <c r="KI86" s="190"/>
      <c r="KJ86" s="190"/>
      <c r="KK86" s="190"/>
      <c r="KL86" s="190"/>
      <c r="KM86" s="193"/>
      <c r="KN86" s="190"/>
      <c r="KO86" s="190"/>
      <c r="KP86" s="190"/>
      <c r="KQ86" s="190"/>
      <c r="KR86" s="190"/>
      <c r="KS86" s="194"/>
      <c r="KT86" s="189"/>
      <c r="KU86" s="190"/>
      <c r="KV86" s="190"/>
      <c r="KW86" s="190"/>
      <c r="KX86" s="190"/>
      <c r="KY86" s="191"/>
      <c r="KZ86" s="190"/>
      <c r="LA86" s="190"/>
      <c r="LB86" s="190"/>
      <c r="LC86" s="190"/>
      <c r="LD86" s="190"/>
      <c r="LE86" s="192"/>
      <c r="LF86" s="190"/>
      <c r="LG86" s="190"/>
      <c r="LH86" s="190"/>
      <c r="LI86" s="190"/>
      <c r="LJ86" s="190"/>
      <c r="LK86" s="193"/>
      <c r="LL86" s="190"/>
      <c r="LM86" s="190"/>
      <c r="LN86" s="190"/>
      <c r="LO86" s="190"/>
      <c r="LP86" s="190"/>
      <c r="LQ86" s="192"/>
      <c r="LR86" s="190"/>
      <c r="LS86" s="190"/>
      <c r="LT86" s="190"/>
      <c r="LU86" s="190"/>
      <c r="LV86" s="190"/>
      <c r="LW86" s="193"/>
      <c r="LX86" s="190"/>
      <c r="LY86" s="190"/>
      <c r="LZ86" s="190"/>
      <c r="MA86" s="190"/>
      <c r="MB86" s="190"/>
      <c r="MC86" s="192"/>
      <c r="MD86" s="190"/>
      <c r="ME86" s="190"/>
      <c r="MF86" s="190"/>
      <c r="MG86" s="190"/>
      <c r="MH86" s="190"/>
      <c r="MI86" s="193"/>
      <c r="MJ86" s="190"/>
      <c r="MK86" s="190"/>
      <c r="ML86" s="190"/>
      <c r="MM86" s="190"/>
      <c r="MN86" s="190"/>
      <c r="MO86" s="192"/>
      <c r="MP86" s="190"/>
      <c r="MQ86" s="190"/>
      <c r="MR86" s="190"/>
      <c r="MS86" s="190"/>
      <c r="MT86" s="190"/>
      <c r="MU86" s="193"/>
      <c r="MV86" s="190"/>
      <c r="MW86" s="190"/>
      <c r="MX86" s="190"/>
      <c r="MY86" s="190"/>
      <c r="MZ86" s="190"/>
      <c r="NA86" s="194"/>
      <c r="NB86" s="189"/>
      <c r="NC86" s="190"/>
      <c r="ND86" s="190"/>
      <c r="NE86" s="190"/>
      <c r="NF86" s="190"/>
      <c r="NG86" s="191"/>
      <c r="NH86" s="190"/>
      <c r="NI86" s="190"/>
      <c r="NJ86" s="190"/>
      <c r="NK86" s="190"/>
      <c r="NL86" s="190"/>
      <c r="NM86" s="192"/>
      <c r="NN86" s="190"/>
      <c r="NO86" s="190"/>
      <c r="NP86" s="190"/>
      <c r="NQ86" s="190"/>
      <c r="NR86" s="190"/>
      <c r="NS86" s="193"/>
      <c r="NT86" s="190"/>
      <c r="NU86" s="190"/>
      <c r="NV86" s="190"/>
      <c r="NW86" s="190"/>
      <c r="NX86" s="190"/>
      <c r="NY86" s="192"/>
      <c r="NZ86" s="190"/>
      <c r="OA86" s="190"/>
      <c r="OB86" s="190"/>
      <c r="OC86" s="190"/>
      <c r="OD86" s="190"/>
      <c r="OE86" s="193"/>
      <c r="OF86" s="190"/>
      <c r="OG86" s="190"/>
      <c r="OH86" s="190"/>
      <c r="OI86" s="190"/>
      <c r="OJ86" s="190"/>
      <c r="OK86" s="192"/>
      <c r="OL86" s="190"/>
      <c r="OM86" s="190"/>
      <c r="ON86" s="190"/>
      <c r="OO86" s="190"/>
      <c r="OP86" s="190"/>
      <c r="OQ86" s="193"/>
      <c r="OR86" s="190"/>
      <c r="OS86" s="190"/>
      <c r="OT86" s="190"/>
      <c r="OU86" s="190"/>
      <c r="OV86" s="190"/>
      <c r="OW86" s="192"/>
      <c r="OX86" s="190"/>
      <c r="OY86" s="190"/>
      <c r="OZ86" s="190"/>
      <c r="PA86" s="190"/>
      <c r="PB86" s="190"/>
      <c r="PC86" s="193"/>
      <c r="PD86" s="190"/>
      <c r="PE86" s="190"/>
      <c r="PF86" s="190"/>
      <c r="PG86" s="190"/>
      <c r="PH86" s="190"/>
      <c r="PI86" s="194"/>
      <c r="PJ86" s="189"/>
      <c r="PK86" s="190"/>
      <c r="PL86" s="190"/>
      <c r="PM86" s="190"/>
      <c r="PN86" s="190"/>
      <c r="PO86" s="191"/>
      <c r="PP86" s="190"/>
      <c r="PQ86" s="190"/>
      <c r="PR86" s="190"/>
      <c r="PS86" s="190"/>
      <c r="PT86" s="190"/>
      <c r="PU86" s="192"/>
      <c r="PV86" s="190"/>
      <c r="PW86" s="190"/>
      <c r="PX86" s="190"/>
      <c r="PY86" s="190"/>
      <c r="PZ86" s="190"/>
      <c r="QA86" s="193"/>
      <c r="QB86" s="190"/>
      <c r="QC86" s="190"/>
      <c r="QD86" s="190"/>
      <c r="QE86" s="190"/>
      <c r="QF86" s="190"/>
      <c r="QG86" s="192"/>
      <c r="QH86" s="190"/>
      <c r="QI86" s="190"/>
      <c r="QJ86" s="190"/>
      <c r="QK86" s="190"/>
      <c r="QL86" s="190"/>
      <c r="QM86" s="193"/>
      <c r="QN86" s="190"/>
      <c r="QO86" s="190"/>
      <c r="QP86" s="190"/>
      <c r="QQ86" s="190"/>
      <c r="QR86" s="190"/>
      <c r="QS86" s="192"/>
      <c r="QT86" s="190"/>
      <c r="QU86" s="190"/>
      <c r="QV86" s="190"/>
      <c r="QW86" s="190"/>
      <c r="QX86" s="190"/>
      <c r="QY86" s="193"/>
      <c r="QZ86" s="190"/>
      <c r="RA86" s="190"/>
      <c r="RB86" s="190"/>
      <c r="RC86" s="190"/>
      <c r="RD86" s="190"/>
      <c r="RE86" s="192"/>
      <c r="RF86" s="190"/>
      <c r="RG86" s="190"/>
      <c r="RH86" s="190"/>
      <c r="RI86" s="190"/>
      <c r="RJ86" s="190"/>
      <c r="RK86" s="193"/>
      <c r="RL86" s="190"/>
      <c r="RM86" s="190"/>
      <c r="RN86" s="190"/>
      <c r="RO86" s="190"/>
      <c r="RP86" s="190"/>
      <c r="RQ86" s="194"/>
      <c r="RR86" s="189"/>
      <c r="RS86" s="190"/>
      <c r="RT86" s="190"/>
      <c r="RU86" s="190"/>
      <c r="RV86" s="190"/>
      <c r="RW86" s="191"/>
      <c r="RX86" s="190"/>
      <c r="RY86" s="190"/>
      <c r="RZ86" s="190"/>
      <c r="SA86" s="190"/>
      <c r="SB86" s="190"/>
      <c r="SC86" s="192"/>
      <c r="SD86" s="190"/>
      <c r="SE86" s="190"/>
      <c r="SF86" s="190"/>
      <c r="SG86" s="190"/>
      <c r="SH86" s="190"/>
      <c r="SI86" s="193"/>
      <c r="SJ86" s="190"/>
      <c r="SK86" s="190"/>
      <c r="SL86" s="190"/>
      <c r="SM86" s="190"/>
      <c r="SN86" s="190"/>
      <c r="SO86" s="192"/>
      <c r="SP86" s="190"/>
      <c r="SQ86" s="190"/>
      <c r="SR86" s="190"/>
      <c r="SS86" s="190"/>
      <c r="ST86" s="190"/>
      <c r="SU86" s="193"/>
      <c r="SV86" s="190"/>
      <c r="SW86" s="190"/>
      <c r="SX86" s="190"/>
      <c r="SY86" s="190"/>
      <c r="SZ86" s="190"/>
      <c r="TA86" s="192"/>
      <c r="TB86" s="190"/>
      <c r="TC86" s="190"/>
      <c r="TD86" s="190"/>
      <c r="TE86" s="190"/>
      <c r="TF86" s="190"/>
      <c r="TG86" s="193"/>
      <c r="TH86" s="190"/>
      <c r="TI86" s="190"/>
      <c r="TJ86" s="190"/>
      <c r="TK86" s="190"/>
      <c r="TL86" s="190"/>
      <c r="TM86" s="192"/>
      <c r="TN86" s="190"/>
      <c r="TO86" s="190"/>
      <c r="TP86" s="190"/>
      <c r="TQ86" s="190"/>
      <c r="TR86" s="190"/>
      <c r="TS86" s="193"/>
      <c r="TT86" s="190"/>
      <c r="TU86" s="190"/>
      <c r="TV86" s="190"/>
      <c r="TW86" s="190"/>
      <c r="TX86" s="190"/>
      <c r="TY86" s="194"/>
      <c r="TZ86" s="189"/>
      <c r="UA86" s="190"/>
      <c r="UB86" s="190"/>
      <c r="UC86" s="190"/>
      <c r="UD86" s="190"/>
      <c r="UE86" s="191"/>
      <c r="UF86" s="190"/>
      <c r="UG86" s="190"/>
      <c r="UH86" s="190"/>
      <c r="UI86" s="190"/>
      <c r="UJ86" s="190"/>
      <c r="UK86" s="192"/>
      <c r="UL86" s="190"/>
      <c r="UM86" s="190"/>
      <c r="UN86" s="190"/>
      <c r="UO86" s="190"/>
      <c r="UP86" s="190"/>
      <c r="UQ86" s="193"/>
      <c r="UR86" s="190"/>
      <c r="US86" s="190"/>
      <c r="UT86" s="190"/>
      <c r="UU86" s="190"/>
      <c r="UV86" s="190"/>
      <c r="UW86" s="192"/>
      <c r="UX86" s="190"/>
      <c r="UY86" s="190"/>
      <c r="UZ86" s="190"/>
      <c r="VA86" s="190"/>
      <c r="VB86" s="190"/>
      <c r="VC86" s="193"/>
      <c r="VD86" s="190"/>
      <c r="VE86" s="190"/>
      <c r="VF86" s="190"/>
      <c r="VG86" s="190"/>
      <c r="VH86" s="190"/>
      <c r="VI86" s="192"/>
      <c r="VJ86" s="190"/>
      <c r="VK86" s="190"/>
      <c r="VL86" s="190"/>
      <c r="VM86" s="190"/>
      <c r="VN86" s="190"/>
      <c r="VO86" s="193"/>
      <c r="VP86" s="190"/>
      <c r="VQ86" s="190"/>
      <c r="VR86" s="190"/>
      <c r="VS86" s="190"/>
      <c r="VT86" s="190"/>
      <c r="VU86" s="192"/>
      <c r="VV86" s="190"/>
      <c r="VW86" s="190"/>
      <c r="VX86" s="190"/>
      <c r="VY86" s="190"/>
      <c r="VZ86" s="190"/>
      <c r="WA86" s="193"/>
      <c r="WB86" s="190"/>
      <c r="WC86" s="190"/>
      <c r="WD86" s="190"/>
      <c r="WE86" s="190"/>
      <c r="WF86" s="190"/>
      <c r="WG86" s="194"/>
      <c r="WH86" s="189"/>
      <c r="WI86" s="190"/>
      <c r="WJ86" s="190"/>
      <c r="WK86" s="190"/>
      <c r="WL86" s="190"/>
      <c r="WM86" s="191"/>
      <c r="WN86" s="190"/>
      <c r="WO86" s="190"/>
      <c r="WP86" s="190"/>
      <c r="WQ86" s="190"/>
      <c r="WR86" s="190"/>
      <c r="WS86" s="192"/>
      <c r="WT86" s="190"/>
      <c r="WU86" s="190"/>
      <c r="WV86" s="190"/>
      <c r="WW86" s="190"/>
      <c r="WX86" s="190"/>
      <c r="WY86" s="193"/>
      <c r="WZ86" s="190"/>
      <c r="XA86" s="190"/>
      <c r="XB86" s="190"/>
      <c r="XC86" s="190"/>
      <c r="XD86" s="190"/>
      <c r="XE86" s="192"/>
      <c r="XF86" s="190"/>
      <c r="XG86" s="190"/>
      <c r="XH86" s="190"/>
      <c r="XI86" s="190"/>
      <c r="XJ86" s="190"/>
      <c r="XK86" s="193"/>
      <c r="XL86" s="190"/>
      <c r="XM86" s="190"/>
      <c r="XN86" s="190"/>
      <c r="XO86" s="190"/>
      <c r="XP86" s="190"/>
      <c r="XQ86" s="192"/>
      <c r="XR86" s="190"/>
      <c r="XS86" s="190"/>
      <c r="XT86" s="190"/>
      <c r="XU86" s="190"/>
      <c r="XV86" s="190"/>
      <c r="XW86" s="193"/>
      <c r="XX86" s="190"/>
      <c r="XY86" s="190"/>
      <c r="XZ86" s="190"/>
      <c r="YA86" s="190"/>
      <c r="YB86" s="190"/>
      <c r="YC86" s="192"/>
      <c r="YD86" s="190"/>
      <c r="YE86" s="190"/>
      <c r="YF86" s="190"/>
      <c r="YG86" s="190"/>
      <c r="YH86" s="190"/>
      <c r="YI86" s="193"/>
      <c r="YJ86" s="190"/>
      <c r="YK86" s="190"/>
      <c r="YL86" s="190"/>
      <c r="YM86" s="190"/>
      <c r="YN86" s="190"/>
      <c r="YO86" s="194"/>
      <c r="YP86" s="189"/>
      <c r="YQ86" s="190"/>
      <c r="YR86" s="190"/>
      <c r="YS86" s="190"/>
      <c r="YT86" s="190"/>
      <c r="YU86" s="191"/>
      <c r="YV86" s="190"/>
      <c r="YW86" s="190"/>
      <c r="YX86" s="190"/>
      <c r="YY86" s="190"/>
      <c r="YZ86" s="190"/>
      <c r="ZA86" s="192"/>
      <c r="ZB86" s="190"/>
      <c r="ZC86" s="190"/>
      <c r="ZD86" s="190"/>
      <c r="ZE86" s="190"/>
      <c r="ZF86" s="190"/>
      <c r="ZG86" s="193"/>
      <c r="ZH86" s="190"/>
      <c r="ZI86" s="190"/>
      <c r="ZJ86" s="190"/>
      <c r="ZK86" s="190"/>
      <c r="ZL86" s="190"/>
      <c r="ZM86" s="192"/>
      <c r="ZN86" s="190"/>
      <c r="ZO86" s="190"/>
      <c r="ZP86" s="190"/>
      <c r="ZQ86" s="190"/>
      <c r="ZR86" s="190"/>
      <c r="ZS86" s="193"/>
      <c r="ZT86" s="190"/>
      <c r="ZU86" s="190"/>
      <c r="ZV86" s="190"/>
      <c r="ZW86" s="190"/>
      <c r="ZX86" s="190"/>
      <c r="ZY86" s="192"/>
      <c r="ZZ86" s="190"/>
      <c r="AAA86" s="190"/>
      <c r="AAB86" s="190"/>
      <c r="AAC86" s="190"/>
      <c r="AAD86" s="190"/>
      <c r="AAE86" s="193"/>
      <c r="AAF86" s="190"/>
      <c r="AAG86" s="190"/>
      <c r="AAH86" s="190"/>
      <c r="AAI86" s="190"/>
      <c r="AAJ86" s="190"/>
      <c r="AAK86" s="192"/>
      <c r="AAL86" s="190"/>
      <c r="AAM86" s="190"/>
      <c r="AAN86" s="190"/>
      <c r="AAO86" s="190"/>
      <c r="AAP86" s="190"/>
      <c r="AAQ86" s="193"/>
      <c r="AAR86" s="190"/>
      <c r="AAS86" s="190"/>
      <c r="AAT86" s="190"/>
      <c r="AAU86" s="190"/>
      <c r="AAV86" s="190"/>
      <c r="AAW86" s="194"/>
      <c r="AAX86" s="189"/>
      <c r="AAY86" s="190"/>
      <c r="AAZ86" s="190"/>
      <c r="ABA86" s="190"/>
      <c r="ABB86" s="190"/>
      <c r="ABC86" s="191"/>
      <c r="ABD86" s="190"/>
      <c r="ABE86" s="190"/>
      <c r="ABF86" s="190"/>
      <c r="ABG86" s="190"/>
      <c r="ABH86" s="190"/>
      <c r="ABI86" s="192"/>
      <c r="ABJ86" s="190"/>
      <c r="ABK86" s="190"/>
      <c r="ABL86" s="190"/>
      <c r="ABM86" s="190"/>
      <c r="ABN86" s="190"/>
      <c r="ABO86" s="193"/>
      <c r="ABP86" s="190"/>
      <c r="ABQ86" s="190"/>
      <c r="ABR86" s="190"/>
      <c r="ABS86" s="190"/>
      <c r="ABT86" s="190"/>
      <c r="ABU86" s="192"/>
      <c r="ABV86" s="190"/>
      <c r="ABW86" s="190"/>
      <c r="ABX86" s="190"/>
      <c r="ABY86" s="190"/>
      <c r="ABZ86" s="190"/>
      <c r="ACA86" s="193"/>
      <c r="ACB86" s="190"/>
      <c r="ACC86" s="190"/>
      <c r="ACD86" s="190"/>
      <c r="ACE86" s="190"/>
      <c r="ACF86" s="190"/>
      <c r="ACG86" s="192"/>
      <c r="ACH86" s="190"/>
      <c r="ACI86" s="190"/>
      <c r="ACJ86" s="190"/>
      <c r="ACK86" s="190"/>
      <c r="ACL86" s="190"/>
      <c r="ACM86" s="193"/>
      <c r="ACN86" s="190"/>
      <c r="ACO86" s="190"/>
      <c r="ACP86" s="190"/>
      <c r="ACQ86" s="190"/>
      <c r="ACR86" s="190"/>
      <c r="ACS86" s="192"/>
      <c r="ACT86" s="190"/>
      <c r="ACU86" s="190"/>
      <c r="ACV86" s="190"/>
      <c r="ACW86" s="190"/>
      <c r="ACX86" s="190"/>
      <c r="ACY86" s="193"/>
      <c r="ACZ86" s="190"/>
      <c r="ADA86" s="190"/>
      <c r="ADB86" s="190"/>
      <c r="ADC86" s="190"/>
      <c r="ADD86" s="190"/>
      <c r="ADE86" s="194"/>
      <c r="ADF86" s="189"/>
      <c r="ADG86" s="190"/>
      <c r="ADH86" s="190"/>
      <c r="ADI86" s="190"/>
      <c r="ADJ86" s="190"/>
      <c r="ADK86" s="191"/>
      <c r="ADL86" s="190"/>
      <c r="ADM86" s="190"/>
      <c r="ADN86" s="190"/>
      <c r="ADO86" s="190"/>
      <c r="ADP86" s="190"/>
      <c r="ADQ86" s="192"/>
      <c r="ADR86" s="190"/>
      <c r="ADS86" s="190"/>
      <c r="ADT86" s="190"/>
      <c r="ADU86" s="190"/>
      <c r="ADV86" s="190"/>
      <c r="ADW86" s="193"/>
      <c r="ADX86" s="190"/>
      <c r="ADY86" s="190"/>
      <c r="ADZ86" s="190"/>
      <c r="AEA86" s="190"/>
      <c r="AEB86" s="190"/>
      <c r="AEC86" s="192"/>
      <c r="AED86" s="190"/>
      <c r="AEE86" s="190"/>
      <c r="AEF86" s="190"/>
      <c r="AEG86" s="190"/>
      <c r="AEH86" s="190"/>
      <c r="AEI86" s="193"/>
      <c r="AEJ86" s="190"/>
      <c r="AEK86" s="190"/>
      <c r="AEL86" s="190"/>
      <c r="AEM86" s="190"/>
      <c r="AEN86" s="190"/>
      <c r="AEO86" s="192"/>
      <c r="AEP86" s="190"/>
      <c r="AEQ86" s="190"/>
      <c r="AER86" s="190"/>
      <c r="AES86" s="190"/>
      <c r="AET86" s="190"/>
      <c r="AEU86" s="193"/>
      <c r="AEV86" s="190"/>
      <c r="AEW86" s="190"/>
      <c r="AEX86" s="190"/>
      <c r="AEY86" s="190"/>
      <c r="AEZ86" s="190"/>
      <c r="AFA86" s="192"/>
      <c r="AFB86" s="190"/>
      <c r="AFC86" s="190"/>
      <c r="AFD86" s="190"/>
      <c r="AFE86" s="190"/>
      <c r="AFF86" s="190"/>
      <c r="AFG86" s="193"/>
      <c r="AFH86" s="190"/>
      <c r="AFI86" s="190"/>
      <c r="AFJ86" s="190"/>
      <c r="AFK86" s="190"/>
      <c r="AFL86" s="190"/>
      <c r="AFM86" s="194"/>
      <c r="AFN86" s="189"/>
      <c r="AFO86" s="190"/>
      <c r="AFP86" s="190"/>
      <c r="AFQ86" s="190"/>
      <c r="AFR86" s="190"/>
      <c r="AFS86" s="191"/>
      <c r="AFT86" s="190"/>
      <c r="AFU86" s="190"/>
      <c r="AFV86" s="190"/>
      <c r="AFW86" s="190"/>
      <c r="AFX86" s="190"/>
      <c r="AFY86" s="192"/>
      <c r="AFZ86" s="190"/>
      <c r="AGA86" s="190"/>
      <c r="AGB86" s="190"/>
      <c r="AGC86" s="190"/>
      <c r="AGD86" s="190"/>
      <c r="AGE86" s="193"/>
      <c r="AGF86" s="190"/>
      <c r="AGG86" s="190"/>
      <c r="AGH86" s="190"/>
      <c r="AGI86" s="190"/>
      <c r="AGJ86" s="190"/>
      <c r="AGK86" s="192"/>
      <c r="AGL86" s="190"/>
      <c r="AGM86" s="190"/>
      <c r="AGN86" s="190"/>
      <c r="AGO86" s="190"/>
      <c r="AGP86" s="190"/>
      <c r="AGQ86" s="193"/>
      <c r="AGR86" s="190"/>
      <c r="AGS86" s="190"/>
      <c r="AGT86" s="190"/>
      <c r="AGU86" s="190"/>
      <c r="AGV86" s="190"/>
      <c r="AGW86" s="192"/>
      <c r="AGX86" s="190"/>
      <c r="AGY86" s="190"/>
      <c r="AGZ86" s="190"/>
      <c r="AHA86" s="190"/>
      <c r="AHB86" s="190"/>
      <c r="AHC86" s="193"/>
      <c r="AHD86" s="190"/>
      <c r="AHE86" s="190"/>
      <c r="AHF86" s="190"/>
      <c r="AHG86" s="190"/>
      <c r="AHH86" s="190"/>
      <c r="AHI86" s="192"/>
      <c r="AHJ86" s="190"/>
      <c r="AHK86" s="190"/>
      <c r="AHL86" s="190"/>
      <c r="AHM86" s="190"/>
      <c r="AHN86" s="190"/>
      <c r="AHO86" s="193"/>
      <c r="AHP86" s="190"/>
      <c r="AHQ86" s="190"/>
      <c r="AHR86" s="190"/>
      <c r="AHS86" s="190"/>
      <c r="AHT86" s="190"/>
      <c r="AHU86" s="194"/>
      <c r="AHV86" s="189"/>
      <c r="AHW86" s="190"/>
      <c r="AHX86" s="190"/>
      <c r="AHY86" s="190"/>
      <c r="AHZ86" s="190"/>
      <c r="AIA86" s="191"/>
      <c r="AIB86" s="190"/>
      <c r="AIC86" s="190"/>
      <c r="AID86" s="190"/>
      <c r="AIE86" s="190"/>
      <c r="AIF86" s="190"/>
      <c r="AIG86" s="192"/>
      <c r="AIH86" s="190"/>
      <c r="AII86" s="190"/>
      <c r="AIJ86" s="190"/>
      <c r="AIK86" s="190"/>
      <c r="AIL86" s="190"/>
      <c r="AIM86" s="193"/>
      <c r="AIN86" s="190"/>
      <c r="AIO86" s="190"/>
      <c r="AIP86" s="190"/>
      <c r="AIQ86" s="190"/>
      <c r="AIR86" s="190"/>
      <c r="AIS86" s="192"/>
      <c r="AIT86" s="190"/>
      <c r="AIU86" s="190"/>
      <c r="AIV86" s="190"/>
      <c r="AIW86" s="190"/>
      <c r="AIX86" s="190"/>
      <c r="AIY86" s="193"/>
      <c r="AIZ86" s="190"/>
      <c r="AJA86" s="190"/>
      <c r="AJB86" s="190"/>
      <c r="AJC86" s="190"/>
      <c r="AJD86" s="190"/>
      <c r="AJE86" s="192"/>
      <c r="AJF86" s="190"/>
      <c r="AJG86" s="190"/>
      <c r="AJH86" s="190"/>
      <c r="AJI86" s="190"/>
      <c r="AJJ86" s="190"/>
      <c r="AJK86" s="193"/>
      <c r="AJL86" s="190"/>
      <c r="AJM86" s="190"/>
      <c r="AJN86" s="190"/>
      <c r="AJO86" s="190"/>
      <c r="AJP86" s="190"/>
      <c r="AJQ86" s="192"/>
      <c r="AJR86" s="190"/>
      <c r="AJS86" s="190"/>
      <c r="AJT86" s="190"/>
      <c r="AJU86" s="190"/>
      <c r="AJV86" s="190"/>
      <c r="AJW86" s="193"/>
      <c r="AJX86" s="190"/>
      <c r="AJY86" s="190"/>
      <c r="AJZ86" s="190"/>
      <c r="AKA86" s="190"/>
      <c r="AKB86" s="190"/>
      <c r="AKC86" s="194"/>
      <c r="AKD86" s="189"/>
      <c r="AKE86" s="190"/>
      <c r="AKF86" s="190"/>
      <c r="AKG86" s="190"/>
      <c r="AKH86" s="190"/>
      <c r="AKI86" s="191"/>
      <c r="AKJ86" s="190"/>
      <c r="AKK86" s="190"/>
      <c r="AKL86" s="190"/>
      <c r="AKM86" s="190"/>
      <c r="AKN86" s="190"/>
      <c r="AKO86" s="192"/>
      <c r="AKP86" s="190"/>
      <c r="AKQ86" s="190"/>
      <c r="AKR86" s="190"/>
      <c r="AKS86" s="190"/>
      <c r="AKT86" s="190"/>
      <c r="AKU86" s="193"/>
      <c r="AKV86" s="190"/>
      <c r="AKW86" s="190"/>
      <c r="AKX86" s="190"/>
      <c r="AKY86" s="190"/>
      <c r="AKZ86" s="190"/>
      <c r="ALA86" s="192"/>
      <c r="ALB86" s="190"/>
      <c r="ALC86" s="190"/>
      <c r="ALD86" s="190"/>
      <c r="ALE86" s="190"/>
      <c r="ALF86" s="190"/>
      <c r="ALG86" s="193"/>
      <c r="ALH86" s="190"/>
      <c r="ALI86" s="190"/>
      <c r="ALJ86" s="190"/>
      <c r="ALK86" s="190"/>
      <c r="ALL86" s="190"/>
      <c r="ALM86" s="192"/>
      <c r="ALN86" s="190"/>
      <c r="ALO86" s="190"/>
      <c r="ALP86" s="190"/>
      <c r="ALQ86" s="190"/>
      <c r="ALR86" s="190"/>
      <c r="ALS86" s="193"/>
      <c r="ALT86" s="190"/>
      <c r="ALU86" s="190"/>
      <c r="ALV86" s="190"/>
      <c r="ALW86" s="190"/>
      <c r="ALX86" s="190"/>
      <c r="ALY86" s="192"/>
      <c r="ALZ86" s="190"/>
      <c r="AMA86" s="190"/>
      <c r="AMB86" s="190"/>
      <c r="AMC86" s="190"/>
      <c r="AMD86" s="190"/>
      <c r="AME86" s="193"/>
      <c r="AMF86" s="190"/>
      <c r="AMG86" s="190"/>
      <c r="AMH86" s="190"/>
      <c r="AMI86" s="190"/>
      <c r="AMJ86" s="190"/>
      <c r="AMK86" s="194"/>
      <c r="AML86" s="189"/>
      <c r="AMM86" s="190"/>
      <c r="AMN86" s="190"/>
      <c r="AMO86" s="190"/>
      <c r="AMP86" s="190"/>
      <c r="AMQ86" s="191"/>
      <c r="AMR86" s="190"/>
      <c r="AMS86" s="190"/>
      <c r="AMT86" s="190"/>
      <c r="AMU86" s="190"/>
      <c r="AMV86" s="190"/>
      <c r="AMW86" s="192"/>
      <c r="AMX86" s="190"/>
      <c r="AMY86" s="190"/>
      <c r="AMZ86" s="190"/>
      <c r="ANA86" s="190"/>
      <c r="ANB86" s="190"/>
      <c r="ANC86" s="193"/>
      <c r="AND86" s="190"/>
      <c r="ANE86" s="190"/>
      <c r="ANF86" s="190"/>
      <c r="ANG86" s="190"/>
      <c r="ANH86" s="190"/>
      <c r="ANI86" s="192"/>
      <c r="ANJ86" s="190"/>
      <c r="ANK86" s="190"/>
      <c r="ANL86" s="190"/>
      <c r="ANM86" s="190"/>
      <c r="ANN86" s="190"/>
      <c r="ANO86" s="193"/>
      <c r="ANP86" s="190"/>
      <c r="ANQ86" s="190"/>
      <c r="ANR86" s="190"/>
      <c r="ANS86" s="190"/>
      <c r="ANT86" s="190"/>
      <c r="ANU86" s="192"/>
      <c r="ANV86" s="190"/>
      <c r="ANW86" s="190"/>
      <c r="ANX86" s="190"/>
      <c r="ANY86" s="190"/>
      <c r="ANZ86" s="190"/>
      <c r="AOA86" s="193"/>
      <c r="AOB86" s="190"/>
      <c r="AOC86" s="190"/>
      <c r="AOD86" s="190"/>
      <c r="AOE86" s="190"/>
      <c r="AOF86" s="190"/>
      <c r="AOG86" s="192"/>
      <c r="AOH86" s="190"/>
      <c r="AOI86" s="190"/>
      <c r="AOJ86" s="190"/>
      <c r="AOK86" s="190"/>
      <c r="AOL86" s="190"/>
      <c r="AOM86" s="193"/>
      <c r="AON86" s="190"/>
      <c r="AOO86" s="190"/>
      <c r="AOP86" s="190"/>
      <c r="AOQ86" s="190"/>
      <c r="AOR86" s="190"/>
      <c r="AOS86" s="194"/>
      <c r="AOT86" s="189"/>
      <c r="AOU86" s="190"/>
      <c r="AOV86" s="190"/>
      <c r="AOW86" s="190"/>
      <c r="AOX86" s="190"/>
      <c r="AOY86" s="191"/>
      <c r="AOZ86" s="190"/>
      <c r="APA86" s="190"/>
      <c r="APB86" s="190"/>
      <c r="APC86" s="190"/>
      <c r="APD86" s="190"/>
      <c r="APE86" s="192"/>
      <c r="APF86" s="190"/>
      <c r="APG86" s="190"/>
      <c r="APH86" s="190"/>
      <c r="API86" s="190"/>
      <c r="APJ86" s="190"/>
      <c r="APK86" s="193"/>
      <c r="APL86" s="190"/>
      <c r="APM86" s="190"/>
      <c r="APN86" s="190"/>
      <c r="APO86" s="190"/>
      <c r="APP86" s="190"/>
      <c r="APQ86" s="192"/>
      <c r="APR86" s="190"/>
      <c r="APS86" s="190"/>
      <c r="APT86" s="190"/>
      <c r="APU86" s="190"/>
      <c r="APV86" s="190"/>
      <c r="APW86" s="193"/>
      <c r="APX86" s="190"/>
      <c r="APY86" s="190"/>
      <c r="APZ86" s="190"/>
      <c r="AQA86" s="190"/>
      <c r="AQB86" s="190"/>
      <c r="AQC86" s="192"/>
      <c r="AQD86" s="190"/>
      <c r="AQE86" s="190"/>
      <c r="AQF86" s="190"/>
      <c r="AQG86" s="190"/>
      <c r="AQH86" s="190"/>
      <c r="AQI86" s="193"/>
      <c r="AQJ86" s="190"/>
      <c r="AQK86" s="190"/>
      <c r="AQL86" s="190"/>
      <c r="AQM86" s="190"/>
      <c r="AQN86" s="190"/>
      <c r="AQO86" s="192"/>
      <c r="AQP86" s="190"/>
      <c r="AQQ86" s="190"/>
      <c r="AQR86" s="190"/>
      <c r="AQS86" s="190"/>
      <c r="AQT86" s="190"/>
      <c r="AQU86" s="193"/>
      <c r="AQV86" s="190"/>
      <c r="AQW86" s="190"/>
      <c r="AQX86" s="190"/>
      <c r="AQY86" s="190"/>
      <c r="AQZ86" s="190"/>
      <c r="ARA86" s="194"/>
      <c r="ARB86" s="189"/>
      <c r="ARC86" s="190"/>
      <c r="ARD86" s="190"/>
      <c r="ARE86" s="190"/>
      <c r="ARF86" s="190"/>
      <c r="ARG86" s="191"/>
      <c r="ARH86" s="190"/>
      <c r="ARI86" s="190"/>
      <c r="ARJ86" s="190"/>
      <c r="ARK86" s="190"/>
      <c r="ARL86" s="190"/>
      <c r="ARM86" s="192"/>
      <c r="ARN86" s="190"/>
      <c r="ARO86" s="190"/>
      <c r="ARP86" s="190"/>
      <c r="ARQ86" s="190"/>
      <c r="ARR86" s="190"/>
      <c r="ARS86" s="193"/>
      <c r="ART86" s="190"/>
      <c r="ARU86" s="190"/>
      <c r="ARV86" s="190"/>
      <c r="ARW86" s="190"/>
      <c r="ARX86" s="190"/>
      <c r="ARY86" s="192"/>
      <c r="ARZ86" s="190"/>
      <c r="ASA86" s="190"/>
      <c r="ASB86" s="190"/>
      <c r="ASC86" s="190"/>
      <c r="ASD86" s="190"/>
      <c r="ASE86" s="193"/>
      <c r="ASF86" s="190"/>
      <c r="ASG86" s="190"/>
      <c r="ASH86" s="190"/>
      <c r="ASI86" s="190"/>
      <c r="ASJ86" s="190"/>
      <c r="ASK86" s="192"/>
      <c r="ASL86" s="190"/>
      <c r="ASM86" s="190"/>
      <c r="ASN86" s="190"/>
      <c r="ASO86" s="190"/>
      <c r="ASP86" s="190"/>
      <c r="ASQ86" s="193"/>
      <c r="ASR86" s="190"/>
      <c r="ASS86" s="190"/>
      <c r="AST86" s="190"/>
      <c r="ASU86" s="190"/>
      <c r="ASV86" s="190"/>
      <c r="ASW86" s="192"/>
      <c r="ASX86" s="190"/>
      <c r="ASY86" s="190"/>
      <c r="ASZ86" s="190"/>
      <c r="ATA86" s="190"/>
      <c r="ATB86" s="190"/>
      <c r="ATC86" s="193"/>
      <c r="ATD86" s="190"/>
      <c r="ATE86" s="190"/>
      <c r="ATF86" s="190"/>
      <c r="ATG86" s="190"/>
      <c r="ATH86" s="190"/>
      <c r="ATI86" s="194"/>
      <c r="ATJ86" s="189"/>
      <c r="ATK86" s="190"/>
      <c r="ATL86" s="190"/>
      <c r="ATM86" s="190"/>
      <c r="ATN86" s="190"/>
      <c r="ATO86" s="191"/>
      <c r="ATP86" s="190"/>
      <c r="ATQ86" s="190"/>
      <c r="ATR86" s="190"/>
      <c r="ATS86" s="190"/>
      <c r="ATT86" s="190"/>
      <c r="ATU86" s="192"/>
      <c r="ATV86" s="190"/>
      <c r="ATW86" s="190"/>
      <c r="ATX86" s="190"/>
      <c r="ATY86" s="190"/>
      <c r="ATZ86" s="190"/>
      <c r="AUA86" s="193"/>
      <c r="AUB86" s="190"/>
      <c r="AUC86" s="190"/>
      <c r="AUD86" s="190"/>
      <c r="AUE86" s="190"/>
      <c r="AUF86" s="190"/>
      <c r="AUG86" s="192"/>
      <c r="AUH86" s="190"/>
      <c r="AUI86" s="190"/>
      <c r="AUJ86" s="190"/>
      <c r="AUK86" s="190"/>
      <c r="AUL86" s="190"/>
      <c r="AUM86" s="193"/>
      <c r="AUN86" s="190"/>
      <c r="AUO86" s="190"/>
      <c r="AUP86" s="190"/>
      <c r="AUQ86" s="190"/>
      <c r="AUR86" s="190"/>
      <c r="AUS86" s="192"/>
      <c r="AUT86" s="190"/>
      <c r="AUU86" s="190"/>
      <c r="AUV86" s="190"/>
      <c r="AUW86" s="190"/>
      <c r="AUX86" s="190"/>
      <c r="AUY86" s="193"/>
      <c r="AUZ86" s="190"/>
      <c r="AVA86" s="190"/>
      <c r="AVB86" s="190"/>
      <c r="AVC86" s="190"/>
      <c r="AVD86" s="190"/>
      <c r="AVE86" s="192"/>
      <c r="AVF86" s="190"/>
      <c r="AVG86" s="190"/>
      <c r="AVH86" s="190"/>
      <c r="AVI86" s="190"/>
      <c r="AVJ86" s="190"/>
      <c r="AVK86" s="193"/>
      <c r="AVL86" s="190"/>
      <c r="AVM86" s="190"/>
      <c r="AVN86" s="190"/>
      <c r="AVO86" s="190"/>
      <c r="AVP86" s="190"/>
      <c r="AVQ86" s="194"/>
      <c r="AVR86" s="189"/>
      <c r="AVS86" s="190"/>
      <c r="AVT86" s="190"/>
      <c r="AVU86" s="190"/>
      <c r="AVV86" s="190"/>
      <c r="AVW86" s="191"/>
      <c r="AVX86" s="190"/>
      <c r="AVY86" s="190"/>
      <c r="AVZ86" s="190"/>
      <c r="AWA86" s="190"/>
      <c r="AWB86" s="190"/>
      <c r="AWC86" s="192"/>
      <c r="AWD86" s="190"/>
      <c r="AWE86" s="190"/>
      <c r="AWF86" s="190"/>
      <c r="AWG86" s="190"/>
      <c r="AWH86" s="190"/>
      <c r="AWI86" s="193"/>
      <c r="AWJ86" s="190"/>
      <c r="AWK86" s="190"/>
      <c r="AWL86" s="190"/>
      <c r="AWM86" s="190"/>
      <c r="AWN86" s="190"/>
      <c r="AWO86" s="192"/>
      <c r="AWP86" s="190"/>
      <c r="AWQ86" s="190"/>
      <c r="AWR86" s="190"/>
      <c r="AWS86" s="190"/>
      <c r="AWT86" s="190"/>
      <c r="AWU86" s="193"/>
      <c r="AWV86" s="190"/>
      <c r="AWW86" s="190"/>
      <c r="AWX86" s="190"/>
      <c r="AWY86" s="190"/>
      <c r="AWZ86" s="190"/>
      <c r="AXA86" s="192"/>
      <c r="AXB86" s="190"/>
      <c r="AXC86" s="190"/>
      <c r="AXD86" s="190"/>
      <c r="AXE86" s="190"/>
      <c r="AXF86" s="190"/>
      <c r="AXG86" s="193"/>
      <c r="AXH86" s="190"/>
      <c r="AXI86" s="190"/>
      <c r="AXJ86" s="190"/>
      <c r="AXK86" s="190"/>
      <c r="AXL86" s="190"/>
      <c r="AXM86" s="192"/>
      <c r="AXN86" s="190"/>
      <c r="AXO86" s="190"/>
      <c r="AXP86" s="190"/>
      <c r="AXQ86" s="190"/>
      <c r="AXR86" s="190"/>
      <c r="AXS86" s="193"/>
      <c r="AXT86" s="190"/>
      <c r="AXU86" s="190"/>
      <c r="AXV86" s="190"/>
      <c r="AXW86" s="190"/>
      <c r="AXX86" s="190"/>
      <c r="AXY86" s="194"/>
      <c r="AXZ86" s="189"/>
      <c r="AYA86" s="190"/>
      <c r="AYB86" s="190"/>
      <c r="AYC86" s="190"/>
      <c r="AYD86" s="190"/>
      <c r="AYE86" s="191"/>
      <c r="AYF86" s="190"/>
      <c r="AYG86" s="190"/>
      <c r="AYH86" s="190"/>
      <c r="AYI86" s="190"/>
      <c r="AYJ86" s="190"/>
      <c r="AYK86" s="192"/>
      <c r="AYL86" s="190"/>
      <c r="AYM86" s="190"/>
      <c r="AYN86" s="190"/>
      <c r="AYO86" s="190"/>
      <c r="AYP86" s="190"/>
      <c r="AYQ86" s="193"/>
      <c r="AYR86" s="190"/>
      <c r="AYS86" s="190"/>
      <c r="AYT86" s="190"/>
      <c r="AYU86" s="190"/>
      <c r="AYV86" s="190"/>
      <c r="AYW86" s="192"/>
      <c r="AYX86" s="190"/>
      <c r="AYY86" s="190"/>
      <c r="AYZ86" s="190"/>
      <c r="AZA86" s="190"/>
      <c r="AZB86" s="190"/>
      <c r="AZC86" s="193"/>
      <c r="AZD86" s="190"/>
      <c r="AZE86" s="190"/>
      <c r="AZF86" s="190"/>
      <c r="AZG86" s="190"/>
      <c r="AZH86" s="190"/>
      <c r="AZI86" s="192"/>
      <c r="AZJ86" s="190"/>
      <c r="AZK86" s="190"/>
      <c r="AZL86" s="190"/>
      <c r="AZM86" s="190"/>
      <c r="AZN86" s="190"/>
      <c r="AZO86" s="193"/>
      <c r="AZP86" s="190"/>
      <c r="AZQ86" s="190"/>
      <c r="AZR86" s="190"/>
      <c r="AZS86" s="190"/>
      <c r="AZT86" s="190"/>
      <c r="AZU86" s="192"/>
      <c r="AZV86" s="190"/>
      <c r="AZW86" s="190"/>
      <c r="AZX86" s="190"/>
      <c r="AZY86" s="190"/>
      <c r="AZZ86" s="190"/>
      <c r="BAA86" s="193"/>
      <c r="BAB86" s="190"/>
      <c r="BAC86" s="190"/>
      <c r="BAD86" s="190"/>
      <c r="BAE86" s="190"/>
      <c r="BAF86" s="190"/>
      <c r="BAG86" s="194"/>
      <c r="BAH86" s="189"/>
      <c r="BAI86" s="190"/>
      <c r="BAJ86" s="190"/>
      <c r="BAK86" s="190"/>
      <c r="BAL86" s="190"/>
      <c r="BAM86" s="191"/>
      <c r="BAN86" s="190"/>
      <c r="BAO86" s="190"/>
      <c r="BAP86" s="190"/>
      <c r="BAQ86" s="190"/>
      <c r="BAR86" s="190"/>
      <c r="BAS86" s="192"/>
      <c r="BAT86" s="190"/>
      <c r="BAU86" s="190"/>
      <c r="BAV86" s="190"/>
      <c r="BAW86" s="190"/>
      <c r="BAX86" s="190"/>
      <c r="BAY86" s="193"/>
      <c r="BAZ86" s="190"/>
      <c r="BBA86" s="190"/>
      <c r="BBB86" s="190"/>
      <c r="BBC86" s="190"/>
      <c r="BBD86" s="190"/>
      <c r="BBE86" s="192"/>
      <c r="BBF86" s="190"/>
      <c r="BBG86" s="190"/>
      <c r="BBH86" s="190"/>
      <c r="BBI86" s="190"/>
      <c r="BBJ86" s="190"/>
      <c r="BBK86" s="193"/>
      <c r="BBL86" s="190"/>
      <c r="BBM86" s="190"/>
      <c r="BBN86" s="190"/>
      <c r="BBO86" s="190"/>
      <c r="BBP86" s="190"/>
      <c r="BBQ86" s="192"/>
      <c r="BBR86" s="190"/>
      <c r="BBS86" s="190"/>
      <c r="BBT86" s="190"/>
      <c r="BBU86" s="190"/>
      <c r="BBV86" s="190"/>
      <c r="BBW86" s="193"/>
      <c r="BBX86" s="190"/>
      <c r="BBY86" s="190"/>
      <c r="BBZ86" s="190"/>
      <c r="BCA86" s="190"/>
      <c r="BCB86" s="190"/>
      <c r="BCC86" s="192"/>
      <c r="BCD86" s="190"/>
      <c r="BCE86" s="190"/>
      <c r="BCF86" s="190"/>
      <c r="BCG86" s="190"/>
      <c r="BCH86" s="190"/>
      <c r="BCI86" s="193"/>
      <c r="BCJ86" s="190"/>
      <c r="BCK86" s="190"/>
      <c r="BCL86" s="190"/>
      <c r="BCM86" s="190"/>
      <c r="BCN86" s="190"/>
      <c r="BCO86" s="194"/>
      <c r="BCP86" s="189"/>
      <c r="BCQ86" s="190"/>
      <c r="BCR86" s="190"/>
      <c r="BCS86" s="190"/>
      <c r="BCT86" s="190"/>
      <c r="BCU86" s="191"/>
      <c r="BCV86" s="190"/>
      <c r="BCW86" s="190"/>
      <c r="BCX86" s="190"/>
      <c r="BCY86" s="190"/>
      <c r="BCZ86" s="190"/>
      <c r="BDA86" s="192"/>
      <c r="BDB86" s="190"/>
      <c r="BDC86" s="190"/>
      <c r="BDD86" s="190"/>
      <c r="BDE86" s="190"/>
      <c r="BDF86" s="190"/>
      <c r="BDG86" s="193"/>
      <c r="BDH86" s="190"/>
      <c r="BDI86" s="190"/>
      <c r="BDJ86" s="190"/>
      <c r="BDK86" s="190"/>
      <c r="BDL86" s="190"/>
      <c r="BDM86" s="192"/>
      <c r="BDN86" s="190"/>
      <c r="BDO86" s="190"/>
      <c r="BDP86" s="190"/>
      <c r="BDQ86" s="190"/>
      <c r="BDR86" s="190"/>
      <c r="BDS86" s="193"/>
      <c r="BDT86" s="190"/>
      <c r="BDU86" s="190"/>
      <c r="BDV86" s="190"/>
      <c r="BDW86" s="190"/>
      <c r="BDX86" s="190"/>
      <c r="BDY86" s="192"/>
      <c r="BDZ86" s="190"/>
      <c r="BEA86" s="190"/>
      <c r="BEB86" s="190"/>
      <c r="BEC86" s="190"/>
      <c r="BED86" s="190"/>
      <c r="BEE86" s="193"/>
      <c r="BEF86" s="190"/>
      <c r="BEG86" s="190"/>
      <c r="BEH86" s="190"/>
      <c r="BEI86" s="190"/>
      <c r="BEJ86" s="190"/>
      <c r="BEK86" s="192"/>
      <c r="BEL86" s="190"/>
      <c r="BEM86" s="190"/>
      <c r="BEN86" s="190"/>
      <c r="BEO86" s="190"/>
      <c r="BEP86" s="190"/>
      <c r="BEQ86" s="193"/>
      <c r="BER86" s="190"/>
      <c r="BES86" s="190"/>
      <c r="BET86" s="190"/>
      <c r="BEU86" s="190"/>
      <c r="BEV86" s="190"/>
      <c r="BEW86" s="194"/>
      <c r="BEX86" s="189"/>
      <c r="BEY86" s="190"/>
      <c r="BEZ86" s="190"/>
      <c r="BFA86" s="190"/>
      <c r="BFB86" s="190"/>
      <c r="BFC86" s="191"/>
      <c r="BFD86" s="190"/>
      <c r="BFE86" s="190"/>
      <c r="BFF86" s="190"/>
      <c r="BFG86" s="190"/>
      <c r="BFH86" s="190"/>
      <c r="BFI86" s="192"/>
      <c r="BFJ86" s="190"/>
      <c r="BFK86" s="190"/>
      <c r="BFL86" s="190"/>
      <c r="BFM86" s="190"/>
      <c r="BFN86" s="190"/>
      <c r="BFO86" s="193"/>
      <c r="BFP86" s="190"/>
      <c r="BFQ86" s="190"/>
      <c r="BFR86" s="190"/>
      <c r="BFS86" s="190"/>
      <c r="BFT86" s="190"/>
      <c r="BFU86" s="192"/>
      <c r="BFV86" s="190"/>
      <c r="BFW86" s="190"/>
      <c r="BFX86" s="190"/>
      <c r="BFY86" s="190"/>
      <c r="BFZ86" s="190"/>
      <c r="BGA86" s="193"/>
      <c r="BGB86" s="190"/>
      <c r="BGC86" s="190"/>
      <c r="BGD86" s="190"/>
      <c r="BGE86" s="190"/>
      <c r="BGF86" s="190"/>
      <c r="BGG86" s="192"/>
      <c r="BGH86" s="190"/>
      <c r="BGI86" s="190"/>
      <c r="BGJ86" s="190"/>
      <c r="BGK86" s="190"/>
      <c r="BGL86" s="190"/>
      <c r="BGM86" s="193"/>
      <c r="BGN86" s="190"/>
      <c r="BGO86" s="190"/>
      <c r="BGP86" s="190"/>
      <c r="BGQ86" s="190"/>
      <c r="BGR86" s="190"/>
      <c r="BGS86" s="192"/>
      <c r="BGT86" s="190"/>
      <c r="BGU86" s="190"/>
      <c r="BGV86" s="190"/>
      <c r="BGW86" s="190"/>
      <c r="BGX86" s="190"/>
      <c r="BGY86" s="193"/>
      <c r="BGZ86" s="190"/>
      <c r="BHA86" s="190"/>
      <c r="BHB86" s="190"/>
      <c r="BHC86" s="190"/>
      <c r="BHD86" s="190"/>
      <c r="BHE86" s="194"/>
      <c r="BHF86" s="187"/>
      <c r="BHG86" s="188"/>
      <c r="BHH86" s="188"/>
      <c r="BHI86" s="188"/>
      <c r="BHJ86" s="188"/>
      <c r="BHK86" s="188"/>
      <c r="BHL86" s="188"/>
      <c r="BHM86" s="188"/>
      <c r="BHN86" s="188"/>
      <c r="BHO86" s="188"/>
      <c r="BHP86" s="188"/>
      <c r="BHQ86" s="188"/>
      <c r="BHR86" s="188"/>
      <c r="BHS86" s="188"/>
      <c r="BHT86" s="188"/>
      <c r="BHU86" s="188"/>
      <c r="BHV86" s="188"/>
      <c r="BHW86" s="188"/>
      <c r="BHX86" s="188"/>
      <c r="BHY86" s="188"/>
      <c r="BHZ86" s="188"/>
      <c r="BIA86" s="188"/>
      <c r="BIB86" s="188"/>
      <c r="BIC86" s="188"/>
      <c r="BID86" s="188"/>
      <c r="BIE86" s="188"/>
      <c r="BIF86" s="188"/>
      <c r="BIG86" s="188"/>
      <c r="BIH86" s="188"/>
      <c r="BII86" s="188"/>
      <c r="BIJ86" s="188"/>
      <c r="BIK86" s="188"/>
      <c r="BIL86" s="188"/>
      <c r="BIM86" s="188"/>
      <c r="BIN86" s="188"/>
      <c r="BIO86" s="188"/>
      <c r="BIP86" s="188"/>
    </row>
    <row r="87" spans="1:1602" ht="20.100000000000001" customHeight="1" x14ac:dyDescent="0.25">
      <c r="A87" s="78" t="s">
        <v>49</v>
      </c>
      <c r="B87" s="51"/>
      <c r="C87" s="23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87"/>
      <c r="BHG87" s="188"/>
      <c r="BHH87" s="188"/>
      <c r="BHI87" s="188"/>
      <c r="BHJ87" s="188"/>
      <c r="BHK87" s="188"/>
      <c r="BHL87" s="188"/>
      <c r="BHM87" s="188"/>
      <c r="BHN87" s="188"/>
      <c r="BHO87" s="188"/>
      <c r="BHP87" s="188"/>
      <c r="BHQ87" s="188"/>
      <c r="BHR87" s="188"/>
      <c r="BHS87" s="188"/>
      <c r="BHT87" s="188"/>
      <c r="BHU87" s="188"/>
      <c r="BHV87" s="188"/>
      <c r="BHW87" s="188"/>
      <c r="BHX87" s="188"/>
      <c r="BHY87" s="188"/>
      <c r="BHZ87" s="188"/>
      <c r="BIA87" s="188"/>
      <c r="BIB87" s="188"/>
      <c r="BIC87" s="188"/>
      <c r="BID87" s="188"/>
      <c r="BIE87" s="188"/>
      <c r="BIF87" s="188"/>
      <c r="BIG87" s="188"/>
      <c r="BIH87" s="188"/>
      <c r="BII87" s="188"/>
      <c r="BIJ87" s="188"/>
      <c r="BIK87" s="188"/>
      <c r="BIL87" s="188"/>
      <c r="BIM87" s="188"/>
      <c r="BIN87" s="188"/>
      <c r="BIO87" s="188"/>
      <c r="BIP87" s="188"/>
    </row>
    <row r="88" spans="1:1602" ht="20.100000000000001" customHeight="1" x14ac:dyDescent="0.25">
      <c r="A88" s="78" t="s">
        <v>50</v>
      </c>
      <c r="B88" s="51"/>
      <c r="C88" s="236"/>
      <c r="D88" s="120" t="str">
        <f t="shared" si="1"/>
        <v/>
      </c>
      <c r="E88" s="22">
        <v>0</v>
      </c>
      <c r="F88" s="195"/>
      <c r="G88" s="196"/>
      <c r="H88" s="196"/>
      <c r="I88" s="196"/>
      <c r="J88" s="196"/>
      <c r="K88" s="197"/>
      <c r="L88" s="196"/>
      <c r="M88" s="196"/>
      <c r="N88" s="196"/>
      <c r="O88" s="196"/>
      <c r="P88" s="196"/>
      <c r="Q88" s="198"/>
      <c r="R88" s="196"/>
      <c r="S88" s="196"/>
      <c r="T88" s="196"/>
      <c r="U88" s="196"/>
      <c r="V88" s="196"/>
      <c r="W88" s="199"/>
      <c r="X88" s="196"/>
      <c r="Y88" s="196"/>
      <c r="Z88" s="196"/>
      <c r="AA88" s="196"/>
      <c r="AB88" s="196"/>
      <c r="AC88" s="198"/>
      <c r="AD88" s="196"/>
      <c r="AE88" s="196"/>
      <c r="AF88" s="196"/>
      <c r="AG88" s="196"/>
      <c r="AH88" s="196"/>
      <c r="AI88" s="199"/>
      <c r="AJ88" s="196"/>
      <c r="AK88" s="196"/>
      <c r="AL88" s="196"/>
      <c r="AM88" s="196"/>
      <c r="AN88" s="196"/>
      <c r="AO88" s="198"/>
      <c r="AP88" s="196"/>
      <c r="AQ88" s="196"/>
      <c r="AR88" s="196"/>
      <c r="AS88" s="196"/>
      <c r="AT88" s="196"/>
      <c r="AU88" s="199"/>
      <c r="AV88" s="196"/>
      <c r="AW88" s="196"/>
      <c r="AX88" s="196"/>
      <c r="AY88" s="196"/>
      <c r="AZ88" s="196"/>
      <c r="BA88" s="198"/>
      <c r="BB88" s="196"/>
      <c r="BC88" s="196"/>
      <c r="BD88" s="196"/>
      <c r="BE88" s="196"/>
      <c r="BF88" s="196"/>
      <c r="BG88" s="199"/>
      <c r="BH88" s="196"/>
      <c r="BI88" s="196"/>
      <c r="BJ88" s="196"/>
      <c r="BK88" s="196"/>
      <c r="BL88" s="196"/>
      <c r="BM88" s="200"/>
      <c r="BN88" s="195"/>
      <c r="BO88" s="196"/>
      <c r="BP88" s="196"/>
      <c r="BQ88" s="196"/>
      <c r="BR88" s="196"/>
      <c r="BS88" s="197"/>
      <c r="BT88" s="196"/>
      <c r="BU88" s="196"/>
      <c r="BV88" s="196"/>
      <c r="BW88" s="196"/>
      <c r="BX88" s="196"/>
      <c r="BY88" s="198"/>
      <c r="BZ88" s="196"/>
      <c r="CA88" s="196"/>
      <c r="CB88" s="196"/>
      <c r="CC88" s="196"/>
      <c r="CD88" s="196"/>
      <c r="CE88" s="199"/>
      <c r="CF88" s="196"/>
      <c r="CG88" s="196"/>
      <c r="CH88" s="196"/>
      <c r="CI88" s="196"/>
      <c r="CJ88" s="196"/>
      <c r="CK88" s="198"/>
      <c r="CL88" s="196"/>
      <c r="CM88" s="196"/>
      <c r="CN88" s="196"/>
      <c r="CO88" s="196"/>
      <c r="CP88" s="196"/>
      <c r="CQ88" s="199"/>
      <c r="CR88" s="196"/>
      <c r="CS88" s="196"/>
      <c r="CT88" s="196"/>
      <c r="CU88" s="196"/>
      <c r="CV88" s="196"/>
      <c r="CW88" s="198"/>
      <c r="CX88" s="196"/>
      <c r="CY88" s="196"/>
      <c r="CZ88" s="196"/>
      <c r="DA88" s="196"/>
      <c r="DB88" s="196"/>
      <c r="DC88" s="199"/>
      <c r="DD88" s="196"/>
      <c r="DE88" s="196"/>
      <c r="DF88" s="196"/>
      <c r="DG88" s="196"/>
      <c r="DH88" s="196"/>
      <c r="DI88" s="198"/>
      <c r="DJ88" s="196"/>
      <c r="DK88" s="196"/>
      <c r="DL88" s="196"/>
      <c r="DM88" s="196"/>
      <c r="DN88" s="196"/>
      <c r="DO88" s="199"/>
      <c r="DP88" s="196"/>
      <c r="DQ88" s="196"/>
      <c r="DR88" s="196"/>
      <c r="DS88" s="196"/>
      <c r="DT88" s="196"/>
      <c r="DU88" s="200"/>
      <c r="DV88" s="195"/>
      <c r="DW88" s="196"/>
      <c r="DX88" s="196"/>
      <c r="DY88" s="196"/>
      <c r="DZ88" s="196"/>
      <c r="EA88" s="197"/>
      <c r="EB88" s="196"/>
      <c r="EC88" s="196"/>
      <c r="ED88" s="196"/>
      <c r="EE88" s="196"/>
      <c r="EF88" s="196"/>
      <c r="EG88" s="198"/>
      <c r="EH88" s="196"/>
      <c r="EI88" s="196"/>
      <c r="EJ88" s="196"/>
      <c r="EK88" s="196"/>
      <c r="EL88" s="196"/>
      <c r="EM88" s="199"/>
      <c r="EN88" s="196"/>
      <c r="EO88" s="196"/>
      <c r="EP88" s="196"/>
      <c r="EQ88" s="196"/>
      <c r="ER88" s="196"/>
      <c r="ES88" s="198"/>
      <c r="ET88" s="196"/>
      <c r="EU88" s="196"/>
      <c r="EV88" s="196"/>
      <c r="EW88" s="196"/>
      <c r="EX88" s="196"/>
      <c r="EY88" s="199"/>
      <c r="EZ88" s="196"/>
      <c r="FA88" s="196"/>
      <c r="FB88" s="196"/>
      <c r="FC88" s="196"/>
      <c r="FD88" s="196"/>
      <c r="FE88" s="198"/>
      <c r="FF88" s="196"/>
      <c r="FG88" s="196"/>
      <c r="FH88" s="196"/>
      <c r="FI88" s="196"/>
      <c r="FJ88" s="196"/>
      <c r="FK88" s="199"/>
      <c r="FL88" s="196"/>
      <c r="FM88" s="196"/>
      <c r="FN88" s="196"/>
      <c r="FO88" s="196"/>
      <c r="FP88" s="196"/>
      <c r="FQ88" s="198"/>
      <c r="FR88" s="196"/>
      <c r="FS88" s="196"/>
      <c r="FT88" s="196"/>
      <c r="FU88" s="196"/>
      <c r="FV88" s="196"/>
      <c r="FW88" s="199"/>
      <c r="FX88" s="196"/>
      <c r="FY88" s="196"/>
      <c r="FZ88" s="196"/>
      <c r="GA88" s="196"/>
      <c r="GB88" s="196"/>
      <c r="GC88" s="200"/>
      <c r="GD88" s="195"/>
      <c r="GE88" s="196"/>
      <c r="GF88" s="196"/>
      <c r="GG88" s="196"/>
      <c r="GH88" s="196"/>
      <c r="GI88" s="197"/>
      <c r="GJ88" s="196"/>
      <c r="GK88" s="196"/>
      <c r="GL88" s="196"/>
      <c r="GM88" s="196"/>
      <c r="GN88" s="196"/>
      <c r="GO88" s="198"/>
      <c r="GP88" s="196"/>
      <c r="GQ88" s="196"/>
      <c r="GR88" s="196"/>
      <c r="GS88" s="196"/>
      <c r="GT88" s="196"/>
      <c r="GU88" s="199"/>
      <c r="GV88" s="196"/>
      <c r="GW88" s="196"/>
      <c r="GX88" s="196"/>
      <c r="GY88" s="196"/>
      <c r="GZ88" s="196"/>
      <c r="HA88" s="198"/>
      <c r="HB88" s="196"/>
      <c r="HC88" s="196"/>
      <c r="HD88" s="196"/>
      <c r="HE88" s="196"/>
      <c r="HF88" s="196"/>
      <c r="HG88" s="199"/>
      <c r="HH88" s="196"/>
      <c r="HI88" s="196"/>
      <c r="HJ88" s="196"/>
      <c r="HK88" s="196"/>
      <c r="HL88" s="196"/>
      <c r="HM88" s="198"/>
      <c r="HN88" s="196"/>
      <c r="HO88" s="196"/>
      <c r="HP88" s="196"/>
      <c r="HQ88" s="196"/>
      <c r="HR88" s="196"/>
      <c r="HS88" s="199"/>
      <c r="HT88" s="196"/>
      <c r="HU88" s="196"/>
      <c r="HV88" s="196"/>
      <c r="HW88" s="196"/>
      <c r="HX88" s="196"/>
      <c r="HY88" s="198"/>
      <c r="HZ88" s="196"/>
      <c r="IA88" s="196"/>
      <c r="IB88" s="196"/>
      <c r="IC88" s="196"/>
      <c r="ID88" s="196"/>
      <c r="IE88" s="199"/>
      <c r="IF88" s="196"/>
      <c r="IG88" s="196"/>
      <c r="IH88" s="196"/>
      <c r="II88" s="196"/>
      <c r="IJ88" s="196"/>
      <c r="IK88" s="200"/>
      <c r="IL88" s="195"/>
      <c r="IM88" s="196"/>
      <c r="IN88" s="196"/>
      <c r="IO88" s="196"/>
      <c r="IP88" s="196"/>
      <c r="IQ88" s="197"/>
      <c r="IR88" s="196"/>
      <c r="IS88" s="196"/>
      <c r="IT88" s="196"/>
      <c r="IU88" s="196"/>
      <c r="IV88" s="196"/>
      <c r="IW88" s="198"/>
      <c r="IX88" s="196"/>
      <c r="IY88" s="196"/>
      <c r="IZ88" s="196"/>
      <c r="JA88" s="196"/>
      <c r="JB88" s="196"/>
      <c r="JC88" s="199"/>
      <c r="JD88" s="196"/>
      <c r="JE88" s="196"/>
      <c r="JF88" s="196"/>
      <c r="JG88" s="196"/>
      <c r="JH88" s="196"/>
      <c r="JI88" s="198"/>
      <c r="JJ88" s="196"/>
      <c r="JK88" s="196"/>
      <c r="JL88" s="196"/>
      <c r="JM88" s="196"/>
      <c r="JN88" s="196"/>
      <c r="JO88" s="199"/>
      <c r="JP88" s="196"/>
      <c r="JQ88" s="196"/>
      <c r="JR88" s="196"/>
      <c r="JS88" s="196"/>
      <c r="JT88" s="196"/>
      <c r="JU88" s="198"/>
      <c r="JV88" s="196"/>
      <c r="JW88" s="196"/>
      <c r="JX88" s="196"/>
      <c r="JY88" s="196"/>
      <c r="JZ88" s="196"/>
      <c r="KA88" s="199"/>
      <c r="KB88" s="196"/>
      <c r="KC88" s="196"/>
      <c r="KD88" s="196"/>
      <c r="KE88" s="196"/>
      <c r="KF88" s="196"/>
      <c r="KG88" s="198"/>
      <c r="KH88" s="196"/>
      <c r="KI88" s="196"/>
      <c r="KJ88" s="196"/>
      <c r="KK88" s="196"/>
      <c r="KL88" s="196"/>
      <c r="KM88" s="199"/>
      <c r="KN88" s="196"/>
      <c r="KO88" s="196"/>
      <c r="KP88" s="196"/>
      <c r="KQ88" s="196"/>
      <c r="KR88" s="196"/>
      <c r="KS88" s="200"/>
      <c r="KT88" s="195"/>
      <c r="KU88" s="196"/>
      <c r="KV88" s="196"/>
      <c r="KW88" s="196"/>
      <c r="KX88" s="196"/>
      <c r="KY88" s="197"/>
      <c r="KZ88" s="196"/>
      <c r="LA88" s="196"/>
      <c r="LB88" s="196"/>
      <c r="LC88" s="196"/>
      <c r="LD88" s="196"/>
      <c r="LE88" s="198"/>
      <c r="LF88" s="196"/>
      <c r="LG88" s="196"/>
      <c r="LH88" s="196"/>
      <c r="LI88" s="196"/>
      <c r="LJ88" s="196"/>
      <c r="LK88" s="199"/>
      <c r="LL88" s="196"/>
      <c r="LM88" s="196"/>
      <c r="LN88" s="196"/>
      <c r="LO88" s="196"/>
      <c r="LP88" s="196"/>
      <c r="LQ88" s="198"/>
      <c r="LR88" s="196"/>
      <c r="LS88" s="196"/>
      <c r="LT88" s="196"/>
      <c r="LU88" s="196"/>
      <c r="LV88" s="196"/>
      <c r="LW88" s="199"/>
      <c r="LX88" s="196"/>
      <c r="LY88" s="196"/>
      <c r="LZ88" s="196"/>
      <c r="MA88" s="196"/>
      <c r="MB88" s="196"/>
      <c r="MC88" s="198"/>
      <c r="MD88" s="196"/>
      <c r="ME88" s="196"/>
      <c r="MF88" s="196"/>
      <c r="MG88" s="196"/>
      <c r="MH88" s="196"/>
      <c r="MI88" s="199"/>
      <c r="MJ88" s="196"/>
      <c r="MK88" s="196"/>
      <c r="ML88" s="196"/>
      <c r="MM88" s="196"/>
      <c r="MN88" s="196"/>
      <c r="MO88" s="198"/>
      <c r="MP88" s="196"/>
      <c r="MQ88" s="196"/>
      <c r="MR88" s="196"/>
      <c r="MS88" s="196"/>
      <c r="MT88" s="196"/>
      <c r="MU88" s="199"/>
      <c r="MV88" s="196"/>
      <c r="MW88" s="196"/>
      <c r="MX88" s="196"/>
      <c r="MY88" s="196"/>
      <c r="MZ88" s="196"/>
      <c r="NA88" s="200"/>
      <c r="NB88" s="195"/>
      <c r="NC88" s="196"/>
      <c r="ND88" s="196"/>
      <c r="NE88" s="196"/>
      <c r="NF88" s="196"/>
      <c r="NG88" s="197"/>
      <c r="NH88" s="196"/>
      <c r="NI88" s="196"/>
      <c r="NJ88" s="196"/>
      <c r="NK88" s="196"/>
      <c r="NL88" s="196"/>
      <c r="NM88" s="198"/>
      <c r="NN88" s="196"/>
      <c r="NO88" s="196"/>
      <c r="NP88" s="196"/>
      <c r="NQ88" s="196"/>
      <c r="NR88" s="196"/>
      <c r="NS88" s="199"/>
      <c r="NT88" s="196"/>
      <c r="NU88" s="196"/>
      <c r="NV88" s="196"/>
      <c r="NW88" s="196"/>
      <c r="NX88" s="196"/>
      <c r="NY88" s="198"/>
      <c r="NZ88" s="196"/>
      <c r="OA88" s="196"/>
      <c r="OB88" s="196"/>
      <c r="OC88" s="196"/>
      <c r="OD88" s="196"/>
      <c r="OE88" s="199"/>
      <c r="OF88" s="196"/>
      <c r="OG88" s="196"/>
      <c r="OH88" s="196"/>
      <c r="OI88" s="196"/>
      <c r="OJ88" s="196"/>
      <c r="OK88" s="198"/>
      <c r="OL88" s="196"/>
      <c r="OM88" s="196"/>
      <c r="ON88" s="196"/>
      <c r="OO88" s="196"/>
      <c r="OP88" s="196"/>
      <c r="OQ88" s="199"/>
      <c r="OR88" s="196"/>
      <c r="OS88" s="196"/>
      <c r="OT88" s="196"/>
      <c r="OU88" s="196"/>
      <c r="OV88" s="196"/>
      <c r="OW88" s="198"/>
      <c r="OX88" s="196"/>
      <c r="OY88" s="196"/>
      <c r="OZ88" s="196"/>
      <c r="PA88" s="196"/>
      <c r="PB88" s="196"/>
      <c r="PC88" s="199"/>
      <c r="PD88" s="196"/>
      <c r="PE88" s="196"/>
      <c r="PF88" s="196"/>
      <c r="PG88" s="196"/>
      <c r="PH88" s="196"/>
      <c r="PI88" s="200"/>
      <c r="PJ88" s="195"/>
      <c r="PK88" s="196"/>
      <c r="PL88" s="196"/>
      <c r="PM88" s="196"/>
      <c r="PN88" s="196"/>
      <c r="PO88" s="197"/>
      <c r="PP88" s="196"/>
      <c r="PQ88" s="196"/>
      <c r="PR88" s="196"/>
      <c r="PS88" s="196"/>
      <c r="PT88" s="196"/>
      <c r="PU88" s="198"/>
      <c r="PV88" s="196"/>
      <c r="PW88" s="196"/>
      <c r="PX88" s="196"/>
      <c r="PY88" s="196"/>
      <c r="PZ88" s="196"/>
      <c r="QA88" s="199"/>
      <c r="QB88" s="196"/>
      <c r="QC88" s="196"/>
      <c r="QD88" s="196"/>
      <c r="QE88" s="196"/>
      <c r="QF88" s="196"/>
      <c r="QG88" s="198"/>
      <c r="QH88" s="196"/>
      <c r="QI88" s="196"/>
      <c r="QJ88" s="196"/>
      <c r="QK88" s="196"/>
      <c r="QL88" s="196"/>
      <c r="QM88" s="199"/>
      <c r="QN88" s="196"/>
      <c r="QO88" s="196"/>
      <c r="QP88" s="196"/>
      <c r="QQ88" s="196"/>
      <c r="QR88" s="196"/>
      <c r="QS88" s="198"/>
      <c r="QT88" s="196"/>
      <c r="QU88" s="196"/>
      <c r="QV88" s="196"/>
      <c r="QW88" s="196"/>
      <c r="QX88" s="196"/>
      <c r="QY88" s="199"/>
      <c r="QZ88" s="196"/>
      <c r="RA88" s="196"/>
      <c r="RB88" s="196"/>
      <c r="RC88" s="196"/>
      <c r="RD88" s="196"/>
      <c r="RE88" s="198"/>
      <c r="RF88" s="196"/>
      <c r="RG88" s="196"/>
      <c r="RH88" s="196"/>
      <c r="RI88" s="196"/>
      <c r="RJ88" s="196"/>
      <c r="RK88" s="199"/>
      <c r="RL88" s="196"/>
      <c r="RM88" s="196"/>
      <c r="RN88" s="196"/>
      <c r="RO88" s="196"/>
      <c r="RP88" s="196"/>
      <c r="RQ88" s="200"/>
      <c r="RR88" s="195"/>
      <c r="RS88" s="196"/>
      <c r="RT88" s="196"/>
      <c r="RU88" s="196"/>
      <c r="RV88" s="196"/>
      <c r="RW88" s="197"/>
      <c r="RX88" s="196"/>
      <c r="RY88" s="196"/>
      <c r="RZ88" s="196"/>
      <c r="SA88" s="196"/>
      <c r="SB88" s="196"/>
      <c r="SC88" s="198"/>
      <c r="SD88" s="196"/>
      <c r="SE88" s="196"/>
      <c r="SF88" s="196"/>
      <c r="SG88" s="196"/>
      <c r="SH88" s="196"/>
      <c r="SI88" s="199"/>
      <c r="SJ88" s="196"/>
      <c r="SK88" s="196"/>
      <c r="SL88" s="196"/>
      <c r="SM88" s="196"/>
      <c r="SN88" s="196"/>
      <c r="SO88" s="198"/>
      <c r="SP88" s="196"/>
      <c r="SQ88" s="196"/>
      <c r="SR88" s="196"/>
      <c r="SS88" s="196"/>
      <c r="ST88" s="196"/>
      <c r="SU88" s="199"/>
      <c r="SV88" s="196"/>
      <c r="SW88" s="196"/>
      <c r="SX88" s="196"/>
      <c r="SY88" s="196"/>
      <c r="SZ88" s="196"/>
      <c r="TA88" s="198"/>
      <c r="TB88" s="196"/>
      <c r="TC88" s="196"/>
      <c r="TD88" s="196"/>
      <c r="TE88" s="196"/>
      <c r="TF88" s="196"/>
      <c r="TG88" s="199"/>
      <c r="TH88" s="196"/>
      <c r="TI88" s="196"/>
      <c r="TJ88" s="196"/>
      <c r="TK88" s="196"/>
      <c r="TL88" s="196"/>
      <c r="TM88" s="198"/>
      <c r="TN88" s="196"/>
      <c r="TO88" s="196"/>
      <c r="TP88" s="196"/>
      <c r="TQ88" s="196"/>
      <c r="TR88" s="196"/>
      <c r="TS88" s="199"/>
      <c r="TT88" s="196"/>
      <c r="TU88" s="196"/>
      <c r="TV88" s="196"/>
      <c r="TW88" s="196"/>
      <c r="TX88" s="196"/>
      <c r="TY88" s="200"/>
      <c r="TZ88" s="195"/>
      <c r="UA88" s="196"/>
      <c r="UB88" s="196"/>
      <c r="UC88" s="196"/>
      <c r="UD88" s="196"/>
      <c r="UE88" s="197"/>
      <c r="UF88" s="196"/>
      <c r="UG88" s="196"/>
      <c r="UH88" s="196"/>
      <c r="UI88" s="196"/>
      <c r="UJ88" s="196"/>
      <c r="UK88" s="198"/>
      <c r="UL88" s="196"/>
      <c r="UM88" s="196"/>
      <c r="UN88" s="196"/>
      <c r="UO88" s="196"/>
      <c r="UP88" s="196"/>
      <c r="UQ88" s="199"/>
      <c r="UR88" s="196"/>
      <c r="US88" s="196"/>
      <c r="UT88" s="196"/>
      <c r="UU88" s="196"/>
      <c r="UV88" s="196"/>
      <c r="UW88" s="198"/>
      <c r="UX88" s="196"/>
      <c r="UY88" s="196"/>
      <c r="UZ88" s="196"/>
      <c r="VA88" s="196"/>
      <c r="VB88" s="196"/>
      <c r="VC88" s="199"/>
      <c r="VD88" s="196"/>
      <c r="VE88" s="196"/>
      <c r="VF88" s="196"/>
      <c r="VG88" s="196"/>
      <c r="VH88" s="196"/>
      <c r="VI88" s="198"/>
      <c r="VJ88" s="196"/>
      <c r="VK88" s="196"/>
      <c r="VL88" s="196"/>
      <c r="VM88" s="196"/>
      <c r="VN88" s="196"/>
      <c r="VO88" s="199"/>
      <c r="VP88" s="196"/>
      <c r="VQ88" s="196"/>
      <c r="VR88" s="196"/>
      <c r="VS88" s="196"/>
      <c r="VT88" s="196"/>
      <c r="VU88" s="198"/>
      <c r="VV88" s="196"/>
      <c r="VW88" s="196"/>
      <c r="VX88" s="196"/>
      <c r="VY88" s="196"/>
      <c r="VZ88" s="196"/>
      <c r="WA88" s="199"/>
      <c r="WB88" s="196"/>
      <c r="WC88" s="196"/>
      <c r="WD88" s="196"/>
      <c r="WE88" s="196"/>
      <c r="WF88" s="196"/>
      <c r="WG88" s="200"/>
      <c r="WH88" s="195"/>
      <c r="WI88" s="196"/>
      <c r="WJ88" s="196"/>
      <c r="WK88" s="196"/>
      <c r="WL88" s="196"/>
      <c r="WM88" s="197"/>
      <c r="WN88" s="196"/>
      <c r="WO88" s="196"/>
      <c r="WP88" s="196"/>
      <c r="WQ88" s="196"/>
      <c r="WR88" s="196"/>
      <c r="WS88" s="198"/>
      <c r="WT88" s="196"/>
      <c r="WU88" s="196"/>
      <c r="WV88" s="196"/>
      <c r="WW88" s="196"/>
      <c r="WX88" s="196"/>
      <c r="WY88" s="199"/>
      <c r="WZ88" s="196"/>
      <c r="XA88" s="196"/>
      <c r="XB88" s="196"/>
      <c r="XC88" s="196"/>
      <c r="XD88" s="196"/>
      <c r="XE88" s="198"/>
      <c r="XF88" s="196"/>
      <c r="XG88" s="196"/>
      <c r="XH88" s="196"/>
      <c r="XI88" s="196"/>
      <c r="XJ88" s="196"/>
      <c r="XK88" s="199"/>
      <c r="XL88" s="196"/>
      <c r="XM88" s="196"/>
      <c r="XN88" s="196"/>
      <c r="XO88" s="196"/>
      <c r="XP88" s="196"/>
      <c r="XQ88" s="198"/>
      <c r="XR88" s="196"/>
      <c r="XS88" s="196"/>
      <c r="XT88" s="196"/>
      <c r="XU88" s="196"/>
      <c r="XV88" s="196"/>
      <c r="XW88" s="199"/>
      <c r="XX88" s="196"/>
      <c r="XY88" s="196"/>
      <c r="XZ88" s="196"/>
      <c r="YA88" s="196"/>
      <c r="YB88" s="196"/>
      <c r="YC88" s="198"/>
      <c r="YD88" s="196"/>
      <c r="YE88" s="196"/>
      <c r="YF88" s="196"/>
      <c r="YG88" s="196"/>
      <c r="YH88" s="196"/>
      <c r="YI88" s="199"/>
      <c r="YJ88" s="196"/>
      <c r="YK88" s="196"/>
      <c r="YL88" s="196"/>
      <c r="YM88" s="196"/>
      <c r="YN88" s="196"/>
      <c r="YO88" s="200"/>
      <c r="YP88" s="195"/>
      <c r="YQ88" s="196"/>
      <c r="YR88" s="196"/>
      <c r="YS88" s="196"/>
      <c r="YT88" s="196"/>
      <c r="YU88" s="197"/>
      <c r="YV88" s="196"/>
      <c r="YW88" s="196"/>
      <c r="YX88" s="196"/>
      <c r="YY88" s="196"/>
      <c r="YZ88" s="196"/>
      <c r="ZA88" s="198"/>
      <c r="ZB88" s="196"/>
      <c r="ZC88" s="196"/>
      <c r="ZD88" s="196"/>
      <c r="ZE88" s="196"/>
      <c r="ZF88" s="196"/>
      <c r="ZG88" s="199"/>
      <c r="ZH88" s="196"/>
      <c r="ZI88" s="196"/>
      <c r="ZJ88" s="196"/>
      <c r="ZK88" s="196"/>
      <c r="ZL88" s="196"/>
      <c r="ZM88" s="198"/>
      <c r="ZN88" s="196"/>
      <c r="ZO88" s="196"/>
      <c r="ZP88" s="196"/>
      <c r="ZQ88" s="196"/>
      <c r="ZR88" s="196"/>
      <c r="ZS88" s="199"/>
      <c r="ZT88" s="196"/>
      <c r="ZU88" s="196"/>
      <c r="ZV88" s="196"/>
      <c r="ZW88" s="196"/>
      <c r="ZX88" s="196"/>
      <c r="ZY88" s="198"/>
      <c r="ZZ88" s="196"/>
      <c r="AAA88" s="196"/>
      <c r="AAB88" s="196"/>
      <c r="AAC88" s="196"/>
      <c r="AAD88" s="196"/>
      <c r="AAE88" s="199"/>
      <c r="AAF88" s="196"/>
      <c r="AAG88" s="196"/>
      <c r="AAH88" s="196"/>
      <c r="AAI88" s="196"/>
      <c r="AAJ88" s="196"/>
      <c r="AAK88" s="198"/>
      <c r="AAL88" s="196"/>
      <c r="AAM88" s="196"/>
      <c r="AAN88" s="196"/>
      <c r="AAO88" s="196"/>
      <c r="AAP88" s="196"/>
      <c r="AAQ88" s="199"/>
      <c r="AAR88" s="196"/>
      <c r="AAS88" s="196"/>
      <c r="AAT88" s="196"/>
      <c r="AAU88" s="196"/>
      <c r="AAV88" s="196"/>
      <c r="AAW88" s="200"/>
      <c r="AAX88" s="195"/>
      <c r="AAY88" s="196"/>
      <c r="AAZ88" s="196"/>
      <c r="ABA88" s="196"/>
      <c r="ABB88" s="196"/>
      <c r="ABC88" s="197"/>
      <c r="ABD88" s="196"/>
      <c r="ABE88" s="196"/>
      <c r="ABF88" s="196"/>
      <c r="ABG88" s="196"/>
      <c r="ABH88" s="196"/>
      <c r="ABI88" s="198"/>
      <c r="ABJ88" s="196"/>
      <c r="ABK88" s="196"/>
      <c r="ABL88" s="196"/>
      <c r="ABM88" s="196"/>
      <c r="ABN88" s="196"/>
      <c r="ABO88" s="199"/>
      <c r="ABP88" s="196"/>
      <c r="ABQ88" s="196"/>
      <c r="ABR88" s="196"/>
      <c r="ABS88" s="196"/>
      <c r="ABT88" s="196"/>
      <c r="ABU88" s="198"/>
      <c r="ABV88" s="196"/>
      <c r="ABW88" s="196"/>
      <c r="ABX88" s="196"/>
      <c r="ABY88" s="196"/>
      <c r="ABZ88" s="196"/>
      <c r="ACA88" s="199"/>
      <c r="ACB88" s="196"/>
      <c r="ACC88" s="196"/>
      <c r="ACD88" s="196"/>
      <c r="ACE88" s="196"/>
      <c r="ACF88" s="196"/>
      <c r="ACG88" s="198"/>
      <c r="ACH88" s="196"/>
      <c r="ACI88" s="196"/>
      <c r="ACJ88" s="196"/>
      <c r="ACK88" s="196"/>
      <c r="ACL88" s="196"/>
      <c r="ACM88" s="199"/>
      <c r="ACN88" s="196"/>
      <c r="ACO88" s="196"/>
      <c r="ACP88" s="196"/>
      <c r="ACQ88" s="196"/>
      <c r="ACR88" s="196"/>
      <c r="ACS88" s="198"/>
      <c r="ACT88" s="196"/>
      <c r="ACU88" s="196"/>
      <c r="ACV88" s="196"/>
      <c r="ACW88" s="196"/>
      <c r="ACX88" s="196"/>
      <c r="ACY88" s="199"/>
      <c r="ACZ88" s="196"/>
      <c r="ADA88" s="196"/>
      <c r="ADB88" s="196"/>
      <c r="ADC88" s="196"/>
      <c r="ADD88" s="196"/>
      <c r="ADE88" s="200"/>
      <c r="ADF88" s="195"/>
      <c r="ADG88" s="196"/>
      <c r="ADH88" s="196"/>
      <c r="ADI88" s="196"/>
      <c r="ADJ88" s="196"/>
      <c r="ADK88" s="197"/>
      <c r="ADL88" s="196"/>
      <c r="ADM88" s="196"/>
      <c r="ADN88" s="196"/>
      <c r="ADO88" s="196"/>
      <c r="ADP88" s="196"/>
      <c r="ADQ88" s="198"/>
      <c r="ADR88" s="196"/>
      <c r="ADS88" s="196"/>
      <c r="ADT88" s="196"/>
      <c r="ADU88" s="196"/>
      <c r="ADV88" s="196"/>
      <c r="ADW88" s="199"/>
      <c r="ADX88" s="196"/>
      <c r="ADY88" s="196"/>
      <c r="ADZ88" s="196"/>
      <c r="AEA88" s="196"/>
      <c r="AEB88" s="196"/>
      <c r="AEC88" s="198"/>
      <c r="AED88" s="196"/>
      <c r="AEE88" s="196"/>
      <c r="AEF88" s="196"/>
      <c r="AEG88" s="196"/>
      <c r="AEH88" s="196"/>
      <c r="AEI88" s="199"/>
      <c r="AEJ88" s="196"/>
      <c r="AEK88" s="196"/>
      <c r="AEL88" s="196"/>
      <c r="AEM88" s="196"/>
      <c r="AEN88" s="196"/>
      <c r="AEO88" s="198"/>
      <c r="AEP88" s="196"/>
      <c r="AEQ88" s="196"/>
      <c r="AER88" s="196"/>
      <c r="AES88" s="196"/>
      <c r="AET88" s="196"/>
      <c r="AEU88" s="199"/>
      <c r="AEV88" s="196"/>
      <c r="AEW88" s="196"/>
      <c r="AEX88" s="196"/>
      <c r="AEY88" s="196"/>
      <c r="AEZ88" s="196"/>
      <c r="AFA88" s="198"/>
      <c r="AFB88" s="196"/>
      <c r="AFC88" s="196"/>
      <c r="AFD88" s="196"/>
      <c r="AFE88" s="196"/>
      <c r="AFF88" s="196"/>
      <c r="AFG88" s="199"/>
      <c r="AFH88" s="196"/>
      <c r="AFI88" s="196"/>
      <c r="AFJ88" s="196"/>
      <c r="AFK88" s="196"/>
      <c r="AFL88" s="196"/>
      <c r="AFM88" s="200"/>
      <c r="AFN88" s="195"/>
      <c r="AFO88" s="196"/>
      <c r="AFP88" s="196"/>
      <c r="AFQ88" s="196"/>
      <c r="AFR88" s="196"/>
      <c r="AFS88" s="197"/>
      <c r="AFT88" s="196"/>
      <c r="AFU88" s="196"/>
      <c r="AFV88" s="196"/>
      <c r="AFW88" s="196"/>
      <c r="AFX88" s="196"/>
      <c r="AFY88" s="198"/>
      <c r="AFZ88" s="196"/>
      <c r="AGA88" s="196"/>
      <c r="AGB88" s="196"/>
      <c r="AGC88" s="196"/>
      <c r="AGD88" s="196"/>
      <c r="AGE88" s="199"/>
      <c r="AGF88" s="196"/>
      <c r="AGG88" s="196"/>
      <c r="AGH88" s="196"/>
      <c r="AGI88" s="196"/>
      <c r="AGJ88" s="196"/>
      <c r="AGK88" s="198"/>
      <c r="AGL88" s="196"/>
      <c r="AGM88" s="196"/>
      <c r="AGN88" s="196"/>
      <c r="AGO88" s="196"/>
      <c r="AGP88" s="196"/>
      <c r="AGQ88" s="199"/>
      <c r="AGR88" s="196"/>
      <c r="AGS88" s="196"/>
      <c r="AGT88" s="196"/>
      <c r="AGU88" s="196"/>
      <c r="AGV88" s="196"/>
      <c r="AGW88" s="198"/>
      <c r="AGX88" s="196"/>
      <c r="AGY88" s="196"/>
      <c r="AGZ88" s="196"/>
      <c r="AHA88" s="196"/>
      <c r="AHB88" s="196"/>
      <c r="AHC88" s="199"/>
      <c r="AHD88" s="196"/>
      <c r="AHE88" s="196"/>
      <c r="AHF88" s="196"/>
      <c r="AHG88" s="196"/>
      <c r="AHH88" s="196"/>
      <c r="AHI88" s="198"/>
      <c r="AHJ88" s="196"/>
      <c r="AHK88" s="196"/>
      <c r="AHL88" s="196"/>
      <c r="AHM88" s="196"/>
      <c r="AHN88" s="196"/>
      <c r="AHO88" s="199"/>
      <c r="AHP88" s="196"/>
      <c r="AHQ88" s="196"/>
      <c r="AHR88" s="196"/>
      <c r="AHS88" s="196"/>
      <c r="AHT88" s="196"/>
      <c r="AHU88" s="200"/>
      <c r="AHV88" s="195"/>
      <c r="AHW88" s="196"/>
      <c r="AHX88" s="196"/>
      <c r="AHY88" s="196"/>
      <c r="AHZ88" s="196"/>
      <c r="AIA88" s="197"/>
      <c r="AIB88" s="196"/>
      <c r="AIC88" s="196"/>
      <c r="AID88" s="196"/>
      <c r="AIE88" s="196"/>
      <c r="AIF88" s="196"/>
      <c r="AIG88" s="198"/>
      <c r="AIH88" s="196"/>
      <c r="AII88" s="196"/>
      <c r="AIJ88" s="196"/>
      <c r="AIK88" s="196"/>
      <c r="AIL88" s="196"/>
      <c r="AIM88" s="199"/>
      <c r="AIN88" s="196"/>
      <c r="AIO88" s="196"/>
      <c r="AIP88" s="196"/>
      <c r="AIQ88" s="196"/>
      <c r="AIR88" s="196"/>
      <c r="AIS88" s="198"/>
      <c r="AIT88" s="196"/>
      <c r="AIU88" s="196"/>
      <c r="AIV88" s="196"/>
      <c r="AIW88" s="196"/>
      <c r="AIX88" s="196"/>
      <c r="AIY88" s="199"/>
      <c r="AIZ88" s="196"/>
      <c r="AJA88" s="196"/>
      <c r="AJB88" s="196"/>
      <c r="AJC88" s="196"/>
      <c r="AJD88" s="196"/>
      <c r="AJE88" s="198"/>
      <c r="AJF88" s="196"/>
      <c r="AJG88" s="196"/>
      <c r="AJH88" s="196"/>
      <c r="AJI88" s="196"/>
      <c r="AJJ88" s="196"/>
      <c r="AJK88" s="199"/>
      <c r="AJL88" s="196"/>
      <c r="AJM88" s="196"/>
      <c r="AJN88" s="196"/>
      <c r="AJO88" s="196"/>
      <c r="AJP88" s="196"/>
      <c r="AJQ88" s="198"/>
      <c r="AJR88" s="196"/>
      <c r="AJS88" s="196"/>
      <c r="AJT88" s="196"/>
      <c r="AJU88" s="196"/>
      <c r="AJV88" s="196"/>
      <c r="AJW88" s="199"/>
      <c r="AJX88" s="196"/>
      <c r="AJY88" s="196"/>
      <c r="AJZ88" s="196"/>
      <c r="AKA88" s="196"/>
      <c r="AKB88" s="196"/>
      <c r="AKC88" s="200"/>
      <c r="AKD88" s="195"/>
      <c r="AKE88" s="196"/>
      <c r="AKF88" s="196"/>
      <c r="AKG88" s="196"/>
      <c r="AKH88" s="196"/>
      <c r="AKI88" s="197"/>
      <c r="AKJ88" s="196"/>
      <c r="AKK88" s="196"/>
      <c r="AKL88" s="196"/>
      <c r="AKM88" s="196"/>
      <c r="AKN88" s="196"/>
      <c r="AKO88" s="198"/>
      <c r="AKP88" s="196"/>
      <c r="AKQ88" s="196"/>
      <c r="AKR88" s="196"/>
      <c r="AKS88" s="196"/>
      <c r="AKT88" s="196"/>
      <c r="AKU88" s="199"/>
      <c r="AKV88" s="196"/>
      <c r="AKW88" s="196"/>
      <c r="AKX88" s="196"/>
      <c r="AKY88" s="196"/>
      <c r="AKZ88" s="196"/>
      <c r="ALA88" s="198"/>
      <c r="ALB88" s="196"/>
      <c r="ALC88" s="196"/>
      <c r="ALD88" s="196"/>
      <c r="ALE88" s="196"/>
      <c r="ALF88" s="196"/>
      <c r="ALG88" s="199"/>
      <c r="ALH88" s="196"/>
      <c r="ALI88" s="196"/>
      <c r="ALJ88" s="196"/>
      <c r="ALK88" s="196"/>
      <c r="ALL88" s="196"/>
      <c r="ALM88" s="198"/>
      <c r="ALN88" s="196"/>
      <c r="ALO88" s="196"/>
      <c r="ALP88" s="196"/>
      <c r="ALQ88" s="196"/>
      <c r="ALR88" s="196"/>
      <c r="ALS88" s="199"/>
      <c r="ALT88" s="196"/>
      <c r="ALU88" s="196"/>
      <c r="ALV88" s="196"/>
      <c r="ALW88" s="196"/>
      <c r="ALX88" s="196"/>
      <c r="ALY88" s="198"/>
      <c r="ALZ88" s="196"/>
      <c r="AMA88" s="196"/>
      <c r="AMB88" s="196"/>
      <c r="AMC88" s="196"/>
      <c r="AMD88" s="196"/>
      <c r="AME88" s="199"/>
      <c r="AMF88" s="196"/>
      <c r="AMG88" s="196"/>
      <c r="AMH88" s="196"/>
      <c r="AMI88" s="196"/>
      <c r="AMJ88" s="196"/>
      <c r="AMK88" s="200"/>
      <c r="AML88" s="195"/>
      <c r="AMM88" s="196"/>
      <c r="AMN88" s="196"/>
      <c r="AMO88" s="196"/>
      <c r="AMP88" s="196"/>
      <c r="AMQ88" s="197"/>
      <c r="AMR88" s="196"/>
      <c r="AMS88" s="196"/>
      <c r="AMT88" s="196"/>
      <c r="AMU88" s="196"/>
      <c r="AMV88" s="196"/>
      <c r="AMW88" s="198"/>
      <c r="AMX88" s="196"/>
      <c r="AMY88" s="196"/>
      <c r="AMZ88" s="196"/>
      <c r="ANA88" s="196"/>
      <c r="ANB88" s="196"/>
      <c r="ANC88" s="199"/>
      <c r="AND88" s="196"/>
      <c r="ANE88" s="196"/>
      <c r="ANF88" s="196"/>
      <c r="ANG88" s="196"/>
      <c r="ANH88" s="196"/>
      <c r="ANI88" s="198"/>
      <c r="ANJ88" s="196"/>
      <c r="ANK88" s="196"/>
      <c r="ANL88" s="196"/>
      <c r="ANM88" s="196"/>
      <c r="ANN88" s="196"/>
      <c r="ANO88" s="199"/>
      <c r="ANP88" s="196"/>
      <c r="ANQ88" s="196"/>
      <c r="ANR88" s="196"/>
      <c r="ANS88" s="196"/>
      <c r="ANT88" s="196"/>
      <c r="ANU88" s="198"/>
      <c r="ANV88" s="196"/>
      <c r="ANW88" s="196"/>
      <c r="ANX88" s="196"/>
      <c r="ANY88" s="196"/>
      <c r="ANZ88" s="196"/>
      <c r="AOA88" s="199"/>
      <c r="AOB88" s="196"/>
      <c r="AOC88" s="196"/>
      <c r="AOD88" s="196"/>
      <c r="AOE88" s="196"/>
      <c r="AOF88" s="196"/>
      <c r="AOG88" s="198"/>
      <c r="AOH88" s="196"/>
      <c r="AOI88" s="196"/>
      <c r="AOJ88" s="196"/>
      <c r="AOK88" s="196"/>
      <c r="AOL88" s="196"/>
      <c r="AOM88" s="199"/>
      <c r="AON88" s="196"/>
      <c r="AOO88" s="196"/>
      <c r="AOP88" s="196"/>
      <c r="AOQ88" s="196"/>
      <c r="AOR88" s="196"/>
      <c r="AOS88" s="200"/>
      <c r="AOT88" s="195"/>
      <c r="AOU88" s="196"/>
      <c r="AOV88" s="196"/>
      <c r="AOW88" s="196"/>
      <c r="AOX88" s="196"/>
      <c r="AOY88" s="197"/>
      <c r="AOZ88" s="196"/>
      <c r="APA88" s="196"/>
      <c r="APB88" s="196"/>
      <c r="APC88" s="196"/>
      <c r="APD88" s="196"/>
      <c r="APE88" s="198"/>
      <c r="APF88" s="196"/>
      <c r="APG88" s="196"/>
      <c r="APH88" s="196"/>
      <c r="API88" s="196"/>
      <c r="APJ88" s="196"/>
      <c r="APK88" s="199"/>
      <c r="APL88" s="196"/>
      <c r="APM88" s="196"/>
      <c r="APN88" s="196"/>
      <c r="APO88" s="196"/>
      <c r="APP88" s="196"/>
      <c r="APQ88" s="198"/>
      <c r="APR88" s="196"/>
      <c r="APS88" s="196"/>
      <c r="APT88" s="196"/>
      <c r="APU88" s="196"/>
      <c r="APV88" s="196"/>
      <c r="APW88" s="199"/>
      <c r="APX88" s="196"/>
      <c r="APY88" s="196"/>
      <c r="APZ88" s="196"/>
      <c r="AQA88" s="196"/>
      <c r="AQB88" s="196"/>
      <c r="AQC88" s="198"/>
      <c r="AQD88" s="196"/>
      <c r="AQE88" s="196"/>
      <c r="AQF88" s="196"/>
      <c r="AQG88" s="196"/>
      <c r="AQH88" s="196"/>
      <c r="AQI88" s="199"/>
      <c r="AQJ88" s="196"/>
      <c r="AQK88" s="196"/>
      <c r="AQL88" s="196"/>
      <c r="AQM88" s="196"/>
      <c r="AQN88" s="196"/>
      <c r="AQO88" s="198"/>
      <c r="AQP88" s="196"/>
      <c r="AQQ88" s="196"/>
      <c r="AQR88" s="196"/>
      <c r="AQS88" s="196"/>
      <c r="AQT88" s="196"/>
      <c r="AQU88" s="199"/>
      <c r="AQV88" s="196"/>
      <c r="AQW88" s="196"/>
      <c r="AQX88" s="196"/>
      <c r="AQY88" s="196"/>
      <c r="AQZ88" s="196"/>
      <c r="ARA88" s="200"/>
      <c r="ARB88" s="195"/>
      <c r="ARC88" s="196"/>
      <c r="ARD88" s="196"/>
      <c r="ARE88" s="196"/>
      <c r="ARF88" s="196"/>
      <c r="ARG88" s="197"/>
      <c r="ARH88" s="196"/>
      <c r="ARI88" s="196"/>
      <c r="ARJ88" s="196"/>
      <c r="ARK88" s="196"/>
      <c r="ARL88" s="196"/>
      <c r="ARM88" s="198"/>
      <c r="ARN88" s="196"/>
      <c r="ARO88" s="196"/>
      <c r="ARP88" s="196"/>
      <c r="ARQ88" s="196"/>
      <c r="ARR88" s="196"/>
      <c r="ARS88" s="199"/>
      <c r="ART88" s="196"/>
      <c r="ARU88" s="196"/>
      <c r="ARV88" s="196"/>
      <c r="ARW88" s="196"/>
      <c r="ARX88" s="196"/>
      <c r="ARY88" s="198"/>
      <c r="ARZ88" s="196"/>
      <c r="ASA88" s="196"/>
      <c r="ASB88" s="196"/>
      <c r="ASC88" s="196"/>
      <c r="ASD88" s="196"/>
      <c r="ASE88" s="199"/>
      <c r="ASF88" s="196"/>
      <c r="ASG88" s="196"/>
      <c r="ASH88" s="196"/>
      <c r="ASI88" s="196"/>
      <c r="ASJ88" s="196"/>
      <c r="ASK88" s="198"/>
      <c r="ASL88" s="196"/>
      <c r="ASM88" s="196"/>
      <c r="ASN88" s="196"/>
      <c r="ASO88" s="196"/>
      <c r="ASP88" s="196"/>
      <c r="ASQ88" s="199"/>
      <c r="ASR88" s="196"/>
      <c r="ASS88" s="196"/>
      <c r="AST88" s="196"/>
      <c r="ASU88" s="196"/>
      <c r="ASV88" s="196"/>
      <c r="ASW88" s="198"/>
      <c r="ASX88" s="196"/>
      <c r="ASY88" s="196"/>
      <c r="ASZ88" s="196"/>
      <c r="ATA88" s="196"/>
      <c r="ATB88" s="196"/>
      <c r="ATC88" s="199"/>
      <c r="ATD88" s="196"/>
      <c r="ATE88" s="196"/>
      <c r="ATF88" s="196"/>
      <c r="ATG88" s="196"/>
      <c r="ATH88" s="196"/>
      <c r="ATI88" s="200"/>
      <c r="ATJ88" s="195"/>
      <c r="ATK88" s="196"/>
      <c r="ATL88" s="196"/>
      <c r="ATM88" s="196"/>
      <c r="ATN88" s="196"/>
      <c r="ATO88" s="197"/>
      <c r="ATP88" s="196"/>
      <c r="ATQ88" s="196"/>
      <c r="ATR88" s="196"/>
      <c r="ATS88" s="196"/>
      <c r="ATT88" s="196"/>
      <c r="ATU88" s="198"/>
      <c r="ATV88" s="196"/>
      <c r="ATW88" s="196"/>
      <c r="ATX88" s="196"/>
      <c r="ATY88" s="196"/>
      <c r="ATZ88" s="196"/>
      <c r="AUA88" s="199"/>
      <c r="AUB88" s="196"/>
      <c r="AUC88" s="196"/>
      <c r="AUD88" s="196"/>
      <c r="AUE88" s="196"/>
      <c r="AUF88" s="196"/>
      <c r="AUG88" s="198"/>
      <c r="AUH88" s="196"/>
      <c r="AUI88" s="196"/>
      <c r="AUJ88" s="196"/>
      <c r="AUK88" s="196"/>
      <c r="AUL88" s="196"/>
      <c r="AUM88" s="199"/>
      <c r="AUN88" s="196"/>
      <c r="AUO88" s="196"/>
      <c r="AUP88" s="196"/>
      <c r="AUQ88" s="196"/>
      <c r="AUR88" s="196"/>
      <c r="AUS88" s="198"/>
      <c r="AUT88" s="196"/>
      <c r="AUU88" s="196"/>
      <c r="AUV88" s="196"/>
      <c r="AUW88" s="196"/>
      <c r="AUX88" s="196"/>
      <c r="AUY88" s="199"/>
      <c r="AUZ88" s="196"/>
      <c r="AVA88" s="196"/>
      <c r="AVB88" s="196"/>
      <c r="AVC88" s="196"/>
      <c r="AVD88" s="196"/>
      <c r="AVE88" s="198"/>
      <c r="AVF88" s="196"/>
      <c r="AVG88" s="196"/>
      <c r="AVH88" s="196"/>
      <c r="AVI88" s="196"/>
      <c r="AVJ88" s="196"/>
      <c r="AVK88" s="199"/>
      <c r="AVL88" s="196"/>
      <c r="AVM88" s="196"/>
      <c r="AVN88" s="196"/>
      <c r="AVO88" s="196"/>
      <c r="AVP88" s="196"/>
      <c r="AVQ88" s="200"/>
      <c r="AVR88" s="195"/>
      <c r="AVS88" s="196"/>
      <c r="AVT88" s="196"/>
      <c r="AVU88" s="196"/>
      <c r="AVV88" s="196"/>
      <c r="AVW88" s="197"/>
      <c r="AVX88" s="196"/>
      <c r="AVY88" s="196"/>
      <c r="AVZ88" s="196"/>
      <c r="AWA88" s="196"/>
      <c r="AWB88" s="196"/>
      <c r="AWC88" s="198"/>
      <c r="AWD88" s="196"/>
      <c r="AWE88" s="196"/>
      <c r="AWF88" s="196"/>
      <c r="AWG88" s="196"/>
      <c r="AWH88" s="196"/>
      <c r="AWI88" s="199"/>
      <c r="AWJ88" s="196"/>
      <c r="AWK88" s="196"/>
      <c r="AWL88" s="196"/>
      <c r="AWM88" s="196"/>
      <c r="AWN88" s="196"/>
      <c r="AWO88" s="198"/>
      <c r="AWP88" s="196"/>
      <c r="AWQ88" s="196"/>
      <c r="AWR88" s="196"/>
      <c r="AWS88" s="196"/>
      <c r="AWT88" s="196"/>
      <c r="AWU88" s="199"/>
      <c r="AWV88" s="196"/>
      <c r="AWW88" s="196"/>
      <c r="AWX88" s="196"/>
      <c r="AWY88" s="196"/>
      <c r="AWZ88" s="196"/>
      <c r="AXA88" s="198"/>
      <c r="AXB88" s="196"/>
      <c r="AXC88" s="196"/>
      <c r="AXD88" s="196"/>
      <c r="AXE88" s="196"/>
      <c r="AXF88" s="196"/>
      <c r="AXG88" s="199"/>
      <c r="AXH88" s="196"/>
      <c r="AXI88" s="196"/>
      <c r="AXJ88" s="196"/>
      <c r="AXK88" s="196"/>
      <c r="AXL88" s="196"/>
      <c r="AXM88" s="198"/>
      <c r="AXN88" s="196"/>
      <c r="AXO88" s="196"/>
      <c r="AXP88" s="196"/>
      <c r="AXQ88" s="196"/>
      <c r="AXR88" s="196"/>
      <c r="AXS88" s="199"/>
      <c r="AXT88" s="196"/>
      <c r="AXU88" s="196"/>
      <c r="AXV88" s="196"/>
      <c r="AXW88" s="196"/>
      <c r="AXX88" s="196"/>
      <c r="AXY88" s="200"/>
      <c r="AXZ88" s="195"/>
      <c r="AYA88" s="196"/>
      <c r="AYB88" s="196"/>
      <c r="AYC88" s="196"/>
      <c r="AYD88" s="196"/>
      <c r="AYE88" s="197"/>
      <c r="AYF88" s="196"/>
      <c r="AYG88" s="196"/>
      <c r="AYH88" s="196"/>
      <c r="AYI88" s="196"/>
      <c r="AYJ88" s="196"/>
      <c r="AYK88" s="198"/>
      <c r="AYL88" s="196"/>
      <c r="AYM88" s="196"/>
      <c r="AYN88" s="196"/>
      <c r="AYO88" s="196"/>
      <c r="AYP88" s="196"/>
      <c r="AYQ88" s="199"/>
      <c r="AYR88" s="196"/>
      <c r="AYS88" s="196"/>
      <c r="AYT88" s="196"/>
      <c r="AYU88" s="196"/>
      <c r="AYV88" s="196"/>
      <c r="AYW88" s="198"/>
      <c r="AYX88" s="196"/>
      <c r="AYY88" s="196"/>
      <c r="AYZ88" s="196"/>
      <c r="AZA88" s="196"/>
      <c r="AZB88" s="196"/>
      <c r="AZC88" s="199"/>
      <c r="AZD88" s="196"/>
      <c r="AZE88" s="196"/>
      <c r="AZF88" s="196"/>
      <c r="AZG88" s="196"/>
      <c r="AZH88" s="196"/>
      <c r="AZI88" s="198"/>
      <c r="AZJ88" s="196"/>
      <c r="AZK88" s="196"/>
      <c r="AZL88" s="196"/>
      <c r="AZM88" s="196"/>
      <c r="AZN88" s="196"/>
      <c r="AZO88" s="199"/>
      <c r="AZP88" s="196"/>
      <c r="AZQ88" s="196"/>
      <c r="AZR88" s="196"/>
      <c r="AZS88" s="196"/>
      <c r="AZT88" s="196"/>
      <c r="AZU88" s="198"/>
      <c r="AZV88" s="196"/>
      <c r="AZW88" s="196"/>
      <c r="AZX88" s="196"/>
      <c r="AZY88" s="196"/>
      <c r="AZZ88" s="196"/>
      <c r="BAA88" s="199"/>
      <c r="BAB88" s="196"/>
      <c r="BAC88" s="196"/>
      <c r="BAD88" s="196"/>
      <c r="BAE88" s="196"/>
      <c r="BAF88" s="196"/>
      <c r="BAG88" s="200"/>
      <c r="BAH88" s="195"/>
      <c r="BAI88" s="196"/>
      <c r="BAJ88" s="196"/>
      <c r="BAK88" s="196"/>
      <c r="BAL88" s="196"/>
      <c r="BAM88" s="197"/>
      <c r="BAN88" s="196"/>
      <c r="BAO88" s="196"/>
      <c r="BAP88" s="196"/>
      <c r="BAQ88" s="196"/>
      <c r="BAR88" s="196"/>
      <c r="BAS88" s="198"/>
      <c r="BAT88" s="196"/>
      <c r="BAU88" s="196"/>
      <c r="BAV88" s="196"/>
      <c r="BAW88" s="196"/>
      <c r="BAX88" s="196"/>
      <c r="BAY88" s="199"/>
      <c r="BAZ88" s="196"/>
      <c r="BBA88" s="196"/>
      <c r="BBB88" s="196"/>
      <c r="BBC88" s="196"/>
      <c r="BBD88" s="196"/>
      <c r="BBE88" s="198"/>
      <c r="BBF88" s="196"/>
      <c r="BBG88" s="196"/>
      <c r="BBH88" s="196"/>
      <c r="BBI88" s="196"/>
      <c r="BBJ88" s="196"/>
      <c r="BBK88" s="199"/>
      <c r="BBL88" s="196"/>
      <c r="BBM88" s="196"/>
      <c r="BBN88" s="196"/>
      <c r="BBO88" s="196"/>
      <c r="BBP88" s="196"/>
      <c r="BBQ88" s="198"/>
      <c r="BBR88" s="196"/>
      <c r="BBS88" s="196"/>
      <c r="BBT88" s="196"/>
      <c r="BBU88" s="196"/>
      <c r="BBV88" s="196"/>
      <c r="BBW88" s="199"/>
      <c r="BBX88" s="196"/>
      <c r="BBY88" s="196"/>
      <c r="BBZ88" s="196"/>
      <c r="BCA88" s="196"/>
      <c r="BCB88" s="196"/>
      <c r="BCC88" s="198"/>
      <c r="BCD88" s="196"/>
      <c r="BCE88" s="196"/>
      <c r="BCF88" s="196"/>
      <c r="BCG88" s="196"/>
      <c r="BCH88" s="196"/>
      <c r="BCI88" s="199"/>
      <c r="BCJ88" s="196"/>
      <c r="BCK88" s="196"/>
      <c r="BCL88" s="196"/>
      <c r="BCM88" s="196"/>
      <c r="BCN88" s="196"/>
      <c r="BCO88" s="200"/>
      <c r="BCP88" s="195"/>
      <c r="BCQ88" s="196"/>
      <c r="BCR88" s="196"/>
      <c r="BCS88" s="196"/>
      <c r="BCT88" s="196"/>
      <c r="BCU88" s="197"/>
      <c r="BCV88" s="196"/>
      <c r="BCW88" s="196"/>
      <c r="BCX88" s="196"/>
      <c r="BCY88" s="196"/>
      <c r="BCZ88" s="196"/>
      <c r="BDA88" s="198"/>
      <c r="BDB88" s="196"/>
      <c r="BDC88" s="196"/>
      <c r="BDD88" s="196"/>
      <c r="BDE88" s="196"/>
      <c r="BDF88" s="196"/>
      <c r="BDG88" s="199"/>
      <c r="BDH88" s="196"/>
      <c r="BDI88" s="196"/>
      <c r="BDJ88" s="196"/>
      <c r="BDK88" s="196"/>
      <c r="BDL88" s="196"/>
      <c r="BDM88" s="198"/>
      <c r="BDN88" s="196"/>
      <c r="BDO88" s="196"/>
      <c r="BDP88" s="196"/>
      <c r="BDQ88" s="196"/>
      <c r="BDR88" s="196"/>
      <c r="BDS88" s="199"/>
      <c r="BDT88" s="196"/>
      <c r="BDU88" s="196"/>
      <c r="BDV88" s="196"/>
      <c r="BDW88" s="196"/>
      <c r="BDX88" s="196"/>
      <c r="BDY88" s="198"/>
      <c r="BDZ88" s="196"/>
      <c r="BEA88" s="196"/>
      <c r="BEB88" s="196"/>
      <c r="BEC88" s="196"/>
      <c r="BED88" s="196"/>
      <c r="BEE88" s="199"/>
      <c r="BEF88" s="196"/>
      <c r="BEG88" s="196"/>
      <c r="BEH88" s="196"/>
      <c r="BEI88" s="196"/>
      <c r="BEJ88" s="196"/>
      <c r="BEK88" s="198"/>
      <c r="BEL88" s="196"/>
      <c r="BEM88" s="196"/>
      <c r="BEN88" s="196"/>
      <c r="BEO88" s="196"/>
      <c r="BEP88" s="196"/>
      <c r="BEQ88" s="199"/>
      <c r="BER88" s="196"/>
      <c r="BES88" s="196"/>
      <c r="BET88" s="196"/>
      <c r="BEU88" s="196"/>
      <c r="BEV88" s="196"/>
      <c r="BEW88" s="200"/>
      <c r="BEX88" s="195"/>
      <c r="BEY88" s="196"/>
      <c r="BEZ88" s="196"/>
      <c r="BFA88" s="196"/>
      <c r="BFB88" s="196"/>
      <c r="BFC88" s="197"/>
      <c r="BFD88" s="196"/>
      <c r="BFE88" s="196"/>
      <c r="BFF88" s="196"/>
      <c r="BFG88" s="196"/>
      <c r="BFH88" s="196"/>
      <c r="BFI88" s="198"/>
      <c r="BFJ88" s="196"/>
      <c r="BFK88" s="196"/>
      <c r="BFL88" s="196"/>
      <c r="BFM88" s="196"/>
      <c r="BFN88" s="196"/>
      <c r="BFO88" s="199"/>
      <c r="BFP88" s="196"/>
      <c r="BFQ88" s="196"/>
      <c r="BFR88" s="196"/>
      <c r="BFS88" s="196"/>
      <c r="BFT88" s="196"/>
      <c r="BFU88" s="198"/>
      <c r="BFV88" s="196"/>
      <c r="BFW88" s="196"/>
      <c r="BFX88" s="196"/>
      <c r="BFY88" s="196"/>
      <c r="BFZ88" s="196"/>
      <c r="BGA88" s="199"/>
      <c r="BGB88" s="196"/>
      <c r="BGC88" s="196"/>
      <c r="BGD88" s="196"/>
      <c r="BGE88" s="196"/>
      <c r="BGF88" s="196"/>
      <c r="BGG88" s="198"/>
      <c r="BGH88" s="196"/>
      <c r="BGI88" s="196"/>
      <c r="BGJ88" s="196"/>
      <c r="BGK88" s="196"/>
      <c r="BGL88" s="196"/>
      <c r="BGM88" s="199"/>
      <c r="BGN88" s="196"/>
      <c r="BGO88" s="196"/>
      <c r="BGP88" s="196"/>
      <c r="BGQ88" s="196"/>
      <c r="BGR88" s="196"/>
      <c r="BGS88" s="198"/>
      <c r="BGT88" s="196"/>
      <c r="BGU88" s="196"/>
      <c r="BGV88" s="196"/>
      <c r="BGW88" s="196"/>
      <c r="BGX88" s="196"/>
      <c r="BGY88" s="199"/>
      <c r="BGZ88" s="196"/>
      <c r="BHA88" s="196"/>
      <c r="BHB88" s="196"/>
      <c r="BHC88" s="196"/>
      <c r="BHD88" s="196"/>
      <c r="BHE88" s="200"/>
      <c r="BHF88" s="187"/>
      <c r="BHG88" s="188"/>
      <c r="BHH88" s="188"/>
      <c r="BHI88" s="188"/>
      <c r="BHJ88" s="188"/>
      <c r="BHK88" s="188"/>
      <c r="BHL88" s="188"/>
      <c r="BHM88" s="188"/>
      <c r="BHN88" s="188"/>
      <c r="BHO88" s="188"/>
      <c r="BHP88" s="188"/>
      <c r="BHQ88" s="188"/>
      <c r="BHR88" s="188"/>
      <c r="BHS88" s="188"/>
      <c r="BHT88" s="188"/>
      <c r="BHU88" s="188"/>
      <c r="BHV88" s="188"/>
      <c r="BHW88" s="188"/>
      <c r="BHX88" s="188"/>
      <c r="BHY88" s="188"/>
      <c r="BHZ88" s="188"/>
      <c r="BIA88" s="188"/>
      <c r="BIB88" s="188"/>
      <c r="BIC88" s="188"/>
      <c r="BID88" s="188"/>
      <c r="BIE88" s="188"/>
      <c r="BIF88" s="188"/>
      <c r="BIG88" s="188"/>
      <c r="BIH88" s="188"/>
      <c r="BII88" s="188"/>
      <c r="BIJ88" s="188"/>
      <c r="BIK88" s="188"/>
      <c r="BIL88" s="188"/>
      <c r="BIM88" s="188"/>
      <c r="BIN88" s="188"/>
      <c r="BIO88" s="188"/>
      <c r="BIP88" s="188"/>
    </row>
    <row r="89" spans="1:1602" ht="20.100000000000001" customHeight="1" x14ac:dyDescent="0.25">
      <c r="A89" s="78" t="s">
        <v>49</v>
      </c>
      <c r="B89" s="51"/>
      <c r="C89" s="23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87"/>
      <c r="BHG89" s="188"/>
      <c r="BHH89" s="188"/>
      <c r="BHI89" s="188"/>
      <c r="BHJ89" s="188"/>
      <c r="BHK89" s="188"/>
      <c r="BHL89" s="188"/>
      <c r="BHM89" s="188"/>
      <c r="BHN89" s="188"/>
      <c r="BHO89" s="188"/>
      <c r="BHP89" s="188"/>
      <c r="BHQ89" s="188"/>
      <c r="BHR89" s="188"/>
      <c r="BHS89" s="188"/>
      <c r="BHT89" s="188"/>
      <c r="BHU89" s="188"/>
      <c r="BHV89" s="188"/>
      <c r="BHW89" s="188"/>
      <c r="BHX89" s="188"/>
      <c r="BHY89" s="188"/>
      <c r="BHZ89" s="188"/>
      <c r="BIA89" s="188"/>
      <c r="BIB89" s="188"/>
      <c r="BIC89" s="188"/>
      <c r="BID89" s="188"/>
      <c r="BIE89" s="188"/>
      <c r="BIF89" s="188"/>
      <c r="BIG89" s="188"/>
      <c r="BIH89" s="188"/>
      <c r="BII89" s="188"/>
      <c r="BIJ89" s="188"/>
      <c r="BIK89" s="188"/>
      <c r="BIL89" s="188"/>
      <c r="BIM89" s="188"/>
      <c r="BIN89" s="188"/>
      <c r="BIO89" s="188"/>
      <c r="BIP89" s="188"/>
    </row>
    <row r="90" spans="1:1602" ht="20.100000000000001" customHeight="1" x14ac:dyDescent="0.3">
      <c r="A90" s="78" t="s">
        <v>50</v>
      </c>
      <c r="B90" s="51"/>
      <c r="C90" s="231"/>
      <c r="D90" s="121" t="str">
        <f t="shared" si="1"/>
        <v/>
      </c>
      <c r="E90" s="30">
        <v>0</v>
      </c>
      <c r="F90" s="195"/>
      <c r="G90" s="196"/>
      <c r="H90" s="196"/>
      <c r="I90" s="196"/>
      <c r="J90" s="196"/>
      <c r="K90" s="197"/>
      <c r="L90" s="196"/>
      <c r="M90" s="196"/>
      <c r="N90" s="196"/>
      <c r="O90" s="196"/>
      <c r="P90" s="196"/>
      <c r="Q90" s="198"/>
      <c r="R90" s="196"/>
      <c r="S90" s="196"/>
      <c r="T90" s="196"/>
      <c r="U90" s="196"/>
      <c r="V90" s="196"/>
      <c r="W90" s="199"/>
      <c r="X90" s="196"/>
      <c r="Y90" s="196"/>
      <c r="Z90" s="196"/>
      <c r="AA90" s="196"/>
      <c r="AB90" s="196"/>
      <c r="AC90" s="198"/>
      <c r="AD90" s="196"/>
      <c r="AE90" s="196"/>
      <c r="AF90" s="196"/>
      <c r="AG90" s="196"/>
      <c r="AH90" s="196"/>
      <c r="AI90" s="199"/>
      <c r="AJ90" s="196"/>
      <c r="AK90" s="196"/>
      <c r="AL90" s="196"/>
      <c r="AM90" s="196"/>
      <c r="AN90" s="196"/>
      <c r="AO90" s="198"/>
      <c r="AP90" s="196"/>
      <c r="AQ90" s="196"/>
      <c r="AR90" s="196"/>
      <c r="AS90" s="196"/>
      <c r="AT90" s="196"/>
      <c r="AU90" s="199"/>
      <c r="AV90" s="196"/>
      <c r="AW90" s="196"/>
      <c r="AX90" s="196"/>
      <c r="AY90" s="196"/>
      <c r="AZ90" s="196"/>
      <c r="BA90" s="198"/>
      <c r="BB90" s="196"/>
      <c r="BC90" s="196"/>
      <c r="BD90" s="196"/>
      <c r="BE90" s="196"/>
      <c r="BF90" s="196"/>
      <c r="BG90" s="199"/>
      <c r="BH90" s="196"/>
      <c r="BI90" s="196"/>
      <c r="BJ90" s="196"/>
      <c r="BK90" s="196"/>
      <c r="BL90" s="196"/>
      <c r="BM90" s="200"/>
      <c r="BN90" s="195"/>
      <c r="BO90" s="196"/>
      <c r="BP90" s="196"/>
      <c r="BQ90" s="196"/>
      <c r="BR90" s="196"/>
      <c r="BS90" s="197"/>
      <c r="BT90" s="196"/>
      <c r="BU90" s="196"/>
      <c r="BV90" s="196"/>
      <c r="BW90" s="196"/>
      <c r="BX90" s="196"/>
      <c r="BY90" s="198"/>
      <c r="BZ90" s="196"/>
      <c r="CA90" s="196"/>
      <c r="CB90" s="196"/>
      <c r="CC90" s="196"/>
      <c r="CD90" s="196"/>
      <c r="CE90" s="199"/>
      <c r="CF90" s="196"/>
      <c r="CG90" s="196"/>
      <c r="CH90" s="196"/>
      <c r="CI90" s="196"/>
      <c r="CJ90" s="196"/>
      <c r="CK90" s="198"/>
      <c r="CL90" s="196"/>
      <c r="CM90" s="196"/>
      <c r="CN90" s="196"/>
      <c r="CO90" s="196"/>
      <c r="CP90" s="196"/>
      <c r="CQ90" s="199"/>
      <c r="CR90" s="196"/>
      <c r="CS90" s="196"/>
      <c r="CT90" s="196"/>
      <c r="CU90" s="196"/>
      <c r="CV90" s="196"/>
      <c r="CW90" s="198"/>
      <c r="CX90" s="196"/>
      <c r="CY90" s="196"/>
      <c r="CZ90" s="196"/>
      <c r="DA90" s="196"/>
      <c r="DB90" s="196"/>
      <c r="DC90" s="199"/>
      <c r="DD90" s="196"/>
      <c r="DE90" s="196"/>
      <c r="DF90" s="196"/>
      <c r="DG90" s="196"/>
      <c r="DH90" s="196"/>
      <c r="DI90" s="198"/>
      <c r="DJ90" s="196"/>
      <c r="DK90" s="196"/>
      <c r="DL90" s="196"/>
      <c r="DM90" s="196"/>
      <c r="DN90" s="196"/>
      <c r="DO90" s="199"/>
      <c r="DP90" s="196"/>
      <c r="DQ90" s="196"/>
      <c r="DR90" s="196"/>
      <c r="DS90" s="196"/>
      <c r="DT90" s="196"/>
      <c r="DU90" s="200"/>
      <c r="DV90" s="195"/>
      <c r="DW90" s="196"/>
      <c r="DX90" s="196"/>
      <c r="DY90" s="196"/>
      <c r="DZ90" s="196"/>
      <c r="EA90" s="197"/>
      <c r="EB90" s="196"/>
      <c r="EC90" s="196"/>
      <c r="ED90" s="196"/>
      <c r="EE90" s="196"/>
      <c r="EF90" s="196"/>
      <c r="EG90" s="198"/>
      <c r="EH90" s="196"/>
      <c r="EI90" s="196"/>
      <c r="EJ90" s="196"/>
      <c r="EK90" s="196"/>
      <c r="EL90" s="196"/>
      <c r="EM90" s="199"/>
      <c r="EN90" s="196"/>
      <c r="EO90" s="196"/>
      <c r="EP90" s="196"/>
      <c r="EQ90" s="196"/>
      <c r="ER90" s="196"/>
      <c r="ES90" s="198"/>
      <c r="ET90" s="196"/>
      <c r="EU90" s="196"/>
      <c r="EV90" s="196"/>
      <c r="EW90" s="196"/>
      <c r="EX90" s="196"/>
      <c r="EY90" s="199"/>
      <c r="EZ90" s="196"/>
      <c r="FA90" s="196"/>
      <c r="FB90" s="196"/>
      <c r="FC90" s="196"/>
      <c r="FD90" s="196"/>
      <c r="FE90" s="198"/>
      <c r="FF90" s="196"/>
      <c r="FG90" s="196"/>
      <c r="FH90" s="196"/>
      <c r="FI90" s="196"/>
      <c r="FJ90" s="196"/>
      <c r="FK90" s="199"/>
      <c r="FL90" s="196"/>
      <c r="FM90" s="196"/>
      <c r="FN90" s="196"/>
      <c r="FO90" s="196"/>
      <c r="FP90" s="196"/>
      <c r="FQ90" s="198"/>
      <c r="FR90" s="196"/>
      <c r="FS90" s="196"/>
      <c r="FT90" s="196"/>
      <c r="FU90" s="196"/>
      <c r="FV90" s="196"/>
      <c r="FW90" s="199"/>
      <c r="FX90" s="196"/>
      <c r="FY90" s="196"/>
      <c r="FZ90" s="196"/>
      <c r="GA90" s="196"/>
      <c r="GB90" s="196"/>
      <c r="GC90" s="200"/>
      <c r="GD90" s="195"/>
      <c r="GE90" s="196"/>
      <c r="GF90" s="196"/>
      <c r="GG90" s="196"/>
      <c r="GH90" s="196"/>
      <c r="GI90" s="197"/>
      <c r="GJ90" s="196"/>
      <c r="GK90" s="196"/>
      <c r="GL90" s="196"/>
      <c r="GM90" s="196"/>
      <c r="GN90" s="196"/>
      <c r="GO90" s="198"/>
      <c r="GP90" s="196"/>
      <c r="GQ90" s="196"/>
      <c r="GR90" s="196"/>
      <c r="GS90" s="196"/>
      <c r="GT90" s="196"/>
      <c r="GU90" s="199"/>
      <c r="GV90" s="196"/>
      <c r="GW90" s="196"/>
      <c r="GX90" s="196"/>
      <c r="GY90" s="196"/>
      <c r="GZ90" s="196"/>
      <c r="HA90" s="198"/>
      <c r="HB90" s="196"/>
      <c r="HC90" s="196"/>
      <c r="HD90" s="196"/>
      <c r="HE90" s="196"/>
      <c r="HF90" s="196"/>
      <c r="HG90" s="199"/>
      <c r="HH90" s="196"/>
      <c r="HI90" s="196"/>
      <c r="HJ90" s="196"/>
      <c r="HK90" s="196"/>
      <c r="HL90" s="196"/>
      <c r="HM90" s="198"/>
      <c r="HN90" s="196"/>
      <c r="HO90" s="196"/>
      <c r="HP90" s="196"/>
      <c r="HQ90" s="196"/>
      <c r="HR90" s="196"/>
      <c r="HS90" s="199"/>
      <c r="HT90" s="196"/>
      <c r="HU90" s="196"/>
      <c r="HV90" s="196"/>
      <c r="HW90" s="196"/>
      <c r="HX90" s="196"/>
      <c r="HY90" s="198"/>
      <c r="HZ90" s="196"/>
      <c r="IA90" s="196"/>
      <c r="IB90" s="196"/>
      <c r="IC90" s="196"/>
      <c r="ID90" s="196"/>
      <c r="IE90" s="199"/>
      <c r="IF90" s="196"/>
      <c r="IG90" s="196"/>
      <c r="IH90" s="196"/>
      <c r="II90" s="196"/>
      <c r="IJ90" s="196"/>
      <c r="IK90" s="200"/>
      <c r="IL90" s="195"/>
      <c r="IM90" s="196"/>
      <c r="IN90" s="196"/>
      <c r="IO90" s="196"/>
      <c r="IP90" s="196"/>
      <c r="IQ90" s="197"/>
      <c r="IR90" s="196"/>
      <c r="IS90" s="196"/>
      <c r="IT90" s="196"/>
      <c r="IU90" s="196"/>
      <c r="IV90" s="196"/>
      <c r="IW90" s="198"/>
      <c r="IX90" s="196"/>
      <c r="IY90" s="196"/>
      <c r="IZ90" s="196"/>
      <c r="JA90" s="196"/>
      <c r="JB90" s="196"/>
      <c r="JC90" s="199"/>
      <c r="JD90" s="196"/>
      <c r="JE90" s="196"/>
      <c r="JF90" s="196"/>
      <c r="JG90" s="196"/>
      <c r="JH90" s="196"/>
      <c r="JI90" s="198"/>
      <c r="JJ90" s="196"/>
      <c r="JK90" s="196"/>
      <c r="JL90" s="196"/>
      <c r="JM90" s="196"/>
      <c r="JN90" s="196"/>
      <c r="JO90" s="199"/>
      <c r="JP90" s="196"/>
      <c r="JQ90" s="196"/>
      <c r="JR90" s="196"/>
      <c r="JS90" s="196"/>
      <c r="JT90" s="196"/>
      <c r="JU90" s="198"/>
      <c r="JV90" s="196"/>
      <c r="JW90" s="196"/>
      <c r="JX90" s="196"/>
      <c r="JY90" s="196"/>
      <c r="JZ90" s="196"/>
      <c r="KA90" s="199"/>
      <c r="KB90" s="196"/>
      <c r="KC90" s="196"/>
      <c r="KD90" s="196"/>
      <c r="KE90" s="196"/>
      <c r="KF90" s="196"/>
      <c r="KG90" s="198"/>
      <c r="KH90" s="196"/>
      <c r="KI90" s="196"/>
      <c r="KJ90" s="196"/>
      <c r="KK90" s="196"/>
      <c r="KL90" s="196"/>
      <c r="KM90" s="199"/>
      <c r="KN90" s="196"/>
      <c r="KO90" s="196"/>
      <c r="KP90" s="196"/>
      <c r="KQ90" s="196"/>
      <c r="KR90" s="196"/>
      <c r="KS90" s="200"/>
      <c r="KT90" s="195"/>
      <c r="KU90" s="196"/>
      <c r="KV90" s="196"/>
      <c r="KW90" s="196"/>
      <c r="KX90" s="196"/>
      <c r="KY90" s="197"/>
      <c r="KZ90" s="196"/>
      <c r="LA90" s="196"/>
      <c r="LB90" s="196"/>
      <c r="LC90" s="196"/>
      <c r="LD90" s="196"/>
      <c r="LE90" s="198"/>
      <c r="LF90" s="196"/>
      <c r="LG90" s="196"/>
      <c r="LH90" s="196"/>
      <c r="LI90" s="196"/>
      <c r="LJ90" s="196"/>
      <c r="LK90" s="199"/>
      <c r="LL90" s="196"/>
      <c r="LM90" s="196"/>
      <c r="LN90" s="196"/>
      <c r="LO90" s="196"/>
      <c r="LP90" s="196"/>
      <c r="LQ90" s="198"/>
      <c r="LR90" s="196"/>
      <c r="LS90" s="196"/>
      <c r="LT90" s="196"/>
      <c r="LU90" s="196"/>
      <c r="LV90" s="196"/>
      <c r="LW90" s="199"/>
      <c r="LX90" s="196"/>
      <c r="LY90" s="196"/>
      <c r="LZ90" s="196"/>
      <c r="MA90" s="196"/>
      <c r="MB90" s="196"/>
      <c r="MC90" s="198"/>
      <c r="MD90" s="196"/>
      <c r="ME90" s="196"/>
      <c r="MF90" s="196"/>
      <c r="MG90" s="196"/>
      <c r="MH90" s="196"/>
      <c r="MI90" s="199"/>
      <c r="MJ90" s="196"/>
      <c r="MK90" s="196"/>
      <c r="ML90" s="196"/>
      <c r="MM90" s="196"/>
      <c r="MN90" s="196"/>
      <c r="MO90" s="198"/>
      <c r="MP90" s="196"/>
      <c r="MQ90" s="196"/>
      <c r="MR90" s="196"/>
      <c r="MS90" s="196"/>
      <c r="MT90" s="196"/>
      <c r="MU90" s="199"/>
      <c r="MV90" s="196"/>
      <c r="MW90" s="196"/>
      <c r="MX90" s="196"/>
      <c r="MY90" s="196"/>
      <c r="MZ90" s="196"/>
      <c r="NA90" s="200"/>
      <c r="NB90" s="195"/>
      <c r="NC90" s="196"/>
      <c r="ND90" s="196"/>
      <c r="NE90" s="196"/>
      <c r="NF90" s="196"/>
      <c r="NG90" s="197"/>
      <c r="NH90" s="196"/>
      <c r="NI90" s="196"/>
      <c r="NJ90" s="196"/>
      <c r="NK90" s="196"/>
      <c r="NL90" s="196"/>
      <c r="NM90" s="198"/>
      <c r="NN90" s="196"/>
      <c r="NO90" s="196"/>
      <c r="NP90" s="196"/>
      <c r="NQ90" s="196"/>
      <c r="NR90" s="196"/>
      <c r="NS90" s="199"/>
      <c r="NT90" s="196"/>
      <c r="NU90" s="196"/>
      <c r="NV90" s="196"/>
      <c r="NW90" s="196"/>
      <c r="NX90" s="196"/>
      <c r="NY90" s="198"/>
      <c r="NZ90" s="196"/>
      <c r="OA90" s="196"/>
      <c r="OB90" s="196"/>
      <c r="OC90" s="196"/>
      <c r="OD90" s="196"/>
      <c r="OE90" s="199"/>
      <c r="OF90" s="196"/>
      <c r="OG90" s="196"/>
      <c r="OH90" s="196"/>
      <c r="OI90" s="196"/>
      <c r="OJ90" s="196"/>
      <c r="OK90" s="198"/>
      <c r="OL90" s="196"/>
      <c r="OM90" s="196"/>
      <c r="ON90" s="196"/>
      <c r="OO90" s="196"/>
      <c r="OP90" s="196"/>
      <c r="OQ90" s="199"/>
      <c r="OR90" s="196"/>
      <c r="OS90" s="196"/>
      <c r="OT90" s="196"/>
      <c r="OU90" s="196"/>
      <c r="OV90" s="196"/>
      <c r="OW90" s="198"/>
      <c r="OX90" s="196"/>
      <c r="OY90" s="196"/>
      <c r="OZ90" s="196"/>
      <c r="PA90" s="196"/>
      <c r="PB90" s="196"/>
      <c r="PC90" s="199"/>
      <c r="PD90" s="196"/>
      <c r="PE90" s="196"/>
      <c r="PF90" s="196"/>
      <c r="PG90" s="196"/>
      <c r="PH90" s="196"/>
      <c r="PI90" s="200"/>
      <c r="PJ90" s="195"/>
      <c r="PK90" s="196"/>
      <c r="PL90" s="196"/>
      <c r="PM90" s="196"/>
      <c r="PN90" s="196"/>
      <c r="PO90" s="197"/>
      <c r="PP90" s="196"/>
      <c r="PQ90" s="196"/>
      <c r="PR90" s="196"/>
      <c r="PS90" s="196"/>
      <c r="PT90" s="196"/>
      <c r="PU90" s="198"/>
      <c r="PV90" s="196"/>
      <c r="PW90" s="196"/>
      <c r="PX90" s="196"/>
      <c r="PY90" s="196"/>
      <c r="PZ90" s="196"/>
      <c r="QA90" s="199"/>
      <c r="QB90" s="196"/>
      <c r="QC90" s="196"/>
      <c r="QD90" s="196"/>
      <c r="QE90" s="196"/>
      <c r="QF90" s="196"/>
      <c r="QG90" s="198"/>
      <c r="QH90" s="196"/>
      <c r="QI90" s="196"/>
      <c r="QJ90" s="196"/>
      <c r="QK90" s="196"/>
      <c r="QL90" s="196"/>
      <c r="QM90" s="199"/>
      <c r="QN90" s="196"/>
      <c r="QO90" s="196"/>
      <c r="QP90" s="196"/>
      <c r="QQ90" s="196"/>
      <c r="QR90" s="196"/>
      <c r="QS90" s="198"/>
      <c r="QT90" s="196"/>
      <c r="QU90" s="196"/>
      <c r="QV90" s="196"/>
      <c r="QW90" s="196"/>
      <c r="QX90" s="196"/>
      <c r="QY90" s="199"/>
      <c r="QZ90" s="196"/>
      <c r="RA90" s="196"/>
      <c r="RB90" s="196"/>
      <c r="RC90" s="196"/>
      <c r="RD90" s="196"/>
      <c r="RE90" s="198"/>
      <c r="RF90" s="196"/>
      <c r="RG90" s="196"/>
      <c r="RH90" s="196"/>
      <c r="RI90" s="196"/>
      <c r="RJ90" s="196"/>
      <c r="RK90" s="199"/>
      <c r="RL90" s="196"/>
      <c r="RM90" s="196"/>
      <c r="RN90" s="196"/>
      <c r="RO90" s="196"/>
      <c r="RP90" s="196"/>
      <c r="RQ90" s="200"/>
      <c r="RR90" s="195"/>
      <c r="RS90" s="196"/>
      <c r="RT90" s="196"/>
      <c r="RU90" s="196"/>
      <c r="RV90" s="196"/>
      <c r="RW90" s="197"/>
      <c r="RX90" s="196"/>
      <c r="RY90" s="196"/>
      <c r="RZ90" s="196"/>
      <c r="SA90" s="196"/>
      <c r="SB90" s="196"/>
      <c r="SC90" s="198"/>
      <c r="SD90" s="196"/>
      <c r="SE90" s="196"/>
      <c r="SF90" s="196"/>
      <c r="SG90" s="196"/>
      <c r="SH90" s="196"/>
      <c r="SI90" s="199"/>
      <c r="SJ90" s="196"/>
      <c r="SK90" s="196"/>
      <c r="SL90" s="196"/>
      <c r="SM90" s="196"/>
      <c r="SN90" s="196"/>
      <c r="SO90" s="198"/>
      <c r="SP90" s="196"/>
      <c r="SQ90" s="196"/>
      <c r="SR90" s="196"/>
      <c r="SS90" s="196"/>
      <c r="ST90" s="196"/>
      <c r="SU90" s="199"/>
      <c r="SV90" s="196"/>
      <c r="SW90" s="196"/>
      <c r="SX90" s="196"/>
      <c r="SY90" s="196"/>
      <c r="SZ90" s="196"/>
      <c r="TA90" s="198"/>
      <c r="TB90" s="196"/>
      <c r="TC90" s="196"/>
      <c r="TD90" s="196"/>
      <c r="TE90" s="196"/>
      <c r="TF90" s="196"/>
      <c r="TG90" s="199"/>
      <c r="TH90" s="196"/>
      <c r="TI90" s="196"/>
      <c r="TJ90" s="196"/>
      <c r="TK90" s="196"/>
      <c r="TL90" s="196"/>
      <c r="TM90" s="198"/>
      <c r="TN90" s="196"/>
      <c r="TO90" s="196"/>
      <c r="TP90" s="196"/>
      <c r="TQ90" s="196"/>
      <c r="TR90" s="196"/>
      <c r="TS90" s="199"/>
      <c r="TT90" s="196"/>
      <c r="TU90" s="196"/>
      <c r="TV90" s="196"/>
      <c r="TW90" s="196"/>
      <c r="TX90" s="196"/>
      <c r="TY90" s="200"/>
      <c r="TZ90" s="195"/>
      <c r="UA90" s="196"/>
      <c r="UB90" s="196"/>
      <c r="UC90" s="196"/>
      <c r="UD90" s="196"/>
      <c r="UE90" s="197"/>
      <c r="UF90" s="196"/>
      <c r="UG90" s="196"/>
      <c r="UH90" s="196"/>
      <c r="UI90" s="196"/>
      <c r="UJ90" s="196"/>
      <c r="UK90" s="198"/>
      <c r="UL90" s="196"/>
      <c r="UM90" s="196"/>
      <c r="UN90" s="196"/>
      <c r="UO90" s="196"/>
      <c r="UP90" s="196"/>
      <c r="UQ90" s="199"/>
      <c r="UR90" s="196"/>
      <c r="US90" s="196"/>
      <c r="UT90" s="196"/>
      <c r="UU90" s="196"/>
      <c r="UV90" s="196"/>
      <c r="UW90" s="198"/>
      <c r="UX90" s="196"/>
      <c r="UY90" s="196"/>
      <c r="UZ90" s="196"/>
      <c r="VA90" s="196"/>
      <c r="VB90" s="196"/>
      <c r="VC90" s="199"/>
      <c r="VD90" s="196"/>
      <c r="VE90" s="196"/>
      <c r="VF90" s="196"/>
      <c r="VG90" s="196"/>
      <c r="VH90" s="196"/>
      <c r="VI90" s="198"/>
      <c r="VJ90" s="196"/>
      <c r="VK90" s="196"/>
      <c r="VL90" s="196"/>
      <c r="VM90" s="196"/>
      <c r="VN90" s="196"/>
      <c r="VO90" s="199"/>
      <c r="VP90" s="196"/>
      <c r="VQ90" s="196"/>
      <c r="VR90" s="196"/>
      <c r="VS90" s="196"/>
      <c r="VT90" s="196"/>
      <c r="VU90" s="198"/>
      <c r="VV90" s="196"/>
      <c r="VW90" s="196"/>
      <c r="VX90" s="196"/>
      <c r="VY90" s="196"/>
      <c r="VZ90" s="196"/>
      <c r="WA90" s="199"/>
      <c r="WB90" s="196"/>
      <c r="WC90" s="196"/>
      <c r="WD90" s="196"/>
      <c r="WE90" s="196"/>
      <c r="WF90" s="196"/>
      <c r="WG90" s="200"/>
      <c r="WH90" s="195"/>
      <c r="WI90" s="196"/>
      <c r="WJ90" s="196"/>
      <c r="WK90" s="196"/>
      <c r="WL90" s="196"/>
      <c r="WM90" s="197"/>
      <c r="WN90" s="196"/>
      <c r="WO90" s="196"/>
      <c r="WP90" s="196"/>
      <c r="WQ90" s="196"/>
      <c r="WR90" s="196"/>
      <c r="WS90" s="198"/>
      <c r="WT90" s="196"/>
      <c r="WU90" s="196"/>
      <c r="WV90" s="196"/>
      <c r="WW90" s="196"/>
      <c r="WX90" s="196"/>
      <c r="WY90" s="199"/>
      <c r="WZ90" s="196"/>
      <c r="XA90" s="196"/>
      <c r="XB90" s="196"/>
      <c r="XC90" s="196"/>
      <c r="XD90" s="196"/>
      <c r="XE90" s="198"/>
      <c r="XF90" s="196"/>
      <c r="XG90" s="196"/>
      <c r="XH90" s="196"/>
      <c r="XI90" s="196"/>
      <c r="XJ90" s="196"/>
      <c r="XK90" s="199"/>
      <c r="XL90" s="196"/>
      <c r="XM90" s="196"/>
      <c r="XN90" s="196"/>
      <c r="XO90" s="196"/>
      <c r="XP90" s="196"/>
      <c r="XQ90" s="198"/>
      <c r="XR90" s="196"/>
      <c r="XS90" s="196"/>
      <c r="XT90" s="196"/>
      <c r="XU90" s="196"/>
      <c r="XV90" s="196"/>
      <c r="XW90" s="199"/>
      <c r="XX90" s="196"/>
      <c r="XY90" s="196"/>
      <c r="XZ90" s="196"/>
      <c r="YA90" s="196"/>
      <c r="YB90" s="196"/>
      <c r="YC90" s="198"/>
      <c r="YD90" s="196"/>
      <c r="YE90" s="196"/>
      <c r="YF90" s="196"/>
      <c r="YG90" s="196"/>
      <c r="YH90" s="196"/>
      <c r="YI90" s="199"/>
      <c r="YJ90" s="196"/>
      <c r="YK90" s="196"/>
      <c r="YL90" s="196"/>
      <c r="YM90" s="196"/>
      <c r="YN90" s="196"/>
      <c r="YO90" s="200"/>
      <c r="YP90" s="195"/>
      <c r="YQ90" s="196"/>
      <c r="YR90" s="196"/>
      <c r="YS90" s="196"/>
      <c r="YT90" s="196"/>
      <c r="YU90" s="197"/>
      <c r="YV90" s="196"/>
      <c r="YW90" s="196"/>
      <c r="YX90" s="196"/>
      <c r="YY90" s="196"/>
      <c r="YZ90" s="196"/>
      <c r="ZA90" s="198"/>
      <c r="ZB90" s="196"/>
      <c r="ZC90" s="196"/>
      <c r="ZD90" s="196"/>
      <c r="ZE90" s="196"/>
      <c r="ZF90" s="196"/>
      <c r="ZG90" s="199"/>
      <c r="ZH90" s="196"/>
      <c r="ZI90" s="196"/>
      <c r="ZJ90" s="196"/>
      <c r="ZK90" s="196"/>
      <c r="ZL90" s="196"/>
      <c r="ZM90" s="198"/>
      <c r="ZN90" s="196"/>
      <c r="ZO90" s="196"/>
      <c r="ZP90" s="196"/>
      <c r="ZQ90" s="196"/>
      <c r="ZR90" s="196"/>
      <c r="ZS90" s="199"/>
      <c r="ZT90" s="196"/>
      <c r="ZU90" s="196"/>
      <c r="ZV90" s="196"/>
      <c r="ZW90" s="196"/>
      <c r="ZX90" s="196"/>
      <c r="ZY90" s="198"/>
      <c r="ZZ90" s="196"/>
      <c r="AAA90" s="196"/>
      <c r="AAB90" s="196"/>
      <c r="AAC90" s="196"/>
      <c r="AAD90" s="196"/>
      <c r="AAE90" s="199"/>
      <c r="AAF90" s="196"/>
      <c r="AAG90" s="196"/>
      <c r="AAH90" s="196"/>
      <c r="AAI90" s="196"/>
      <c r="AAJ90" s="196"/>
      <c r="AAK90" s="198"/>
      <c r="AAL90" s="196"/>
      <c r="AAM90" s="196"/>
      <c r="AAN90" s="196"/>
      <c r="AAO90" s="196"/>
      <c r="AAP90" s="196"/>
      <c r="AAQ90" s="199"/>
      <c r="AAR90" s="196"/>
      <c r="AAS90" s="196"/>
      <c r="AAT90" s="196"/>
      <c r="AAU90" s="196"/>
      <c r="AAV90" s="196"/>
      <c r="AAW90" s="200"/>
      <c r="AAX90" s="195"/>
      <c r="AAY90" s="196"/>
      <c r="AAZ90" s="196"/>
      <c r="ABA90" s="196"/>
      <c r="ABB90" s="196"/>
      <c r="ABC90" s="197"/>
      <c r="ABD90" s="196"/>
      <c r="ABE90" s="196"/>
      <c r="ABF90" s="196"/>
      <c r="ABG90" s="196"/>
      <c r="ABH90" s="196"/>
      <c r="ABI90" s="198"/>
      <c r="ABJ90" s="196"/>
      <c r="ABK90" s="196"/>
      <c r="ABL90" s="196"/>
      <c r="ABM90" s="196"/>
      <c r="ABN90" s="196"/>
      <c r="ABO90" s="199"/>
      <c r="ABP90" s="196"/>
      <c r="ABQ90" s="196"/>
      <c r="ABR90" s="196"/>
      <c r="ABS90" s="196"/>
      <c r="ABT90" s="196"/>
      <c r="ABU90" s="198"/>
      <c r="ABV90" s="196"/>
      <c r="ABW90" s="196"/>
      <c r="ABX90" s="196"/>
      <c r="ABY90" s="196"/>
      <c r="ABZ90" s="196"/>
      <c r="ACA90" s="199"/>
      <c r="ACB90" s="196"/>
      <c r="ACC90" s="196"/>
      <c r="ACD90" s="196"/>
      <c r="ACE90" s="196"/>
      <c r="ACF90" s="196"/>
      <c r="ACG90" s="198"/>
      <c r="ACH90" s="196"/>
      <c r="ACI90" s="196"/>
      <c r="ACJ90" s="196"/>
      <c r="ACK90" s="196"/>
      <c r="ACL90" s="196"/>
      <c r="ACM90" s="199"/>
      <c r="ACN90" s="196"/>
      <c r="ACO90" s="196"/>
      <c r="ACP90" s="196"/>
      <c r="ACQ90" s="196"/>
      <c r="ACR90" s="196"/>
      <c r="ACS90" s="198"/>
      <c r="ACT90" s="196"/>
      <c r="ACU90" s="196"/>
      <c r="ACV90" s="196"/>
      <c r="ACW90" s="196"/>
      <c r="ACX90" s="196"/>
      <c r="ACY90" s="199"/>
      <c r="ACZ90" s="196"/>
      <c r="ADA90" s="196"/>
      <c r="ADB90" s="196"/>
      <c r="ADC90" s="196"/>
      <c r="ADD90" s="196"/>
      <c r="ADE90" s="200"/>
      <c r="ADF90" s="195"/>
      <c r="ADG90" s="196"/>
      <c r="ADH90" s="196"/>
      <c r="ADI90" s="196"/>
      <c r="ADJ90" s="196"/>
      <c r="ADK90" s="197"/>
      <c r="ADL90" s="196"/>
      <c r="ADM90" s="196"/>
      <c r="ADN90" s="196"/>
      <c r="ADO90" s="196"/>
      <c r="ADP90" s="196"/>
      <c r="ADQ90" s="198"/>
      <c r="ADR90" s="196"/>
      <c r="ADS90" s="196"/>
      <c r="ADT90" s="196"/>
      <c r="ADU90" s="196"/>
      <c r="ADV90" s="196"/>
      <c r="ADW90" s="199"/>
      <c r="ADX90" s="196"/>
      <c r="ADY90" s="196"/>
      <c r="ADZ90" s="196"/>
      <c r="AEA90" s="196"/>
      <c r="AEB90" s="196"/>
      <c r="AEC90" s="198"/>
      <c r="AED90" s="196"/>
      <c r="AEE90" s="196"/>
      <c r="AEF90" s="196"/>
      <c r="AEG90" s="196"/>
      <c r="AEH90" s="196"/>
      <c r="AEI90" s="199"/>
      <c r="AEJ90" s="196"/>
      <c r="AEK90" s="196"/>
      <c r="AEL90" s="196"/>
      <c r="AEM90" s="196"/>
      <c r="AEN90" s="196"/>
      <c r="AEO90" s="198"/>
      <c r="AEP90" s="196"/>
      <c r="AEQ90" s="196"/>
      <c r="AER90" s="196"/>
      <c r="AES90" s="196"/>
      <c r="AET90" s="196"/>
      <c r="AEU90" s="199"/>
      <c r="AEV90" s="196"/>
      <c r="AEW90" s="196"/>
      <c r="AEX90" s="196"/>
      <c r="AEY90" s="196"/>
      <c r="AEZ90" s="196"/>
      <c r="AFA90" s="198"/>
      <c r="AFB90" s="196"/>
      <c r="AFC90" s="196"/>
      <c r="AFD90" s="196"/>
      <c r="AFE90" s="196"/>
      <c r="AFF90" s="196"/>
      <c r="AFG90" s="199"/>
      <c r="AFH90" s="196"/>
      <c r="AFI90" s="196"/>
      <c r="AFJ90" s="196"/>
      <c r="AFK90" s="196"/>
      <c r="AFL90" s="196"/>
      <c r="AFM90" s="200"/>
      <c r="AFN90" s="195"/>
      <c r="AFO90" s="196"/>
      <c r="AFP90" s="196"/>
      <c r="AFQ90" s="196"/>
      <c r="AFR90" s="196"/>
      <c r="AFS90" s="197"/>
      <c r="AFT90" s="196"/>
      <c r="AFU90" s="196"/>
      <c r="AFV90" s="196"/>
      <c r="AFW90" s="196"/>
      <c r="AFX90" s="196"/>
      <c r="AFY90" s="198"/>
      <c r="AFZ90" s="196"/>
      <c r="AGA90" s="196"/>
      <c r="AGB90" s="196"/>
      <c r="AGC90" s="196"/>
      <c r="AGD90" s="196"/>
      <c r="AGE90" s="199"/>
      <c r="AGF90" s="196"/>
      <c r="AGG90" s="196"/>
      <c r="AGH90" s="196"/>
      <c r="AGI90" s="196"/>
      <c r="AGJ90" s="196"/>
      <c r="AGK90" s="198"/>
      <c r="AGL90" s="196"/>
      <c r="AGM90" s="196"/>
      <c r="AGN90" s="196"/>
      <c r="AGO90" s="196"/>
      <c r="AGP90" s="196"/>
      <c r="AGQ90" s="199"/>
      <c r="AGR90" s="196"/>
      <c r="AGS90" s="196"/>
      <c r="AGT90" s="196"/>
      <c r="AGU90" s="196"/>
      <c r="AGV90" s="196"/>
      <c r="AGW90" s="198"/>
      <c r="AGX90" s="196"/>
      <c r="AGY90" s="196"/>
      <c r="AGZ90" s="196"/>
      <c r="AHA90" s="196"/>
      <c r="AHB90" s="196"/>
      <c r="AHC90" s="199"/>
      <c r="AHD90" s="196"/>
      <c r="AHE90" s="196"/>
      <c r="AHF90" s="196"/>
      <c r="AHG90" s="196"/>
      <c r="AHH90" s="196"/>
      <c r="AHI90" s="198"/>
      <c r="AHJ90" s="196"/>
      <c r="AHK90" s="196"/>
      <c r="AHL90" s="196"/>
      <c r="AHM90" s="196"/>
      <c r="AHN90" s="196"/>
      <c r="AHO90" s="199"/>
      <c r="AHP90" s="196"/>
      <c r="AHQ90" s="196"/>
      <c r="AHR90" s="196"/>
      <c r="AHS90" s="196"/>
      <c r="AHT90" s="196"/>
      <c r="AHU90" s="200"/>
      <c r="AHV90" s="195"/>
      <c r="AHW90" s="196"/>
      <c r="AHX90" s="196"/>
      <c r="AHY90" s="196"/>
      <c r="AHZ90" s="196"/>
      <c r="AIA90" s="197"/>
      <c r="AIB90" s="196"/>
      <c r="AIC90" s="196"/>
      <c r="AID90" s="196"/>
      <c r="AIE90" s="196"/>
      <c r="AIF90" s="196"/>
      <c r="AIG90" s="198"/>
      <c r="AIH90" s="196"/>
      <c r="AII90" s="196"/>
      <c r="AIJ90" s="196"/>
      <c r="AIK90" s="196"/>
      <c r="AIL90" s="196"/>
      <c r="AIM90" s="199"/>
      <c r="AIN90" s="196"/>
      <c r="AIO90" s="196"/>
      <c r="AIP90" s="196"/>
      <c r="AIQ90" s="196"/>
      <c r="AIR90" s="196"/>
      <c r="AIS90" s="198"/>
      <c r="AIT90" s="196"/>
      <c r="AIU90" s="196"/>
      <c r="AIV90" s="196"/>
      <c r="AIW90" s="196"/>
      <c r="AIX90" s="196"/>
      <c r="AIY90" s="199"/>
      <c r="AIZ90" s="196"/>
      <c r="AJA90" s="196"/>
      <c r="AJB90" s="196"/>
      <c r="AJC90" s="196"/>
      <c r="AJD90" s="196"/>
      <c r="AJE90" s="198"/>
      <c r="AJF90" s="196"/>
      <c r="AJG90" s="196"/>
      <c r="AJH90" s="196"/>
      <c r="AJI90" s="196"/>
      <c r="AJJ90" s="196"/>
      <c r="AJK90" s="199"/>
      <c r="AJL90" s="196"/>
      <c r="AJM90" s="196"/>
      <c r="AJN90" s="196"/>
      <c r="AJO90" s="196"/>
      <c r="AJP90" s="196"/>
      <c r="AJQ90" s="198"/>
      <c r="AJR90" s="196"/>
      <c r="AJS90" s="196"/>
      <c r="AJT90" s="196"/>
      <c r="AJU90" s="196"/>
      <c r="AJV90" s="196"/>
      <c r="AJW90" s="199"/>
      <c r="AJX90" s="196"/>
      <c r="AJY90" s="196"/>
      <c r="AJZ90" s="196"/>
      <c r="AKA90" s="196"/>
      <c r="AKB90" s="196"/>
      <c r="AKC90" s="200"/>
      <c r="AKD90" s="195"/>
      <c r="AKE90" s="196"/>
      <c r="AKF90" s="196"/>
      <c r="AKG90" s="196"/>
      <c r="AKH90" s="196"/>
      <c r="AKI90" s="197"/>
      <c r="AKJ90" s="196"/>
      <c r="AKK90" s="196"/>
      <c r="AKL90" s="196"/>
      <c r="AKM90" s="196"/>
      <c r="AKN90" s="196"/>
      <c r="AKO90" s="198"/>
      <c r="AKP90" s="196"/>
      <c r="AKQ90" s="196"/>
      <c r="AKR90" s="196"/>
      <c r="AKS90" s="196"/>
      <c r="AKT90" s="196"/>
      <c r="AKU90" s="199"/>
      <c r="AKV90" s="196"/>
      <c r="AKW90" s="196"/>
      <c r="AKX90" s="196"/>
      <c r="AKY90" s="196"/>
      <c r="AKZ90" s="196"/>
      <c r="ALA90" s="198"/>
      <c r="ALB90" s="196"/>
      <c r="ALC90" s="196"/>
      <c r="ALD90" s="196"/>
      <c r="ALE90" s="196"/>
      <c r="ALF90" s="196"/>
      <c r="ALG90" s="199"/>
      <c r="ALH90" s="196"/>
      <c r="ALI90" s="196"/>
      <c r="ALJ90" s="196"/>
      <c r="ALK90" s="196"/>
      <c r="ALL90" s="196"/>
      <c r="ALM90" s="198"/>
      <c r="ALN90" s="196"/>
      <c r="ALO90" s="196"/>
      <c r="ALP90" s="196"/>
      <c r="ALQ90" s="196"/>
      <c r="ALR90" s="196"/>
      <c r="ALS90" s="199"/>
      <c r="ALT90" s="196"/>
      <c r="ALU90" s="196"/>
      <c r="ALV90" s="196"/>
      <c r="ALW90" s="196"/>
      <c r="ALX90" s="196"/>
      <c r="ALY90" s="198"/>
      <c r="ALZ90" s="196"/>
      <c r="AMA90" s="196"/>
      <c r="AMB90" s="196"/>
      <c r="AMC90" s="196"/>
      <c r="AMD90" s="196"/>
      <c r="AME90" s="199"/>
      <c r="AMF90" s="196"/>
      <c r="AMG90" s="196"/>
      <c r="AMH90" s="196"/>
      <c r="AMI90" s="196"/>
      <c r="AMJ90" s="196"/>
      <c r="AMK90" s="200"/>
      <c r="AML90" s="195"/>
      <c r="AMM90" s="196"/>
      <c r="AMN90" s="196"/>
      <c r="AMO90" s="196"/>
      <c r="AMP90" s="196"/>
      <c r="AMQ90" s="197"/>
      <c r="AMR90" s="196"/>
      <c r="AMS90" s="196"/>
      <c r="AMT90" s="196"/>
      <c r="AMU90" s="196"/>
      <c r="AMV90" s="196"/>
      <c r="AMW90" s="198"/>
      <c r="AMX90" s="196"/>
      <c r="AMY90" s="196"/>
      <c r="AMZ90" s="196"/>
      <c r="ANA90" s="196"/>
      <c r="ANB90" s="196"/>
      <c r="ANC90" s="199"/>
      <c r="AND90" s="196"/>
      <c r="ANE90" s="196"/>
      <c r="ANF90" s="196"/>
      <c r="ANG90" s="196"/>
      <c r="ANH90" s="196"/>
      <c r="ANI90" s="198"/>
      <c r="ANJ90" s="196"/>
      <c r="ANK90" s="196"/>
      <c r="ANL90" s="196"/>
      <c r="ANM90" s="196"/>
      <c r="ANN90" s="196"/>
      <c r="ANO90" s="199"/>
      <c r="ANP90" s="196"/>
      <c r="ANQ90" s="196"/>
      <c r="ANR90" s="196"/>
      <c r="ANS90" s="196"/>
      <c r="ANT90" s="196"/>
      <c r="ANU90" s="198"/>
      <c r="ANV90" s="196"/>
      <c r="ANW90" s="196"/>
      <c r="ANX90" s="196"/>
      <c r="ANY90" s="196"/>
      <c r="ANZ90" s="196"/>
      <c r="AOA90" s="199"/>
      <c r="AOB90" s="196"/>
      <c r="AOC90" s="196"/>
      <c r="AOD90" s="196"/>
      <c r="AOE90" s="196"/>
      <c r="AOF90" s="196"/>
      <c r="AOG90" s="198"/>
      <c r="AOH90" s="196"/>
      <c r="AOI90" s="196"/>
      <c r="AOJ90" s="196"/>
      <c r="AOK90" s="196"/>
      <c r="AOL90" s="196"/>
      <c r="AOM90" s="199"/>
      <c r="AON90" s="196"/>
      <c r="AOO90" s="196"/>
      <c r="AOP90" s="196"/>
      <c r="AOQ90" s="196"/>
      <c r="AOR90" s="196"/>
      <c r="AOS90" s="200"/>
      <c r="AOT90" s="195"/>
      <c r="AOU90" s="196"/>
      <c r="AOV90" s="196"/>
      <c r="AOW90" s="196"/>
      <c r="AOX90" s="196"/>
      <c r="AOY90" s="197"/>
      <c r="AOZ90" s="196"/>
      <c r="APA90" s="196"/>
      <c r="APB90" s="196"/>
      <c r="APC90" s="196"/>
      <c r="APD90" s="196"/>
      <c r="APE90" s="198"/>
      <c r="APF90" s="196"/>
      <c r="APG90" s="196"/>
      <c r="APH90" s="196"/>
      <c r="API90" s="196"/>
      <c r="APJ90" s="196"/>
      <c r="APK90" s="199"/>
      <c r="APL90" s="196"/>
      <c r="APM90" s="196"/>
      <c r="APN90" s="196"/>
      <c r="APO90" s="196"/>
      <c r="APP90" s="196"/>
      <c r="APQ90" s="198"/>
      <c r="APR90" s="196"/>
      <c r="APS90" s="196"/>
      <c r="APT90" s="196"/>
      <c r="APU90" s="196"/>
      <c r="APV90" s="196"/>
      <c r="APW90" s="199"/>
      <c r="APX90" s="196"/>
      <c r="APY90" s="196"/>
      <c r="APZ90" s="196"/>
      <c r="AQA90" s="196"/>
      <c r="AQB90" s="196"/>
      <c r="AQC90" s="198"/>
      <c r="AQD90" s="196"/>
      <c r="AQE90" s="196"/>
      <c r="AQF90" s="196"/>
      <c r="AQG90" s="196"/>
      <c r="AQH90" s="196"/>
      <c r="AQI90" s="199"/>
      <c r="AQJ90" s="196"/>
      <c r="AQK90" s="196"/>
      <c r="AQL90" s="196"/>
      <c r="AQM90" s="196"/>
      <c r="AQN90" s="196"/>
      <c r="AQO90" s="198"/>
      <c r="AQP90" s="196"/>
      <c r="AQQ90" s="196"/>
      <c r="AQR90" s="196"/>
      <c r="AQS90" s="196"/>
      <c r="AQT90" s="196"/>
      <c r="AQU90" s="199"/>
      <c r="AQV90" s="196"/>
      <c r="AQW90" s="196"/>
      <c r="AQX90" s="196"/>
      <c r="AQY90" s="196"/>
      <c r="AQZ90" s="196"/>
      <c r="ARA90" s="200"/>
      <c r="ARB90" s="195"/>
      <c r="ARC90" s="196"/>
      <c r="ARD90" s="196"/>
      <c r="ARE90" s="196"/>
      <c r="ARF90" s="196"/>
      <c r="ARG90" s="197"/>
      <c r="ARH90" s="196"/>
      <c r="ARI90" s="196"/>
      <c r="ARJ90" s="196"/>
      <c r="ARK90" s="196"/>
      <c r="ARL90" s="196"/>
      <c r="ARM90" s="198"/>
      <c r="ARN90" s="196"/>
      <c r="ARO90" s="196"/>
      <c r="ARP90" s="196"/>
      <c r="ARQ90" s="196"/>
      <c r="ARR90" s="196"/>
      <c r="ARS90" s="199"/>
      <c r="ART90" s="196"/>
      <c r="ARU90" s="196"/>
      <c r="ARV90" s="196"/>
      <c r="ARW90" s="196"/>
      <c r="ARX90" s="196"/>
      <c r="ARY90" s="198"/>
      <c r="ARZ90" s="196"/>
      <c r="ASA90" s="196"/>
      <c r="ASB90" s="196"/>
      <c r="ASC90" s="196"/>
      <c r="ASD90" s="196"/>
      <c r="ASE90" s="199"/>
      <c r="ASF90" s="196"/>
      <c r="ASG90" s="196"/>
      <c r="ASH90" s="196"/>
      <c r="ASI90" s="196"/>
      <c r="ASJ90" s="196"/>
      <c r="ASK90" s="198"/>
      <c r="ASL90" s="196"/>
      <c r="ASM90" s="196"/>
      <c r="ASN90" s="196"/>
      <c r="ASO90" s="196"/>
      <c r="ASP90" s="196"/>
      <c r="ASQ90" s="199"/>
      <c r="ASR90" s="196"/>
      <c r="ASS90" s="196"/>
      <c r="AST90" s="196"/>
      <c r="ASU90" s="196"/>
      <c r="ASV90" s="196"/>
      <c r="ASW90" s="198"/>
      <c r="ASX90" s="196"/>
      <c r="ASY90" s="196"/>
      <c r="ASZ90" s="196"/>
      <c r="ATA90" s="196"/>
      <c r="ATB90" s="196"/>
      <c r="ATC90" s="199"/>
      <c r="ATD90" s="196"/>
      <c r="ATE90" s="196"/>
      <c r="ATF90" s="196"/>
      <c r="ATG90" s="196"/>
      <c r="ATH90" s="196"/>
      <c r="ATI90" s="200"/>
      <c r="ATJ90" s="195"/>
      <c r="ATK90" s="196"/>
      <c r="ATL90" s="196"/>
      <c r="ATM90" s="196"/>
      <c r="ATN90" s="196"/>
      <c r="ATO90" s="197"/>
      <c r="ATP90" s="196"/>
      <c r="ATQ90" s="196"/>
      <c r="ATR90" s="196"/>
      <c r="ATS90" s="196"/>
      <c r="ATT90" s="196"/>
      <c r="ATU90" s="198"/>
      <c r="ATV90" s="196"/>
      <c r="ATW90" s="196"/>
      <c r="ATX90" s="196"/>
      <c r="ATY90" s="196"/>
      <c r="ATZ90" s="196"/>
      <c r="AUA90" s="199"/>
      <c r="AUB90" s="196"/>
      <c r="AUC90" s="196"/>
      <c r="AUD90" s="196"/>
      <c r="AUE90" s="196"/>
      <c r="AUF90" s="196"/>
      <c r="AUG90" s="198"/>
      <c r="AUH90" s="196"/>
      <c r="AUI90" s="196"/>
      <c r="AUJ90" s="196"/>
      <c r="AUK90" s="196"/>
      <c r="AUL90" s="196"/>
      <c r="AUM90" s="199"/>
      <c r="AUN90" s="196"/>
      <c r="AUO90" s="196"/>
      <c r="AUP90" s="196"/>
      <c r="AUQ90" s="196"/>
      <c r="AUR90" s="196"/>
      <c r="AUS90" s="198"/>
      <c r="AUT90" s="196"/>
      <c r="AUU90" s="196"/>
      <c r="AUV90" s="196"/>
      <c r="AUW90" s="196"/>
      <c r="AUX90" s="196"/>
      <c r="AUY90" s="199"/>
      <c r="AUZ90" s="196"/>
      <c r="AVA90" s="196"/>
      <c r="AVB90" s="196"/>
      <c r="AVC90" s="196"/>
      <c r="AVD90" s="196"/>
      <c r="AVE90" s="198"/>
      <c r="AVF90" s="196"/>
      <c r="AVG90" s="196"/>
      <c r="AVH90" s="196"/>
      <c r="AVI90" s="196"/>
      <c r="AVJ90" s="196"/>
      <c r="AVK90" s="199"/>
      <c r="AVL90" s="196"/>
      <c r="AVM90" s="196"/>
      <c r="AVN90" s="196"/>
      <c r="AVO90" s="196"/>
      <c r="AVP90" s="196"/>
      <c r="AVQ90" s="200"/>
      <c r="AVR90" s="195"/>
      <c r="AVS90" s="196"/>
      <c r="AVT90" s="196"/>
      <c r="AVU90" s="196"/>
      <c r="AVV90" s="196"/>
      <c r="AVW90" s="197"/>
      <c r="AVX90" s="196"/>
      <c r="AVY90" s="196"/>
      <c r="AVZ90" s="196"/>
      <c r="AWA90" s="196"/>
      <c r="AWB90" s="196"/>
      <c r="AWC90" s="198"/>
      <c r="AWD90" s="196"/>
      <c r="AWE90" s="196"/>
      <c r="AWF90" s="196"/>
      <c r="AWG90" s="196"/>
      <c r="AWH90" s="196"/>
      <c r="AWI90" s="199"/>
      <c r="AWJ90" s="196"/>
      <c r="AWK90" s="196"/>
      <c r="AWL90" s="196"/>
      <c r="AWM90" s="196"/>
      <c r="AWN90" s="196"/>
      <c r="AWO90" s="198"/>
      <c r="AWP90" s="196"/>
      <c r="AWQ90" s="196"/>
      <c r="AWR90" s="196"/>
      <c r="AWS90" s="196"/>
      <c r="AWT90" s="196"/>
      <c r="AWU90" s="199"/>
      <c r="AWV90" s="196"/>
      <c r="AWW90" s="196"/>
      <c r="AWX90" s="196"/>
      <c r="AWY90" s="196"/>
      <c r="AWZ90" s="196"/>
      <c r="AXA90" s="198"/>
      <c r="AXB90" s="196"/>
      <c r="AXC90" s="196"/>
      <c r="AXD90" s="196"/>
      <c r="AXE90" s="196"/>
      <c r="AXF90" s="196"/>
      <c r="AXG90" s="199"/>
      <c r="AXH90" s="196"/>
      <c r="AXI90" s="196"/>
      <c r="AXJ90" s="196"/>
      <c r="AXK90" s="196"/>
      <c r="AXL90" s="196"/>
      <c r="AXM90" s="198"/>
      <c r="AXN90" s="196"/>
      <c r="AXO90" s="196"/>
      <c r="AXP90" s="196"/>
      <c r="AXQ90" s="196"/>
      <c r="AXR90" s="196"/>
      <c r="AXS90" s="199"/>
      <c r="AXT90" s="196"/>
      <c r="AXU90" s="196"/>
      <c r="AXV90" s="196"/>
      <c r="AXW90" s="196"/>
      <c r="AXX90" s="196"/>
      <c r="AXY90" s="200"/>
      <c r="AXZ90" s="195"/>
      <c r="AYA90" s="196"/>
      <c r="AYB90" s="196"/>
      <c r="AYC90" s="196"/>
      <c r="AYD90" s="196"/>
      <c r="AYE90" s="197"/>
      <c r="AYF90" s="196"/>
      <c r="AYG90" s="196"/>
      <c r="AYH90" s="196"/>
      <c r="AYI90" s="196"/>
      <c r="AYJ90" s="196"/>
      <c r="AYK90" s="198"/>
      <c r="AYL90" s="196"/>
      <c r="AYM90" s="196"/>
      <c r="AYN90" s="196"/>
      <c r="AYO90" s="196"/>
      <c r="AYP90" s="196"/>
      <c r="AYQ90" s="199"/>
      <c r="AYR90" s="196"/>
      <c r="AYS90" s="196"/>
      <c r="AYT90" s="196"/>
      <c r="AYU90" s="196"/>
      <c r="AYV90" s="196"/>
      <c r="AYW90" s="198"/>
      <c r="AYX90" s="196"/>
      <c r="AYY90" s="196"/>
      <c r="AYZ90" s="196"/>
      <c r="AZA90" s="196"/>
      <c r="AZB90" s="196"/>
      <c r="AZC90" s="199"/>
      <c r="AZD90" s="196"/>
      <c r="AZE90" s="196"/>
      <c r="AZF90" s="196"/>
      <c r="AZG90" s="196"/>
      <c r="AZH90" s="196"/>
      <c r="AZI90" s="198"/>
      <c r="AZJ90" s="196"/>
      <c r="AZK90" s="196"/>
      <c r="AZL90" s="196"/>
      <c r="AZM90" s="196"/>
      <c r="AZN90" s="196"/>
      <c r="AZO90" s="199"/>
      <c r="AZP90" s="196"/>
      <c r="AZQ90" s="196"/>
      <c r="AZR90" s="196"/>
      <c r="AZS90" s="196"/>
      <c r="AZT90" s="196"/>
      <c r="AZU90" s="198"/>
      <c r="AZV90" s="196"/>
      <c r="AZW90" s="196"/>
      <c r="AZX90" s="196"/>
      <c r="AZY90" s="196"/>
      <c r="AZZ90" s="196"/>
      <c r="BAA90" s="199"/>
      <c r="BAB90" s="196"/>
      <c r="BAC90" s="196"/>
      <c r="BAD90" s="196"/>
      <c r="BAE90" s="196"/>
      <c r="BAF90" s="196"/>
      <c r="BAG90" s="200"/>
      <c r="BAH90" s="195"/>
      <c r="BAI90" s="196"/>
      <c r="BAJ90" s="196"/>
      <c r="BAK90" s="196"/>
      <c r="BAL90" s="196"/>
      <c r="BAM90" s="197"/>
      <c r="BAN90" s="196"/>
      <c r="BAO90" s="196"/>
      <c r="BAP90" s="196"/>
      <c r="BAQ90" s="196"/>
      <c r="BAR90" s="196"/>
      <c r="BAS90" s="198"/>
      <c r="BAT90" s="196"/>
      <c r="BAU90" s="196"/>
      <c r="BAV90" s="196"/>
      <c r="BAW90" s="196"/>
      <c r="BAX90" s="196"/>
      <c r="BAY90" s="199"/>
      <c r="BAZ90" s="196"/>
      <c r="BBA90" s="196"/>
      <c r="BBB90" s="196"/>
      <c r="BBC90" s="196"/>
      <c r="BBD90" s="196"/>
      <c r="BBE90" s="198"/>
      <c r="BBF90" s="196"/>
      <c r="BBG90" s="196"/>
      <c r="BBH90" s="196"/>
      <c r="BBI90" s="196"/>
      <c r="BBJ90" s="196"/>
      <c r="BBK90" s="199"/>
      <c r="BBL90" s="196"/>
      <c r="BBM90" s="196"/>
      <c r="BBN90" s="196"/>
      <c r="BBO90" s="196"/>
      <c r="BBP90" s="196"/>
      <c r="BBQ90" s="198"/>
      <c r="BBR90" s="196"/>
      <c r="BBS90" s="196"/>
      <c r="BBT90" s="196"/>
      <c r="BBU90" s="196"/>
      <c r="BBV90" s="196"/>
      <c r="BBW90" s="199"/>
      <c r="BBX90" s="196"/>
      <c r="BBY90" s="196"/>
      <c r="BBZ90" s="196"/>
      <c r="BCA90" s="196"/>
      <c r="BCB90" s="196"/>
      <c r="BCC90" s="198"/>
      <c r="BCD90" s="196"/>
      <c r="BCE90" s="196"/>
      <c r="BCF90" s="196"/>
      <c r="BCG90" s="196"/>
      <c r="BCH90" s="196"/>
      <c r="BCI90" s="199"/>
      <c r="BCJ90" s="196"/>
      <c r="BCK90" s="196"/>
      <c r="BCL90" s="196"/>
      <c r="BCM90" s="196"/>
      <c r="BCN90" s="196"/>
      <c r="BCO90" s="200"/>
      <c r="BCP90" s="195"/>
      <c r="BCQ90" s="196"/>
      <c r="BCR90" s="196"/>
      <c r="BCS90" s="196"/>
      <c r="BCT90" s="196"/>
      <c r="BCU90" s="197"/>
      <c r="BCV90" s="196"/>
      <c r="BCW90" s="196"/>
      <c r="BCX90" s="196"/>
      <c r="BCY90" s="196"/>
      <c r="BCZ90" s="196"/>
      <c r="BDA90" s="198"/>
      <c r="BDB90" s="196"/>
      <c r="BDC90" s="196"/>
      <c r="BDD90" s="196"/>
      <c r="BDE90" s="196"/>
      <c r="BDF90" s="196"/>
      <c r="BDG90" s="199"/>
      <c r="BDH90" s="196"/>
      <c r="BDI90" s="196"/>
      <c r="BDJ90" s="196"/>
      <c r="BDK90" s="196"/>
      <c r="BDL90" s="196"/>
      <c r="BDM90" s="198"/>
      <c r="BDN90" s="196"/>
      <c r="BDO90" s="196"/>
      <c r="BDP90" s="196"/>
      <c r="BDQ90" s="196"/>
      <c r="BDR90" s="196"/>
      <c r="BDS90" s="199"/>
      <c r="BDT90" s="196"/>
      <c r="BDU90" s="196"/>
      <c r="BDV90" s="196"/>
      <c r="BDW90" s="196"/>
      <c r="BDX90" s="196"/>
      <c r="BDY90" s="198"/>
      <c r="BDZ90" s="196"/>
      <c r="BEA90" s="196"/>
      <c r="BEB90" s="196"/>
      <c r="BEC90" s="196"/>
      <c r="BED90" s="196"/>
      <c r="BEE90" s="199"/>
      <c r="BEF90" s="196"/>
      <c r="BEG90" s="196"/>
      <c r="BEH90" s="196"/>
      <c r="BEI90" s="196"/>
      <c r="BEJ90" s="196"/>
      <c r="BEK90" s="198"/>
      <c r="BEL90" s="196"/>
      <c r="BEM90" s="196"/>
      <c r="BEN90" s="196"/>
      <c r="BEO90" s="196"/>
      <c r="BEP90" s="196"/>
      <c r="BEQ90" s="199"/>
      <c r="BER90" s="196"/>
      <c r="BES90" s="196"/>
      <c r="BET90" s="196"/>
      <c r="BEU90" s="196"/>
      <c r="BEV90" s="196"/>
      <c r="BEW90" s="200"/>
      <c r="BEX90" s="195"/>
      <c r="BEY90" s="196"/>
      <c r="BEZ90" s="196"/>
      <c r="BFA90" s="196"/>
      <c r="BFB90" s="196"/>
      <c r="BFC90" s="197"/>
      <c r="BFD90" s="196"/>
      <c r="BFE90" s="196"/>
      <c r="BFF90" s="196"/>
      <c r="BFG90" s="196"/>
      <c r="BFH90" s="196"/>
      <c r="BFI90" s="198"/>
      <c r="BFJ90" s="196"/>
      <c r="BFK90" s="196"/>
      <c r="BFL90" s="196"/>
      <c r="BFM90" s="196"/>
      <c r="BFN90" s="196"/>
      <c r="BFO90" s="199"/>
      <c r="BFP90" s="196"/>
      <c r="BFQ90" s="196"/>
      <c r="BFR90" s="196"/>
      <c r="BFS90" s="196"/>
      <c r="BFT90" s="196"/>
      <c r="BFU90" s="198"/>
      <c r="BFV90" s="196"/>
      <c r="BFW90" s="196"/>
      <c r="BFX90" s="196"/>
      <c r="BFY90" s="196"/>
      <c r="BFZ90" s="196"/>
      <c r="BGA90" s="199"/>
      <c r="BGB90" s="196"/>
      <c r="BGC90" s="196"/>
      <c r="BGD90" s="196"/>
      <c r="BGE90" s="196"/>
      <c r="BGF90" s="196"/>
      <c r="BGG90" s="198"/>
      <c r="BGH90" s="196"/>
      <c r="BGI90" s="196"/>
      <c r="BGJ90" s="196"/>
      <c r="BGK90" s="196"/>
      <c r="BGL90" s="196"/>
      <c r="BGM90" s="199"/>
      <c r="BGN90" s="196"/>
      <c r="BGO90" s="196"/>
      <c r="BGP90" s="196"/>
      <c r="BGQ90" s="196"/>
      <c r="BGR90" s="196"/>
      <c r="BGS90" s="198"/>
      <c r="BGT90" s="196"/>
      <c r="BGU90" s="196"/>
      <c r="BGV90" s="196"/>
      <c r="BGW90" s="196"/>
      <c r="BGX90" s="196"/>
      <c r="BGY90" s="199"/>
      <c r="BGZ90" s="196"/>
      <c r="BHA90" s="196"/>
      <c r="BHB90" s="196"/>
      <c r="BHC90" s="196"/>
      <c r="BHD90" s="196"/>
      <c r="BHE90" s="200"/>
      <c r="BHF90" s="187"/>
      <c r="BHG90" s="188"/>
      <c r="BHH90" s="188"/>
      <c r="BHI90" s="188"/>
      <c r="BHJ90" s="188"/>
      <c r="BHK90" s="188"/>
      <c r="BHL90" s="188"/>
      <c r="BHM90" s="188"/>
      <c r="BHN90" s="188"/>
      <c r="BHO90" s="188"/>
      <c r="BHP90" s="188"/>
      <c r="BHQ90" s="188"/>
      <c r="BHR90" s="188"/>
      <c r="BHS90" s="188"/>
      <c r="BHT90" s="188"/>
      <c r="BHU90" s="188"/>
      <c r="BHV90" s="188"/>
      <c r="BHW90" s="188"/>
      <c r="BHX90" s="188"/>
      <c r="BHY90" s="188"/>
      <c r="BHZ90" s="188"/>
      <c r="BIA90" s="188"/>
      <c r="BIB90" s="188"/>
      <c r="BIC90" s="188"/>
      <c r="BID90" s="188"/>
      <c r="BIE90" s="188"/>
      <c r="BIF90" s="188"/>
      <c r="BIG90" s="188"/>
      <c r="BIH90" s="188"/>
      <c r="BII90" s="188"/>
      <c r="BIJ90" s="188"/>
      <c r="BIK90" s="188"/>
      <c r="BIL90" s="188"/>
      <c r="BIM90" s="188"/>
      <c r="BIN90" s="188"/>
      <c r="BIO90" s="188"/>
      <c r="BIP90" s="188"/>
    </row>
    <row r="91" spans="1:1602" ht="20.100000000000001" customHeight="1" x14ac:dyDescent="0.25">
      <c r="A91" s="78" t="s">
        <v>49</v>
      </c>
      <c r="B91" s="51"/>
      <c r="C91" s="23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87"/>
      <c r="BHG91" s="188"/>
      <c r="BHH91" s="188"/>
      <c r="BHI91" s="188"/>
      <c r="BHJ91" s="188"/>
      <c r="BHK91" s="188"/>
      <c r="BHL91" s="188"/>
      <c r="BHM91" s="188"/>
      <c r="BHN91" s="188"/>
      <c r="BHO91" s="188"/>
      <c r="BHP91" s="188"/>
      <c r="BHQ91" s="188"/>
      <c r="BHR91" s="188"/>
      <c r="BHS91" s="188"/>
      <c r="BHT91" s="188"/>
      <c r="BHU91" s="188"/>
      <c r="BHV91" s="188"/>
      <c r="BHW91" s="188"/>
      <c r="BHX91" s="188"/>
      <c r="BHY91" s="188"/>
      <c r="BHZ91" s="188"/>
      <c r="BIA91" s="188"/>
      <c r="BIB91" s="188"/>
      <c r="BIC91" s="188"/>
      <c r="BID91" s="188"/>
      <c r="BIE91" s="188"/>
      <c r="BIF91" s="188"/>
      <c r="BIG91" s="188"/>
      <c r="BIH91" s="188"/>
      <c r="BII91" s="188"/>
      <c r="BIJ91" s="188"/>
      <c r="BIK91" s="188"/>
      <c r="BIL91" s="188"/>
      <c r="BIM91" s="188"/>
      <c r="BIN91" s="188"/>
      <c r="BIO91" s="188"/>
      <c r="BIP91" s="188"/>
    </row>
    <row r="92" spans="1:1602" ht="20.100000000000001" customHeight="1" x14ac:dyDescent="0.3">
      <c r="A92" s="78" t="s">
        <v>50</v>
      </c>
      <c r="B92" s="51"/>
      <c r="C92" s="231"/>
      <c r="D92" s="121" t="str">
        <f t="shared" si="1"/>
        <v/>
      </c>
      <c r="E92" s="30">
        <v>0</v>
      </c>
      <c r="F92" s="189"/>
      <c r="G92" s="190"/>
      <c r="H92" s="190"/>
      <c r="I92" s="190"/>
      <c r="J92" s="190"/>
      <c r="K92" s="197"/>
      <c r="L92" s="190"/>
      <c r="M92" s="190"/>
      <c r="N92" s="190"/>
      <c r="O92" s="190"/>
      <c r="P92" s="190"/>
      <c r="Q92" s="198"/>
      <c r="R92" s="190"/>
      <c r="S92" s="190"/>
      <c r="T92" s="190"/>
      <c r="U92" s="190"/>
      <c r="V92" s="190"/>
      <c r="W92" s="199"/>
      <c r="X92" s="190"/>
      <c r="Y92" s="190"/>
      <c r="Z92" s="190"/>
      <c r="AA92" s="190"/>
      <c r="AB92" s="190"/>
      <c r="AC92" s="198"/>
      <c r="AD92" s="190"/>
      <c r="AE92" s="190"/>
      <c r="AF92" s="190"/>
      <c r="AG92" s="190"/>
      <c r="AH92" s="190"/>
      <c r="AI92" s="199"/>
      <c r="AJ92" s="190"/>
      <c r="AK92" s="190"/>
      <c r="AL92" s="190"/>
      <c r="AM92" s="190"/>
      <c r="AN92" s="190"/>
      <c r="AO92" s="198"/>
      <c r="AP92" s="190"/>
      <c r="AQ92" s="190"/>
      <c r="AR92" s="190"/>
      <c r="AS92" s="190"/>
      <c r="AT92" s="190"/>
      <c r="AU92" s="199"/>
      <c r="AV92" s="190"/>
      <c r="AW92" s="190"/>
      <c r="AX92" s="190"/>
      <c r="AY92" s="190"/>
      <c r="AZ92" s="190"/>
      <c r="BA92" s="198"/>
      <c r="BB92" s="190"/>
      <c r="BC92" s="190"/>
      <c r="BD92" s="190"/>
      <c r="BE92" s="190"/>
      <c r="BF92" s="190"/>
      <c r="BG92" s="199"/>
      <c r="BH92" s="190"/>
      <c r="BI92" s="190"/>
      <c r="BJ92" s="190"/>
      <c r="BK92" s="190"/>
      <c r="BL92" s="190"/>
      <c r="BM92" s="194"/>
      <c r="BN92" s="189"/>
      <c r="BO92" s="190"/>
      <c r="BP92" s="190"/>
      <c r="BQ92" s="190"/>
      <c r="BR92" s="190"/>
      <c r="BS92" s="197"/>
      <c r="BT92" s="190"/>
      <c r="BU92" s="190"/>
      <c r="BV92" s="190"/>
      <c r="BW92" s="190"/>
      <c r="BX92" s="190"/>
      <c r="BY92" s="198"/>
      <c r="BZ92" s="190"/>
      <c r="CA92" s="190"/>
      <c r="CB92" s="190"/>
      <c r="CC92" s="190"/>
      <c r="CD92" s="190"/>
      <c r="CE92" s="199"/>
      <c r="CF92" s="190"/>
      <c r="CG92" s="190"/>
      <c r="CH92" s="190"/>
      <c r="CI92" s="190"/>
      <c r="CJ92" s="190"/>
      <c r="CK92" s="198"/>
      <c r="CL92" s="190"/>
      <c r="CM92" s="190"/>
      <c r="CN92" s="190"/>
      <c r="CO92" s="190"/>
      <c r="CP92" s="190"/>
      <c r="CQ92" s="199"/>
      <c r="CR92" s="190"/>
      <c r="CS92" s="190"/>
      <c r="CT92" s="190"/>
      <c r="CU92" s="190"/>
      <c r="CV92" s="190"/>
      <c r="CW92" s="198"/>
      <c r="CX92" s="190"/>
      <c r="CY92" s="190"/>
      <c r="CZ92" s="190"/>
      <c r="DA92" s="190"/>
      <c r="DB92" s="190"/>
      <c r="DC92" s="199"/>
      <c r="DD92" s="190"/>
      <c r="DE92" s="190"/>
      <c r="DF92" s="190"/>
      <c r="DG92" s="190"/>
      <c r="DH92" s="190"/>
      <c r="DI92" s="198"/>
      <c r="DJ92" s="190"/>
      <c r="DK92" s="190"/>
      <c r="DL92" s="190"/>
      <c r="DM92" s="190"/>
      <c r="DN92" s="190"/>
      <c r="DO92" s="199"/>
      <c r="DP92" s="190"/>
      <c r="DQ92" s="190"/>
      <c r="DR92" s="190"/>
      <c r="DS92" s="190"/>
      <c r="DT92" s="190"/>
      <c r="DU92" s="194"/>
      <c r="DV92" s="189"/>
      <c r="DW92" s="190"/>
      <c r="DX92" s="190"/>
      <c r="DY92" s="190"/>
      <c r="DZ92" s="190"/>
      <c r="EA92" s="197"/>
      <c r="EB92" s="190"/>
      <c r="EC92" s="190"/>
      <c r="ED92" s="190"/>
      <c r="EE92" s="190"/>
      <c r="EF92" s="190"/>
      <c r="EG92" s="198"/>
      <c r="EH92" s="190"/>
      <c r="EI92" s="190"/>
      <c r="EJ92" s="190"/>
      <c r="EK92" s="190"/>
      <c r="EL92" s="190"/>
      <c r="EM92" s="199"/>
      <c r="EN92" s="190"/>
      <c r="EO92" s="190"/>
      <c r="EP92" s="190"/>
      <c r="EQ92" s="190"/>
      <c r="ER92" s="190"/>
      <c r="ES92" s="198"/>
      <c r="ET92" s="190"/>
      <c r="EU92" s="190"/>
      <c r="EV92" s="190"/>
      <c r="EW92" s="190"/>
      <c r="EX92" s="190"/>
      <c r="EY92" s="199"/>
      <c r="EZ92" s="190"/>
      <c r="FA92" s="190"/>
      <c r="FB92" s="190"/>
      <c r="FC92" s="190"/>
      <c r="FD92" s="190"/>
      <c r="FE92" s="198"/>
      <c r="FF92" s="190"/>
      <c r="FG92" s="190"/>
      <c r="FH92" s="190"/>
      <c r="FI92" s="190"/>
      <c r="FJ92" s="190"/>
      <c r="FK92" s="199"/>
      <c r="FL92" s="190"/>
      <c r="FM92" s="190"/>
      <c r="FN92" s="190"/>
      <c r="FO92" s="190"/>
      <c r="FP92" s="190"/>
      <c r="FQ92" s="198"/>
      <c r="FR92" s="190"/>
      <c r="FS92" s="190"/>
      <c r="FT92" s="190"/>
      <c r="FU92" s="190"/>
      <c r="FV92" s="190"/>
      <c r="FW92" s="199"/>
      <c r="FX92" s="190"/>
      <c r="FY92" s="190"/>
      <c r="FZ92" s="190"/>
      <c r="GA92" s="190"/>
      <c r="GB92" s="190"/>
      <c r="GC92" s="194"/>
      <c r="GD92" s="189"/>
      <c r="GE92" s="190"/>
      <c r="GF92" s="190"/>
      <c r="GG92" s="190"/>
      <c r="GH92" s="190"/>
      <c r="GI92" s="197"/>
      <c r="GJ92" s="190"/>
      <c r="GK92" s="190"/>
      <c r="GL92" s="190"/>
      <c r="GM92" s="190"/>
      <c r="GN92" s="190"/>
      <c r="GO92" s="198"/>
      <c r="GP92" s="190"/>
      <c r="GQ92" s="190"/>
      <c r="GR92" s="190"/>
      <c r="GS92" s="190"/>
      <c r="GT92" s="190"/>
      <c r="GU92" s="199"/>
      <c r="GV92" s="190"/>
      <c r="GW92" s="190"/>
      <c r="GX92" s="190"/>
      <c r="GY92" s="190"/>
      <c r="GZ92" s="190"/>
      <c r="HA92" s="198"/>
      <c r="HB92" s="190"/>
      <c r="HC92" s="190"/>
      <c r="HD92" s="190"/>
      <c r="HE92" s="190"/>
      <c r="HF92" s="190"/>
      <c r="HG92" s="199"/>
      <c r="HH92" s="190"/>
      <c r="HI92" s="190"/>
      <c r="HJ92" s="190"/>
      <c r="HK92" s="190"/>
      <c r="HL92" s="190"/>
      <c r="HM92" s="198"/>
      <c r="HN92" s="190"/>
      <c r="HO92" s="190"/>
      <c r="HP92" s="190"/>
      <c r="HQ92" s="190"/>
      <c r="HR92" s="190"/>
      <c r="HS92" s="199"/>
      <c r="HT92" s="190"/>
      <c r="HU92" s="190"/>
      <c r="HV92" s="190"/>
      <c r="HW92" s="190"/>
      <c r="HX92" s="190"/>
      <c r="HY92" s="198"/>
      <c r="HZ92" s="190"/>
      <c r="IA92" s="190"/>
      <c r="IB92" s="190"/>
      <c r="IC92" s="190"/>
      <c r="ID92" s="190"/>
      <c r="IE92" s="199"/>
      <c r="IF92" s="190"/>
      <c r="IG92" s="190"/>
      <c r="IH92" s="190"/>
      <c r="II92" s="190"/>
      <c r="IJ92" s="190"/>
      <c r="IK92" s="194"/>
      <c r="IL92" s="189"/>
      <c r="IM92" s="190"/>
      <c r="IN92" s="190"/>
      <c r="IO92" s="190"/>
      <c r="IP92" s="190"/>
      <c r="IQ92" s="197"/>
      <c r="IR92" s="190"/>
      <c r="IS92" s="190"/>
      <c r="IT92" s="190"/>
      <c r="IU92" s="190"/>
      <c r="IV92" s="190"/>
      <c r="IW92" s="198"/>
      <c r="IX92" s="190"/>
      <c r="IY92" s="190"/>
      <c r="IZ92" s="190"/>
      <c r="JA92" s="190"/>
      <c r="JB92" s="190"/>
      <c r="JC92" s="199"/>
      <c r="JD92" s="190"/>
      <c r="JE92" s="190"/>
      <c r="JF92" s="190"/>
      <c r="JG92" s="190"/>
      <c r="JH92" s="190"/>
      <c r="JI92" s="198"/>
      <c r="JJ92" s="190"/>
      <c r="JK92" s="190"/>
      <c r="JL92" s="190"/>
      <c r="JM92" s="190"/>
      <c r="JN92" s="190"/>
      <c r="JO92" s="199"/>
      <c r="JP92" s="190"/>
      <c r="JQ92" s="190"/>
      <c r="JR92" s="190"/>
      <c r="JS92" s="190"/>
      <c r="JT92" s="190"/>
      <c r="JU92" s="198"/>
      <c r="JV92" s="190"/>
      <c r="JW92" s="190"/>
      <c r="JX92" s="190"/>
      <c r="JY92" s="190"/>
      <c r="JZ92" s="190"/>
      <c r="KA92" s="199"/>
      <c r="KB92" s="190"/>
      <c r="KC92" s="190"/>
      <c r="KD92" s="190"/>
      <c r="KE92" s="190"/>
      <c r="KF92" s="190"/>
      <c r="KG92" s="198"/>
      <c r="KH92" s="190"/>
      <c r="KI92" s="190"/>
      <c r="KJ92" s="190"/>
      <c r="KK92" s="190"/>
      <c r="KL92" s="190"/>
      <c r="KM92" s="199"/>
      <c r="KN92" s="190"/>
      <c r="KO92" s="190"/>
      <c r="KP92" s="190"/>
      <c r="KQ92" s="190"/>
      <c r="KR92" s="190"/>
      <c r="KS92" s="194"/>
      <c r="KT92" s="189"/>
      <c r="KU92" s="190"/>
      <c r="KV92" s="190"/>
      <c r="KW92" s="190"/>
      <c r="KX92" s="190"/>
      <c r="KY92" s="197"/>
      <c r="KZ92" s="190"/>
      <c r="LA92" s="190"/>
      <c r="LB92" s="190"/>
      <c r="LC92" s="190"/>
      <c r="LD92" s="190"/>
      <c r="LE92" s="198"/>
      <c r="LF92" s="190"/>
      <c r="LG92" s="190"/>
      <c r="LH92" s="190"/>
      <c r="LI92" s="190"/>
      <c r="LJ92" s="190"/>
      <c r="LK92" s="199"/>
      <c r="LL92" s="190"/>
      <c r="LM92" s="190"/>
      <c r="LN92" s="190"/>
      <c r="LO92" s="190"/>
      <c r="LP92" s="190"/>
      <c r="LQ92" s="198"/>
      <c r="LR92" s="190"/>
      <c r="LS92" s="190"/>
      <c r="LT92" s="190"/>
      <c r="LU92" s="190"/>
      <c r="LV92" s="190"/>
      <c r="LW92" s="199"/>
      <c r="LX92" s="190"/>
      <c r="LY92" s="190"/>
      <c r="LZ92" s="190"/>
      <c r="MA92" s="190"/>
      <c r="MB92" s="190"/>
      <c r="MC92" s="198"/>
      <c r="MD92" s="190"/>
      <c r="ME92" s="190"/>
      <c r="MF92" s="190"/>
      <c r="MG92" s="190"/>
      <c r="MH92" s="190"/>
      <c r="MI92" s="199"/>
      <c r="MJ92" s="190"/>
      <c r="MK92" s="190"/>
      <c r="ML92" s="190"/>
      <c r="MM92" s="190"/>
      <c r="MN92" s="190"/>
      <c r="MO92" s="198"/>
      <c r="MP92" s="190"/>
      <c r="MQ92" s="190"/>
      <c r="MR92" s="190"/>
      <c r="MS92" s="190"/>
      <c r="MT92" s="190"/>
      <c r="MU92" s="199"/>
      <c r="MV92" s="190"/>
      <c r="MW92" s="190"/>
      <c r="MX92" s="190"/>
      <c r="MY92" s="190"/>
      <c r="MZ92" s="190"/>
      <c r="NA92" s="194"/>
      <c r="NB92" s="189"/>
      <c r="NC92" s="190"/>
      <c r="ND92" s="190"/>
      <c r="NE92" s="190"/>
      <c r="NF92" s="190"/>
      <c r="NG92" s="197"/>
      <c r="NH92" s="190"/>
      <c r="NI92" s="190"/>
      <c r="NJ92" s="190"/>
      <c r="NK92" s="190"/>
      <c r="NL92" s="190"/>
      <c r="NM92" s="198"/>
      <c r="NN92" s="190"/>
      <c r="NO92" s="190"/>
      <c r="NP92" s="190"/>
      <c r="NQ92" s="190"/>
      <c r="NR92" s="190"/>
      <c r="NS92" s="199"/>
      <c r="NT92" s="190"/>
      <c r="NU92" s="190"/>
      <c r="NV92" s="190"/>
      <c r="NW92" s="190"/>
      <c r="NX92" s="190"/>
      <c r="NY92" s="198"/>
      <c r="NZ92" s="190"/>
      <c r="OA92" s="190"/>
      <c r="OB92" s="190"/>
      <c r="OC92" s="190"/>
      <c r="OD92" s="190"/>
      <c r="OE92" s="199"/>
      <c r="OF92" s="190"/>
      <c r="OG92" s="190"/>
      <c r="OH92" s="190"/>
      <c r="OI92" s="190"/>
      <c r="OJ92" s="190"/>
      <c r="OK92" s="198"/>
      <c r="OL92" s="190"/>
      <c r="OM92" s="190"/>
      <c r="ON92" s="190"/>
      <c r="OO92" s="190"/>
      <c r="OP92" s="190"/>
      <c r="OQ92" s="199"/>
      <c r="OR92" s="190"/>
      <c r="OS92" s="190"/>
      <c r="OT92" s="190"/>
      <c r="OU92" s="190"/>
      <c r="OV92" s="190"/>
      <c r="OW92" s="198"/>
      <c r="OX92" s="190"/>
      <c r="OY92" s="190"/>
      <c r="OZ92" s="190"/>
      <c r="PA92" s="190"/>
      <c r="PB92" s="190"/>
      <c r="PC92" s="199"/>
      <c r="PD92" s="190"/>
      <c r="PE92" s="190"/>
      <c r="PF92" s="190"/>
      <c r="PG92" s="190"/>
      <c r="PH92" s="190"/>
      <c r="PI92" s="194"/>
      <c r="PJ92" s="189"/>
      <c r="PK92" s="190"/>
      <c r="PL92" s="190"/>
      <c r="PM92" s="190"/>
      <c r="PN92" s="190"/>
      <c r="PO92" s="197"/>
      <c r="PP92" s="190"/>
      <c r="PQ92" s="190"/>
      <c r="PR92" s="190"/>
      <c r="PS92" s="190"/>
      <c r="PT92" s="190"/>
      <c r="PU92" s="198"/>
      <c r="PV92" s="190"/>
      <c r="PW92" s="190"/>
      <c r="PX92" s="190"/>
      <c r="PY92" s="190"/>
      <c r="PZ92" s="190"/>
      <c r="QA92" s="199"/>
      <c r="QB92" s="190"/>
      <c r="QC92" s="190"/>
      <c r="QD92" s="190"/>
      <c r="QE92" s="190"/>
      <c r="QF92" s="190"/>
      <c r="QG92" s="198"/>
      <c r="QH92" s="190"/>
      <c r="QI92" s="190"/>
      <c r="QJ92" s="190"/>
      <c r="QK92" s="190"/>
      <c r="QL92" s="190"/>
      <c r="QM92" s="199"/>
      <c r="QN92" s="190"/>
      <c r="QO92" s="190"/>
      <c r="QP92" s="190"/>
      <c r="QQ92" s="190"/>
      <c r="QR92" s="190"/>
      <c r="QS92" s="198"/>
      <c r="QT92" s="190"/>
      <c r="QU92" s="190"/>
      <c r="QV92" s="190"/>
      <c r="QW92" s="190"/>
      <c r="QX92" s="190"/>
      <c r="QY92" s="199"/>
      <c r="QZ92" s="190"/>
      <c r="RA92" s="190"/>
      <c r="RB92" s="190"/>
      <c r="RC92" s="190"/>
      <c r="RD92" s="190"/>
      <c r="RE92" s="198"/>
      <c r="RF92" s="190"/>
      <c r="RG92" s="190"/>
      <c r="RH92" s="190"/>
      <c r="RI92" s="190"/>
      <c r="RJ92" s="190"/>
      <c r="RK92" s="199"/>
      <c r="RL92" s="190"/>
      <c r="RM92" s="190"/>
      <c r="RN92" s="190"/>
      <c r="RO92" s="190"/>
      <c r="RP92" s="190"/>
      <c r="RQ92" s="194"/>
      <c r="RR92" s="189"/>
      <c r="RS92" s="190"/>
      <c r="RT92" s="190"/>
      <c r="RU92" s="190"/>
      <c r="RV92" s="190"/>
      <c r="RW92" s="197"/>
      <c r="RX92" s="190"/>
      <c r="RY92" s="190"/>
      <c r="RZ92" s="190"/>
      <c r="SA92" s="190"/>
      <c r="SB92" s="190"/>
      <c r="SC92" s="198"/>
      <c r="SD92" s="190"/>
      <c r="SE92" s="190"/>
      <c r="SF92" s="190"/>
      <c r="SG92" s="190"/>
      <c r="SH92" s="190"/>
      <c r="SI92" s="199"/>
      <c r="SJ92" s="190"/>
      <c r="SK92" s="190"/>
      <c r="SL92" s="190"/>
      <c r="SM92" s="190"/>
      <c r="SN92" s="190"/>
      <c r="SO92" s="198"/>
      <c r="SP92" s="190"/>
      <c r="SQ92" s="190"/>
      <c r="SR92" s="190"/>
      <c r="SS92" s="190"/>
      <c r="ST92" s="190"/>
      <c r="SU92" s="199"/>
      <c r="SV92" s="190"/>
      <c r="SW92" s="190"/>
      <c r="SX92" s="190"/>
      <c r="SY92" s="190"/>
      <c r="SZ92" s="190"/>
      <c r="TA92" s="198"/>
      <c r="TB92" s="190"/>
      <c r="TC92" s="190"/>
      <c r="TD92" s="190"/>
      <c r="TE92" s="190"/>
      <c r="TF92" s="190"/>
      <c r="TG92" s="199"/>
      <c r="TH92" s="190"/>
      <c r="TI92" s="190"/>
      <c r="TJ92" s="190"/>
      <c r="TK92" s="190"/>
      <c r="TL92" s="190"/>
      <c r="TM92" s="198"/>
      <c r="TN92" s="190"/>
      <c r="TO92" s="190"/>
      <c r="TP92" s="190"/>
      <c r="TQ92" s="190"/>
      <c r="TR92" s="190"/>
      <c r="TS92" s="199"/>
      <c r="TT92" s="190"/>
      <c r="TU92" s="190"/>
      <c r="TV92" s="190"/>
      <c r="TW92" s="190"/>
      <c r="TX92" s="190"/>
      <c r="TY92" s="194"/>
      <c r="TZ92" s="189"/>
      <c r="UA92" s="190"/>
      <c r="UB92" s="190"/>
      <c r="UC92" s="190"/>
      <c r="UD92" s="190"/>
      <c r="UE92" s="197"/>
      <c r="UF92" s="190"/>
      <c r="UG92" s="190"/>
      <c r="UH92" s="190"/>
      <c r="UI92" s="190"/>
      <c r="UJ92" s="190"/>
      <c r="UK92" s="198"/>
      <c r="UL92" s="190"/>
      <c r="UM92" s="190"/>
      <c r="UN92" s="190"/>
      <c r="UO92" s="190"/>
      <c r="UP92" s="190"/>
      <c r="UQ92" s="199"/>
      <c r="UR92" s="190"/>
      <c r="US92" s="190"/>
      <c r="UT92" s="190"/>
      <c r="UU92" s="190"/>
      <c r="UV92" s="190"/>
      <c r="UW92" s="198"/>
      <c r="UX92" s="190"/>
      <c r="UY92" s="190"/>
      <c r="UZ92" s="190"/>
      <c r="VA92" s="190"/>
      <c r="VB92" s="190"/>
      <c r="VC92" s="199"/>
      <c r="VD92" s="190"/>
      <c r="VE92" s="190"/>
      <c r="VF92" s="190"/>
      <c r="VG92" s="190"/>
      <c r="VH92" s="190"/>
      <c r="VI92" s="198"/>
      <c r="VJ92" s="190"/>
      <c r="VK92" s="190"/>
      <c r="VL92" s="190"/>
      <c r="VM92" s="190"/>
      <c r="VN92" s="190"/>
      <c r="VO92" s="199"/>
      <c r="VP92" s="190"/>
      <c r="VQ92" s="190"/>
      <c r="VR92" s="190"/>
      <c r="VS92" s="190"/>
      <c r="VT92" s="190"/>
      <c r="VU92" s="198"/>
      <c r="VV92" s="190"/>
      <c r="VW92" s="190"/>
      <c r="VX92" s="190"/>
      <c r="VY92" s="190"/>
      <c r="VZ92" s="190"/>
      <c r="WA92" s="199"/>
      <c r="WB92" s="190"/>
      <c r="WC92" s="190"/>
      <c r="WD92" s="190"/>
      <c r="WE92" s="190"/>
      <c r="WF92" s="190"/>
      <c r="WG92" s="194"/>
      <c r="WH92" s="189"/>
      <c r="WI92" s="190"/>
      <c r="WJ92" s="190"/>
      <c r="WK92" s="190"/>
      <c r="WL92" s="190"/>
      <c r="WM92" s="197"/>
      <c r="WN92" s="190"/>
      <c r="WO92" s="190"/>
      <c r="WP92" s="190"/>
      <c r="WQ92" s="190"/>
      <c r="WR92" s="190"/>
      <c r="WS92" s="198"/>
      <c r="WT92" s="190"/>
      <c r="WU92" s="190"/>
      <c r="WV92" s="190"/>
      <c r="WW92" s="190"/>
      <c r="WX92" s="190"/>
      <c r="WY92" s="199"/>
      <c r="WZ92" s="190"/>
      <c r="XA92" s="190"/>
      <c r="XB92" s="190"/>
      <c r="XC92" s="190"/>
      <c r="XD92" s="190"/>
      <c r="XE92" s="198"/>
      <c r="XF92" s="190"/>
      <c r="XG92" s="190"/>
      <c r="XH92" s="190"/>
      <c r="XI92" s="190"/>
      <c r="XJ92" s="190"/>
      <c r="XK92" s="199"/>
      <c r="XL92" s="190"/>
      <c r="XM92" s="190"/>
      <c r="XN92" s="190"/>
      <c r="XO92" s="190"/>
      <c r="XP92" s="190"/>
      <c r="XQ92" s="198"/>
      <c r="XR92" s="190"/>
      <c r="XS92" s="190"/>
      <c r="XT92" s="190"/>
      <c r="XU92" s="190"/>
      <c r="XV92" s="190"/>
      <c r="XW92" s="199"/>
      <c r="XX92" s="190"/>
      <c r="XY92" s="190"/>
      <c r="XZ92" s="190"/>
      <c r="YA92" s="190"/>
      <c r="YB92" s="190"/>
      <c r="YC92" s="198"/>
      <c r="YD92" s="190"/>
      <c r="YE92" s="190"/>
      <c r="YF92" s="190"/>
      <c r="YG92" s="190"/>
      <c r="YH92" s="190"/>
      <c r="YI92" s="199"/>
      <c r="YJ92" s="190"/>
      <c r="YK92" s="190"/>
      <c r="YL92" s="190"/>
      <c r="YM92" s="190"/>
      <c r="YN92" s="190"/>
      <c r="YO92" s="194"/>
      <c r="YP92" s="189"/>
      <c r="YQ92" s="190"/>
      <c r="YR92" s="190"/>
      <c r="YS92" s="190"/>
      <c r="YT92" s="190"/>
      <c r="YU92" s="197"/>
      <c r="YV92" s="190"/>
      <c r="YW92" s="190"/>
      <c r="YX92" s="190"/>
      <c r="YY92" s="190"/>
      <c r="YZ92" s="190"/>
      <c r="ZA92" s="198"/>
      <c r="ZB92" s="190"/>
      <c r="ZC92" s="190"/>
      <c r="ZD92" s="190"/>
      <c r="ZE92" s="190"/>
      <c r="ZF92" s="190"/>
      <c r="ZG92" s="199"/>
      <c r="ZH92" s="190"/>
      <c r="ZI92" s="190"/>
      <c r="ZJ92" s="190"/>
      <c r="ZK92" s="190"/>
      <c r="ZL92" s="190"/>
      <c r="ZM92" s="198"/>
      <c r="ZN92" s="190"/>
      <c r="ZO92" s="190"/>
      <c r="ZP92" s="190"/>
      <c r="ZQ92" s="190"/>
      <c r="ZR92" s="190"/>
      <c r="ZS92" s="199"/>
      <c r="ZT92" s="190"/>
      <c r="ZU92" s="190"/>
      <c r="ZV92" s="190"/>
      <c r="ZW92" s="190"/>
      <c r="ZX92" s="190"/>
      <c r="ZY92" s="198"/>
      <c r="ZZ92" s="190"/>
      <c r="AAA92" s="190"/>
      <c r="AAB92" s="190"/>
      <c r="AAC92" s="190"/>
      <c r="AAD92" s="190"/>
      <c r="AAE92" s="199"/>
      <c r="AAF92" s="190"/>
      <c r="AAG92" s="190"/>
      <c r="AAH92" s="190"/>
      <c r="AAI92" s="190"/>
      <c r="AAJ92" s="190"/>
      <c r="AAK92" s="198"/>
      <c r="AAL92" s="190"/>
      <c r="AAM92" s="190"/>
      <c r="AAN92" s="190"/>
      <c r="AAO92" s="190"/>
      <c r="AAP92" s="190"/>
      <c r="AAQ92" s="199"/>
      <c r="AAR92" s="190"/>
      <c r="AAS92" s="190"/>
      <c r="AAT92" s="190"/>
      <c r="AAU92" s="190"/>
      <c r="AAV92" s="190"/>
      <c r="AAW92" s="194"/>
      <c r="AAX92" s="189"/>
      <c r="AAY92" s="190"/>
      <c r="AAZ92" s="190"/>
      <c r="ABA92" s="190"/>
      <c r="ABB92" s="190"/>
      <c r="ABC92" s="197"/>
      <c r="ABD92" s="190"/>
      <c r="ABE92" s="190"/>
      <c r="ABF92" s="190"/>
      <c r="ABG92" s="190"/>
      <c r="ABH92" s="190"/>
      <c r="ABI92" s="198"/>
      <c r="ABJ92" s="190"/>
      <c r="ABK92" s="190"/>
      <c r="ABL92" s="190"/>
      <c r="ABM92" s="190"/>
      <c r="ABN92" s="190"/>
      <c r="ABO92" s="199"/>
      <c r="ABP92" s="190"/>
      <c r="ABQ92" s="190"/>
      <c r="ABR92" s="190"/>
      <c r="ABS92" s="190"/>
      <c r="ABT92" s="190"/>
      <c r="ABU92" s="198"/>
      <c r="ABV92" s="190"/>
      <c r="ABW92" s="190"/>
      <c r="ABX92" s="190"/>
      <c r="ABY92" s="190"/>
      <c r="ABZ92" s="190"/>
      <c r="ACA92" s="199"/>
      <c r="ACB92" s="190"/>
      <c r="ACC92" s="190"/>
      <c r="ACD92" s="190"/>
      <c r="ACE92" s="190"/>
      <c r="ACF92" s="190"/>
      <c r="ACG92" s="198"/>
      <c r="ACH92" s="190"/>
      <c r="ACI92" s="190"/>
      <c r="ACJ92" s="190"/>
      <c r="ACK92" s="190"/>
      <c r="ACL92" s="190"/>
      <c r="ACM92" s="199"/>
      <c r="ACN92" s="190"/>
      <c r="ACO92" s="190"/>
      <c r="ACP92" s="190"/>
      <c r="ACQ92" s="190"/>
      <c r="ACR92" s="190"/>
      <c r="ACS92" s="198"/>
      <c r="ACT92" s="190"/>
      <c r="ACU92" s="190"/>
      <c r="ACV92" s="190"/>
      <c r="ACW92" s="190"/>
      <c r="ACX92" s="190"/>
      <c r="ACY92" s="199"/>
      <c r="ACZ92" s="190"/>
      <c r="ADA92" s="190"/>
      <c r="ADB92" s="190"/>
      <c r="ADC92" s="190"/>
      <c r="ADD92" s="190"/>
      <c r="ADE92" s="194"/>
      <c r="ADF92" s="189"/>
      <c r="ADG92" s="190"/>
      <c r="ADH92" s="190"/>
      <c r="ADI92" s="190"/>
      <c r="ADJ92" s="190"/>
      <c r="ADK92" s="197"/>
      <c r="ADL92" s="190"/>
      <c r="ADM92" s="190"/>
      <c r="ADN92" s="190"/>
      <c r="ADO92" s="190"/>
      <c r="ADP92" s="190"/>
      <c r="ADQ92" s="198"/>
      <c r="ADR92" s="190"/>
      <c r="ADS92" s="190"/>
      <c r="ADT92" s="190"/>
      <c r="ADU92" s="190"/>
      <c r="ADV92" s="190"/>
      <c r="ADW92" s="199"/>
      <c r="ADX92" s="190"/>
      <c r="ADY92" s="190"/>
      <c r="ADZ92" s="190"/>
      <c r="AEA92" s="190"/>
      <c r="AEB92" s="190"/>
      <c r="AEC92" s="198"/>
      <c r="AED92" s="190"/>
      <c r="AEE92" s="190"/>
      <c r="AEF92" s="190"/>
      <c r="AEG92" s="190"/>
      <c r="AEH92" s="190"/>
      <c r="AEI92" s="199"/>
      <c r="AEJ92" s="190"/>
      <c r="AEK92" s="190"/>
      <c r="AEL92" s="190"/>
      <c r="AEM92" s="190"/>
      <c r="AEN92" s="190"/>
      <c r="AEO92" s="198"/>
      <c r="AEP92" s="190"/>
      <c r="AEQ92" s="190"/>
      <c r="AER92" s="190"/>
      <c r="AES92" s="190"/>
      <c r="AET92" s="190"/>
      <c r="AEU92" s="199"/>
      <c r="AEV92" s="190"/>
      <c r="AEW92" s="190"/>
      <c r="AEX92" s="190"/>
      <c r="AEY92" s="190"/>
      <c r="AEZ92" s="190"/>
      <c r="AFA92" s="198"/>
      <c r="AFB92" s="190"/>
      <c r="AFC92" s="190"/>
      <c r="AFD92" s="190"/>
      <c r="AFE92" s="190"/>
      <c r="AFF92" s="190"/>
      <c r="AFG92" s="199"/>
      <c r="AFH92" s="190"/>
      <c r="AFI92" s="190"/>
      <c r="AFJ92" s="190"/>
      <c r="AFK92" s="190"/>
      <c r="AFL92" s="190"/>
      <c r="AFM92" s="194"/>
      <c r="AFN92" s="189"/>
      <c r="AFO92" s="190"/>
      <c r="AFP92" s="190"/>
      <c r="AFQ92" s="190"/>
      <c r="AFR92" s="190"/>
      <c r="AFS92" s="197"/>
      <c r="AFT92" s="190"/>
      <c r="AFU92" s="190"/>
      <c r="AFV92" s="190"/>
      <c r="AFW92" s="190"/>
      <c r="AFX92" s="190"/>
      <c r="AFY92" s="198"/>
      <c r="AFZ92" s="190"/>
      <c r="AGA92" s="190"/>
      <c r="AGB92" s="190"/>
      <c r="AGC92" s="190"/>
      <c r="AGD92" s="190"/>
      <c r="AGE92" s="199"/>
      <c r="AGF92" s="190"/>
      <c r="AGG92" s="190"/>
      <c r="AGH92" s="190"/>
      <c r="AGI92" s="190"/>
      <c r="AGJ92" s="190"/>
      <c r="AGK92" s="198"/>
      <c r="AGL92" s="190"/>
      <c r="AGM92" s="190"/>
      <c r="AGN92" s="190"/>
      <c r="AGO92" s="190"/>
      <c r="AGP92" s="190"/>
      <c r="AGQ92" s="199"/>
      <c r="AGR92" s="190"/>
      <c r="AGS92" s="190"/>
      <c r="AGT92" s="190"/>
      <c r="AGU92" s="190"/>
      <c r="AGV92" s="190"/>
      <c r="AGW92" s="198"/>
      <c r="AGX92" s="190"/>
      <c r="AGY92" s="190"/>
      <c r="AGZ92" s="190"/>
      <c r="AHA92" s="190"/>
      <c r="AHB92" s="190"/>
      <c r="AHC92" s="199"/>
      <c r="AHD92" s="190"/>
      <c r="AHE92" s="190"/>
      <c r="AHF92" s="190"/>
      <c r="AHG92" s="190"/>
      <c r="AHH92" s="190"/>
      <c r="AHI92" s="198"/>
      <c r="AHJ92" s="190"/>
      <c r="AHK92" s="190"/>
      <c r="AHL92" s="190"/>
      <c r="AHM92" s="190"/>
      <c r="AHN92" s="190"/>
      <c r="AHO92" s="199"/>
      <c r="AHP92" s="190"/>
      <c r="AHQ92" s="190"/>
      <c r="AHR92" s="190"/>
      <c r="AHS92" s="190"/>
      <c r="AHT92" s="190"/>
      <c r="AHU92" s="194"/>
      <c r="AHV92" s="189"/>
      <c r="AHW92" s="190"/>
      <c r="AHX92" s="190"/>
      <c r="AHY92" s="190"/>
      <c r="AHZ92" s="190"/>
      <c r="AIA92" s="197"/>
      <c r="AIB92" s="190"/>
      <c r="AIC92" s="190"/>
      <c r="AID92" s="190"/>
      <c r="AIE92" s="190"/>
      <c r="AIF92" s="190"/>
      <c r="AIG92" s="198"/>
      <c r="AIH92" s="190"/>
      <c r="AII92" s="190"/>
      <c r="AIJ92" s="190"/>
      <c r="AIK92" s="190"/>
      <c r="AIL92" s="190"/>
      <c r="AIM92" s="199"/>
      <c r="AIN92" s="190"/>
      <c r="AIO92" s="190"/>
      <c r="AIP92" s="190"/>
      <c r="AIQ92" s="190"/>
      <c r="AIR92" s="190"/>
      <c r="AIS92" s="198"/>
      <c r="AIT92" s="190"/>
      <c r="AIU92" s="190"/>
      <c r="AIV92" s="190"/>
      <c r="AIW92" s="190"/>
      <c r="AIX92" s="190"/>
      <c r="AIY92" s="199"/>
      <c r="AIZ92" s="190"/>
      <c r="AJA92" s="190"/>
      <c r="AJB92" s="190"/>
      <c r="AJC92" s="190"/>
      <c r="AJD92" s="190"/>
      <c r="AJE92" s="198"/>
      <c r="AJF92" s="190"/>
      <c r="AJG92" s="190"/>
      <c r="AJH92" s="190"/>
      <c r="AJI92" s="190"/>
      <c r="AJJ92" s="190"/>
      <c r="AJK92" s="199"/>
      <c r="AJL92" s="190"/>
      <c r="AJM92" s="190"/>
      <c r="AJN92" s="190"/>
      <c r="AJO92" s="190"/>
      <c r="AJP92" s="190"/>
      <c r="AJQ92" s="198"/>
      <c r="AJR92" s="190"/>
      <c r="AJS92" s="190"/>
      <c r="AJT92" s="190"/>
      <c r="AJU92" s="190"/>
      <c r="AJV92" s="190"/>
      <c r="AJW92" s="199"/>
      <c r="AJX92" s="190"/>
      <c r="AJY92" s="190"/>
      <c r="AJZ92" s="190"/>
      <c r="AKA92" s="190"/>
      <c r="AKB92" s="190"/>
      <c r="AKC92" s="194"/>
      <c r="AKD92" s="189"/>
      <c r="AKE92" s="190"/>
      <c r="AKF92" s="190"/>
      <c r="AKG92" s="190"/>
      <c r="AKH92" s="190"/>
      <c r="AKI92" s="197"/>
      <c r="AKJ92" s="190"/>
      <c r="AKK92" s="190"/>
      <c r="AKL92" s="190"/>
      <c r="AKM92" s="190"/>
      <c r="AKN92" s="190"/>
      <c r="AKO92" s="198"/>
      <c r="AKP92" s="190"/>
      <c r="AKQ92" s="190"/>
      <c r="AKR92" s="190"/>
      <c r="AKS92" s="190"/>
      <c r="AKT92" s="190"/>
      <c r="AKU92" s="199"/>
      <c r="AKV92" s="190"/>
      <c r="AKW92" s="190"/>
      <c r="AKX92" s="190"/>
      <c r="AKY92" s="190"/>
      <c r="AKZ92" s="190"/>
      <c r="ALA92" s="198"/>
      <c r="ALB92" s="190"/>
      <c r="ALC92" s="190"/>
      <c r="ALD92" s="190"/>
      <c r="ALE92" s="190"/>
      <c r="ALF92" s="190"/>
      <c r="ALG92" s="199"/>
      <c r="ALH92" s="190"/>
      <c r="ALI92" s="190"/>
      <c r="ALJ92" s="190"/>
      <c r="ALK92" s="190"/>
      <c r="ALL92" s="190"/>
      <c r="ALM92" s="198"/>
      <c r="ALN92" s="190"/>
      <c r="ALO92" s="190"/>
      <c r="ALP92" s="190"/>
      <c r="ALQ92" s="190"/>
      <c r="ALR92" s="190"/>
      <c r="ALS92" s="199"/>
      <c r="ALT92" s="190"/>
      <c r="ALU92" s="190"/>
      <c r="ALV92" s="190"/>
      <c r="ALW92" s="190"/>
      <c r="ALX92" s="190"/>
      <c r="ALY92" s="198"/>
      <c r="ALZ92" s="190"/>
      <c r="AMA92" s="190"/>
      <c r="AMB92" s="190"/>
      <c r="AMC92" s="190"/>
      <c r="AMD92" s="190"/>
      <c r="AME92" s="199"/>
      <c r="AMF92" s="190"/>
      <c r="AMG92" s="190"/>
      <c r="AMH92" s="190"/>
      <c r="AMI92" s="190"/>
      <c r="AMJ92" s="190"/>
      <c r="AMK92" s="194"/>
      <c r="AML92" s="189"/>
      <c r="AMM92" s="190"/>
      <c r="AMN92" s="190"/>
      <c r="AMO92" s="190"/>
      <c r="AMP92" s="190"/>
      <c r="AMQ92" s="197"/>
      <c r="AMR92" s="190"/>
      <c r="AMS92" s="190"/>
      <c r="AMT92" s="190"/>
      <c r="AMU92" s="190"/>
      <c r="AMV92" s="190"/>
      <c r="AMW92" s="198"/>
      <c r="AMX92" s="190"/>
      <c r="AMY92" s="190"/>
      <c r="AMZ92" s="190"/>
      <c r="ANA92" s="190"/>
      <c r="ANB92" s="190"/>
      <c r="ANC92" s="199"/>
      <c r="AND92" s="190"/>
      <c r="ANE92" s="190"/>
      <c r="ANF92" s="190"/>
      <c r="ANG92" s="190"/>
      <c r="ANH92" s="190"/>
      <c r="ANI92" s="198"/>
      <c r="ANJ92" s="190"/>
      <c r="ANK92" s="190"/>
      <c r="ANL92" s="190"/>
      <c r="ANM92" s="190"/>
      <c r="ANN92" s="190"/>
      <c r="ANO92" s="199"/>
      <c r="ANP92" s="190"/>
      <c r="ANQ92" s="190"/>
      <c r="ANR92" s="190"/>
      <c r="ANS92" s="190"/>
      <c r="ANT92" s="190"/>
      <c r="ANU92" s="198"/>
      <c r="ANV92" s="190"/>
      <c r="ANW92" s="190"/>
      <c r="ANX92" s="190"/>
      <c r="ANY92" s="190"/>
      <c r="ANZ92" s="190"/>
      <c r="AOA92" s="199"/>
      <c r="AOB92" s="190"/>
      <c r="AOC92" s="190"/>
      <c r="AOD92" s="190"/>
      <c r="AOE92" s="190"/>
      <c r="AOF92" s="190"/>
      <c r="AOG92" s="198"/>
      <c r="AOH92" s="190"/>
      <c r="AOI92" s="190"/>
      <c r="AOJ92" s="190"/>
      <c r="AOK92" s="190"/>
      <c r="AOL92" s="190"/>
      <c r="AOM92" s="199"/>
      <c r="AON92" s="190"/>
      <c r="AOO92" s="190"/>
      <c r="AOP92" s="190"/>
      <c r="AOQ92" s="190"/>
      <c r="AOR92" s="190"/>
      <c r="AOS92" s="194"/>
      <c r="AOT92" s="189"/>
      <c r="AOU92" s="190"/>
      <c r="AOV92" s="190"/>
      <c r="AOW92" s="190"/>
      <c r="AOX92" s="190"/>
      <c r="AOY92" s="197"/>
      <c r="AOZ92" s="190"/>
      <c r="APA92" s="190"/>
      <c r="APB92" s="190"/>
      <c r="APC92" s="190"/>
      <c r="APD92" s="190"/>
      <c r="APE92" s="198"/>
      <c r="APF92" s="190"/>
      <c r="APG92" s="190"/>
      <c r="APH92" s="190"/>
      <c r="API92" s="190"/>
      <c r="APJ92" s="190"/>
      <c r="APK92" s="199"/>
      <c r="APL92" s="190"/>
      <c r="APM92" s="190"/>
      <c r="APN92" s="190"/>
      <c r="APO92" s="190"/>
      <c r="APP92" s="190"/>
      <c r="APQ92" s="198"/>
      <c r="APR92" s="190"/>
      <c r="APS92" s="190"/>
      <c r="APT92" s="190"/>
      <c r="APU92" s="190"/>
      <c r="APV92" s="190"/>
      <c r="APW92" s="199"/>
      <c r="APX92" s="190"/>
      <c r="APY92" s="190"/>
      <c r="APZ92" s="190"/>
      <c r="AQA92" s="190"/>
      <c r="AQB92" s="190"/>
      <c r="AQC92" s="198"/>
      <c r="AQD92" s="190"/>
      <c r="AQE92" s="190"/>
      <c r="AQF92" s="190"/>
      <c r="AQG92" s="190"/>
      <c r="AQH92" s="190"/>
      <c r="AQI92" s="199"/>
      <c r="AQJ92" s="190"/>
      <c r="AQK92" s="190"/>
      <c r="AQL92" s="190"/>
      <c r="AQM92" s="190"/>
      <c r="AQN92" s="190"/>
      <c r="AQO92" s="198"/>
      <c r="AQP92" s="190"/>
      <c r="AQQ92" s="190"/>
      <c r="AQR92" s="190"/>
      <c r="AQS92" s="190"/>
      <c r="AQT92" s="190"/>
      <c r="AQU92" s="199"/>
      <c r="AQV92" s="190"/>
      <c r="AQW92" s="190"/>
      <c r="AQX92" s="190"/>
      <c r="AQY92" s="190"/>
      <c r="AQZ92" s="190"/>
      <c r="ARA92" s="194"/>
      <c r="ARB92" s="189"/>
      <c r="ARC92" s="190"/>
      <c r="ARD92" s="190"/>
      <c r="ARE92" s="190"/>
      <c r="ARF92" s="190"/>
      <c r="ARG92" s="197"/>
      <c r="ARH92" s="190"/>
      <c r="ARI92" s="190"/>
      <c r="ARJ92" s="190"/>
      <c r="ARK92" s="190"/>
      <c r="ARL92" s="190"/>
      <c r="ARM92" s="198"/>
      <c r="ARN92" s="190"/>
      <c r="ARO92" s="190"/>
      <c r="ARP92" s="190"/>
      <c r="ARQ92" s="190"/>
      <c r="ARR92" s="190"/>
      <c r="ARS92" s="199"/>
      <c r="ART92" s="190"/>
      <c r="ARU92" s="190"/>
      <c r="ARV92" s="190"/>
      <c r="ARW92" s="190"/>
      <c r="ARX92" s="190"/>
      <c r="ARY92" s="198"/>
      <c r="ARZ92" s="190"/>
      <c r="ASA92" s="190"/>
      <c r="ASB92" s="190"/>
      <c r="ASC92" s="190"/>
      <c r="ASD92" s="190"/>
      <c r="ASE92" s="199"/>
      <c r="ASF92" s="190"/>
      <c r="ASG92" s="190"/>
      <c r="ASH92" s="190"/>
      <c r="ASI92" s="190"/>
      <c r="ASJ92" s="190"/>
      <c r="ASK92" s="198"/>
      <c r="ASL92" s="190"/>
      <c r="ASM92" s="190"/>
      <c r="ASN92" s="190"/>
      <c r="ASO92" s="190"/>
      <c r="ASP92" s="190"/>
      <c r="ASQ92" s="199"/>
      <c r="ASR92" s="190"/>
      <c r="ASS92" s="190"/>
      <c r="AST92" s="190"/>
      <c r="ASU92" s="190"/>
      <c r="ASV92" s="190"/>
      <c r="ASW92" s="198"/>
      <c r="ASX92" s="190"/>
      <c r="ASY92" s="190"/>
      <c r="ASZ92" s="190"/>
      <c r="ATA92" s="190"/>
      <c r="ATB92" s="190"/>
      <c r="ATC92" s="199"/>
      <c r="ATD92" s="190"/>
      <c r="ATE92" s="190"/>
      <c r="ATF92" s="190"/>
      <c r="ATG92" s="190"/>
      <c r="ATH92" s="190"/>
      <c r="ATI92" s="194"/>
      <c r="ATJ92" s="189"/>
      <c r="ATK92" s="190"/>
      <c r="ATL92" s="190"/>
      <c r="ATM92" s="190"/>
      <c r="ATN92" s="190"/>
      <c r="ATO92" s="197"/>
      <c r="ATP92" s="190"/>
      <c r="ATQ92" s="190"/>
      <c r="ATR92" s="190"/>
      <c r="ATS92" s="190"/>
      <c r="ATT92" s="190"/>
      <c r="ATU92" s="198"/>
      <c r="ATV92" s="190"/>
      <c r="ATW92" s="190"/>
      <c r="ATX92" s="190"/>
      <c r="ATY92" s="190"/>
      <c r="ATZ92" s="190"/>
      <c r="AUA92" s="199"/>
      <c r="AUB92" s="190"/>
      <c r="AUC92" s="190"/>
      <c r="AUD92" s="190"/>
      <c r="AUE92" s="190"/>
      <c r="AUF92" s="190"/>
      <c r="AUG92" s="198"/>
      <c r="AUH92" s="190"/>
      <c r="AUI92" s="190"/>
      <c r="AUJ92" s="190"/>
      <c r="AUK92" s="190"/>
      <c r="AUL92" s="190"/>
      <c r="AUM92" s="199"/>
      <c r="AUN92" s="190"/>
      <c r="AUO92" s="190"/>
      <c r="AUP92" s="190"/>
      <c r="AUQ92" s="190"/>
      <c r="AUR92" s="190"/>
      <c r="AUS92" s="198"/>
      <c r="AUT92" s="190"/>
      <c r="AUU92" s="190"/>
      <c r="AUV92" s="190"/>
      <c r="AUW92" s="190"/>
      <c r="AUX92" s="190"/>
      <c r="AUY92" s="199"/>
      <c r="AUZ92" s="190"/>
      <c r="AVA92" s="190"/>
      <c r="AVB92" s="190"/>
      <c r="AVC92" s="190"/>
      <c r="AVD92" s="190"/>
      <c r="AVE92" s="198"/>
      <c r="AVF92" s="190"/>
      <c r="AVG92" s="190"/>
      <c r="AVH92" s="190"/>
      <c r="AVI92" s="190"/>
      <c r="AVJ92" s="190"/>
      <c r="AVK92" s="199"/>
      <c r="AVL92" s="190"/>
      <c r="AVM92" s="190"/>
      <c r="AVN92" s="190"/>
      <c r="AVO92" s="190"/>
      <c r="AVP92" s="190"/>
      <c r="AVQ92" s="194"/>
      <c r="AVR92" s="189"/>
      <c r="AVS92" s="190"/>
      <c r="AVT92" s="190"/>
      <c r="AVU92" s="190"/>
      <c r="AVV92" s="190"/>
      <c r="AVW92" s="197"/>
      <c r="AVX92" s="190"/>
      <c r="AVY92" s="190"/>
      <c r="AVZ92" s="190"/>
      <c r="AWA92" s="190"/>
      <c r="AWB92" s="190"/>
      <c r="AWC92" s="198"/>
      <c r="AWD92" s="190"/>
      <c r="AWE92" s="190"/>
      <c r="AWF92" s="190"/>
      <c r="AWG92" s="190"/>
      <c r="AWH92" s="190"/>
      <c r="AWI92" s="199"/>
      <c r="AWJ92" s="190"/>
      <c r="AWK92" s="190"/>
      <c r="AWL92" s="190"/>
      <c r="AWM92" s="190"/>
      <c r="AWN92" s="190"/>
      <c r="AWO92" s="198"/>
      <c r="AWP92" s="190"/>
      <c r="AWQ92" s="190"/>
      <c r="AWR92" s="190"/>
      <c r="AWS92" s="190"/>
      <c r="AWT92" s="190"/>
      <c r="AWU92" s="199"/>
      <c r="AWV92" s="190"/>
      <c r="AWW92" s="190"/>
      <c r="AWX92" s="190"/>
      <c r="AWY92" s="190"/>
      <c r="AWZ92" s="190"/>
      <c r="AXA92" s="198"/>
      <c r="AXB92" s="190"/>
      <c r="AXC92" s="190"/>
      <c r="AXD92" s="190"/>
      <c r="AXE92" s="190"/>
      <c r="AXF92" s="190"/>
      <c r="AXG92" s="199"/>
      <c r="AXH92" s="190"/>
      <c r="AXI92" s="190"/>
      <c r="AXJ92" s="190"/>
      <c r="AXK92" s="190"/>
      <c r="AXL92" s="190"/>
      <c r="AXM92" s="198"/>
      <c r="AXN92" s="190"/>
      <c r="AXO92" s="190"/>
      <c r="AXP92" s="190"/>
      <c r="AXQ92" s="190"/>
      <c r="AXR92" s="190"/>
      <c r="AXS92" s="199"/>
      <c r="AXT92" s="190"/>
      <c r="AXU92" s="190"/>
      <c r="AXV92" s="190"/>
      <c r="AXW92" s="190"/>
      <c r="AXX92" s="190"/>
      <c r="AXY92" s="194"/>
      <c r="AXZ92" s="189"/>
      <c r="AYA92" s="190"/>
      <c r="AYB92" s="190"/>
      <c r="AYC92" s="190"/>
      <c r="AYD92" s="190"/>
      <c r="AYE92" s="197"/>
      <c r="AYF92" s="190"/>
      <c r="AYG92" s="190"/>
      <c r="AYH92" s="190"/>
      <c r="AYI92" s="190"/>
      <c r="AYJ92" s="190"/>
      <c r="AYK92" s="198"/>
      <c r="AYL92" s="190"/>
      <c r="AYM92" s="190"/>
      <c r="AYN92" s="190"/>
      <c r="AYO92" s="190"/>
      <c r="AYP92" s="190"/>
      <c r="AYQ92" s="199"/>
      <c r="AYR92" s="190"/>
      <c r="AYS92" s="190"/>
      <c r="AYT92" s="190"/>
      <c r="AYU92" s="190"/>
      <c r="AYV92" s="190"/>
      <c r="AYW92" s="198"/>
      <c r="AYX92" s="190"/>
      <c r="AYY92" s="190"/>
      <c r="AYZ92" s="190"/>
      <c r="AZA92" s="190"/>
      <c r="AZB92" s="190"/>
      <c r="AZC92" s="199"/>
      <c r="AZD92" s="190"/>
      <c r="AZE92" s="190"/>
      <c r="AZF92" s="190"/>
      <c r="AZG92" s="190"/>
      <c r="AZH92" s="190"/>
      <c r="AZI92" s="198"/>
      <c r="AZJ92" s="190"/>
      <c r="AZK92" s="190"/>
      <c r="AZL92" s="190"/>
      <c r="AZM92" s="190"/>
      <c r="AZN92" s="190"/>
      <c r="AZO92" s="199"/>
      <c r="AZP92" s="190"/>
      <c r="AZQ92" s="190"/>
      <c r="AZR92" s="190"/>
      <c r="AZS92" s="190"/>
      <c r="AZT92" s="190"/>
      <c r="AZU92" s="198"/>
      <c r="AZV92" s="190"/>
      <c r="AZW92" s="190"/>
      <c r="AZX92" s="190"/>
      <c r="AZY92" s="190"/>
      <c r="AZZ92" s="190"/>
      <c r="BAA92" s="199"/>
      <c r="BAB92" s="190"/>
      <c r="BAC92" s="190"/>
      <c r="BAD92" s="190"/>
      <c r="BAE92" s="190"/>
      <c r="BAF92" s="190"/>
      <c r="BAG92" s="194"/>
      <c r="BAH92" s="189"/>
      <c r="BAI92" s="190"/>
      <c r="BAJ92" s="190"/>
      <c r="BAK92" s="190"/>
      <c r="BAL92" s="190"/>
      <c r="BAM92" s="197"/>
      <c r="BAN92" s="190"/>
      <c r="BAO92" s="190"/>
      <c r="BAP92" s="190"/>
      <c r="BAQ92" s="190"/>
      <c r="BAR92" s="190"/>
      <c r="BAS92" s="198"/>
      <c r="BAT92" s="190"/>
      <c r="BAU92" s="190"/>
      <c r="BAV92" s="190"/>
      <c r="BAW92" s="190"/>
      <c r="BAX92" s="190"/>
      <c r="BAY92" s="199"/>
      <c r="BAZ92" s="190"/>
      <c r="BBA92" s="190"/>
      <c r="BBB92" s="190"/>
      <c r="BBC92" s="190"/>
      <c r="BBD92" s="190"/>
      <c r="BBE92" s="198"/>
      <c r="BBF92" s="190"/>
      <c r="BBG92" s="190"/>
      <c r="BBH92" s="190"/>
      <c r="BBI92" s="190"/>
      <c r="BBJ92" s="190"/>
      <c r="BBK92" s="199"/>
      <c r="BBL92" s="190"/>
      <c r="BBM92" s="190"/>
      <c r="BBN92" s="190"/>
      <c r="BBO92" s="190"/>
      <c r="BBP92" s="190"/>
      <c r="BBQ92" s="198"/>
      <c r="BBR92" s="190"/>
      <c r="BBS92" s="190"/>
      <c r="BBT92" s="190"/>
      <c r="BBU92" s="190"/>
      <c r="BBV92" s="190"/>
      <c r="BBW92" s="199"/>
      <c r="BBX92" s="190"/>
      <c r="BBY92" s="190"/>
      <c r="BBZ92" s="190"/>
      <c r="BCA92" s="190"/>
      <c r="BCB92" s="190"/>
      <c r="BCC92" s="198"/>
      <c r="BCD92" s="190"/>
      <c r="BCE92" s="190"/>
      <c r="BCF92" s="190"/>
      <c r="BCG92" s="190"/>
      <c r="BCH92" s="190"/>
      <c r="BCI92" s="199"/>
      <c r="BCJ92" s="190"/>
      <c r="BCK92" s="190"/>
      <c r="BCL92" s="190"/>
      <c r="BCM92" s="190"/>
      <c r="BCN92" s="190"/>
      <c r="BCO92" s="194"/>
      <c r="BCP92" s="189"/>
      <c r="BCQ92" s="190"/>
      <c r="BCR92" s="190"/>
      <c r="BCS92" s="190"/>
      <c r="BCT92" s="190"/>
      <c r="BCU92" s="197"/>
      <c r="BCV92" s="190"/>
      <c r="BCW92" s="190"/>
      <c r="BCX92" s="190"/>
      <c r="BCY92" s="190"/>
      <c r="BCZ92" s="190"/>
      <c r="BDA92" s="198"/>
      <c r="BDB92" s="190"/>
      <c r="BDC92" s="190"/>
      <c r="BDD92" s="190"/>
      <c r="BDE92" s="190"/>
      <c r="BDF92" s="190"/>
      <c r="BDG92" s="199"/>
      <c r="BDH92" s="190"/>
      <c r="BDI92" s="190"/>
      <c r="BDJ92" s="190"/>
      <c r="BDK92" s="190"/>
      <c r="BDL92" s="190"/>
      <c r="BDM92" s="198"/>
      <c r="BDN92" s="190"/>
      <c r="BDO92" s="190"/>
      <c r="BDP92" s="190"/>
      <c r="BDQ92" s="190"/>
      <c r="BDR92" s="190"/>
      <c r="BDS92" s="199"/>
      <c r="BDT92" s="190"/>
      <c r="BDU92" s="190"/>
      <c r="BDV92" s="190"/>
      <c r="BDW92" s="190"/>
      <c r="BDX92" s="190"/>
      <c r="BDY92" s="198"/>
      <c r="BDZ92" s="190"/>
      <c r="BEA92" s="190"/>
      <c r="BEB92" s="190"/>
      <c r="BEC92" s="190"/>
      <c r="BED92" s="190"/>
      <c r="BEE92" s="199"/>
      <c r="BEF92" s="190"/>
      <c r="BEG92" s="190"/>
      <c r="BEH92" s="190"/>
      <c r="BEI92" s="190"/>
      <c r="BEJ92" s="190"/>
      <c r="BEK92" s="198"/>
      <c r="BEL92" s="190"/>
      <c r="BEM92" s="190"/>
      <c r="BEN92" s="190"/>
      <c r="BEO92" s="190"/>
      <c r="BEP92" s="190"/>
      <c r="BEQ92" s="199"/>
      <c r="BER92" s="190"/>
      <c r="BES92" s="190"/>
      <c r="BET92" s="190"/>
      <c r="BEU92" s="190"/>
      <c r="BEV92" s="190"/>
      <c r="BEW92" s="194"/>
      <c r="BEX92" s="189"/>
      <c r="BEY92" s="190"/>
      <c r="BEZ92" s="190"/>
      <c r="BFA92" s="190"/>
      <c r="BFB92" s="190"/>
      <c r="BFC92" s="197"/>
      <c r="BFD92" s="190"/>
      <c r="BFE92" s="190"/>
      <c r="BFF92" s="190"/>
      <c r="BFG92" s="190"/>
      <c r="BFH92" s="190"/>
      <c r="BFI92" s="198"/>
      <c r="BFJ92" s="190"/>
      <c r="BFK92" s="190"/>
      <c r="BFL92" s="190"/>
      <c r="BFM92" s="190"/>
      <c r="BFN92" s="190"/>
      <c r="BFO92" s="199"/>
      <c r="BFP92" s="190"/>
      <c r="BFQ92" s="190"/>
      <c r="BFR92" s="190"/>
      <c r="BFS92" s="190"/>
      <c r="BFT92" s="190"/>
      <c r="BFU92" s="198"/>
      <c r="BFV92" s="190"/>
      <c r="BFW92" s="190"/>
      <c r="BFX92" s="190"/>
      <c r="BFY92" s="190"/>
      <c r="BFZ92" s="190"/>
      <c r="BGA92" s="199"/>
      <c r="BGB92" s="190"/>
      <c r="BGC92" s="190"/>
      <c r="BGD92" s="190"/>
      <c r="BGE92" s="190"/>
      <c r="BGF92" s="190"/>
      <c r="BGG92" s="198"/>
      <c r="BGH92" s="190"/>
      <c r="BGI92" s="190"/>
      <c r="BGJ92" s="190"/>
      <c r="BGK92" s="190"/>
      <c r="BGL92" s="190"/>
      <c r="BGM92" s="199"/>
      <c r="BGN92" s="190"/>
      <c r="BGO92" s="190"/>
      <c r="BGP92" s="190"/>
      <c r="BGQ92" s="190"/>
      <c r="BGR92" s="190"/>
      <c r="BGS92" s="198"/>
      <c r="BGT92" s="190"/>
      <c r="BGU92" s="190"/>
      <c r="BGV92" s="190"/>
      <c r="BGW92" s="190"/>
      <c r="BGX92" s="190"/>
      <c r="BGY92" s="199"/>
      <c r="BGZ92" s="190"/>
      <c r="BHA92" s="190"/>
      <c r="BHB92" s="190"/>
      <c r="BHC92" s="190"/>
      <c r="BHD92" s="190"/>
      <c r="BHE92" s="194"/>
      <c r="BHF92" s="187"/>
      <c r="BHG92" s="188"/>
      <c r="BHH92" s="188"/>
      <c r="BHI92" s="188"/>
      <c r="BHJ92" s="188"/>
      <c r="BHK92" s="188"/>
      <c r="BHL92" s="188"/>
      <c r="BHM92" s="188"/>
      <c r="BHN92" s="188"/>
      <c r="BHO92" s="188"/>
      <c r="BHP92" s="188"/>
      <c r="BHQ92" s="188"/>
      <c r="BHR92" s="188"/>
      <c r="BHS92" s="188"/>
      <c r="BHT92" s="188"/>
      <c r="BHU92" s="188"/>
      <c r="BHV92" s="188"/>
      <c r="BHW92" s="188"/>
      <c r="BHX92" s="188"/>
      <c r="BHY92" s="188"/>
      <c r="BHZ92" s="188"/>
      <c r="BIA92" s="188"/>
      <c r="BIB92" s="188"/>
      <c r="BIC92" s="188"/>
      <c r="BID92" s="188"/>
      <c r="BIE92" s="188"/>
      <c r="BIF92" s="188"/>
      <c r="BIG92" s="188"/>
      <c r="BIH92" s="188"/>
      <c r="BII92" s="188"/>
      <c r="BIJ92" s="188"/>
      <c r="BIK92" s="188"/>
      <c r="BIL92" s="188"/>
      <c r="BIM92" s="188"/>
      <c r="BIN92" s="188"/>
      <c r="BIO92" s="188"/>
      <c r="BIP92" s="188"/>
    </row>
    <row r="93" spans="1:1602" ht="20.100000000000001" customHeight="1" x14ac:dyDescent="0.25">
      <c r="A93" s="78" t="s">
        <v>49</v>
      </c>
      <c r="B93" s="51"/>
      <c r="C93" s="23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87"/>
      <c r="BHG93" s="188"/>
      <c r="BHH93" s="188"/>
      <c r="BHI93" s="188"/>
      <c r="BHJ93" s="188"/>
      <c r="BHK93" s="188"/>
      <c r="BHL93" s="188"/>
      <c r="BHM93" s="188"/>
      <c r="BHN93" s="188"/>
      <c r="BHO93" s="188"/>
      <c r="BHP93" s="188"/>
      <c r="BHQ93" s="188"/>
      <c r="BHR93" s="188"/>
      <c r="BHS93" s="188"/>
      <c r="BHT93" s="188"/>
      <c r="BHU93" s="188"/>
      <c r="BHV93" s="188"/>
      <c r="BHW93" s="188"/>
      <c r="BHX93" s="188"/>
      <c r="BHY93" s="188"/>
      <c r="BHZ93" s="188"/>
      <c r="BIA93" s="188"/>
      <c r="BIB93" s="188"/>
      <c r="BIC93" s="188"/>
      <c r="BID93" s="188"/>
      <c r="BIE93" s="188"/>
      <c r="BIF93" s="188"/>
      <c r="BIG93" s="188"/>
      <c r="BIH93" s="188"/>
      <c r="BII93" s="188"/>
      <c r="BIJ93" s="188"/>
      <c r="BIK93" s="188"/>
      <c r="BIL93" s="188"/>
      <c r="BIM93" s="188"/>
      <c r="BIN93" s="188"/>
      <c r="BIO93" s="188"/>
      <c r="BIP93" s="188"/>
    </row>
    <row r="94" spans="1:1602" ht="20.100000000000001" customHeight="1" x14ac:dyDescent="0.25">
      <c r="A94" s="78" t="s">
        <v>50</v>
      </c>
      <c r="B94" s="51"/>
      <c r="C94" s="236"/>
      <c r="D94" s="120" t="str">
        <f t="shared" si="1"/>
        <v/>
      </c>
      <c r="E94" s="22">
        <v>0</v>
      </c>
      <c r="F94" s="195"/>
      <c r="G94" s="196"/>
      <c r="H94" s="196"/>
      <c r="I94" s="196"/>
      <c r="J94" s="196"/>
      <c r="K94" s="197"/>
      <c r="L94" s="196"/>
      <c r="M94" s="196"/>
      <c r="N94" s="196"/>
      <c r="O94" s="196"/>
      <c r="P94" s="196"/>
      <c r="Q94" s="198"/>
      <c r="R94" s="196"/>
      <c r="S94" s="196"/>
      <c r="T94" s="196"/>
      <c r="U94" s="196"/>
      <c r="V94" s="196"/>
      <c r="W94" s="199"/>
      <c r="X94" s="196"/>
      <c r="Y94" s="196"/>
      <c r="Z94" s="196"/>
      <c r="AA94" s="196"/>
      <c r="AB94" s="196"/>
      <c r="AC94" s="198"/>
      <c r="AD94" s="196"/>
      <c r="AE94" s="196"/>
      <c r="AF94" s="196"/>
      <c r="AG94" s="196"/>
      <c r="AH94" s="196"/>
      <c r="AI94" s="199"/>
      <c r="AJ94" s="196"/>
      <c r="AK94" s="196"/>
      <c r="AL94" s="196"/>
      <c r="AM94" s="196"/>
      <c r="AN94" s="196"/>
      <c r="AO94" s="198"/>
      <c r="AP94" s="196"/>
      <c r="AQ94" s="196"/>
      <c r="AR94" s="196"/>
      <c r="AS94" s="196"/>
      <c r="AT94" s="196"/>
      <c r="AU94" s="199"/>
      <c r="AV94" s="196"/>
      <c r="AW94" s="196"/>
      <c r="AX94" s="196"/>
      <c r="AY94" s="196"/>
      <c r="AZ94" s="196"/>
      <c r="BA94" s="198"/>
      <c r="BB94" s="196"/>
      <c r="BC94" s="196"/>
      <c r="BD94" s="196"/>
      <c r="BE94" s="196"/>
      <c r="BF94" s="196"/>
      <c r="BG94" s="199"/>
      <c r="BH94" s="196"/>
      <c r="BI94" s="196"/>
      <c r="BJ94" s="196"/>
      <c r="BK94" s="196"/>
      <c r="BL94" s="196"/>
      <c r="BM94" s="200"/>
      <c r="BN94" s="195"/>
      <c r="BO94" s="196"/>
      <c r="BP94" s="196"/>
      <c r="BQ94" s="196"/>
      <c r="BR94" s="196"/>
      <c r="BS94" s="197"/>
      <c r="BT94" s="196"/>
      <c r="BU94" s="196"/>
      <c r="BV94" s="196"/>
      <c r="BW94" s="196"/>
      <c r="BX94" s="196"/>
      <c r="BY94" s="198"/>
      <c r="BZ94" s="196"/>
      <c r="CA94" s="196"/>
      <c r="CB94" s="196"/>
      <c r="CC94" s="196"/>
      <c r="CD94" s="196"/>
      <c r="CE94" s="199"/>
      <c r="CF94" s="196"/>
      <c r="CG94" s="196"/>
      <c r="CH94" s="196"/>
      <c r="CI94" s="196"/>
      <c r="CJ94" s="196"/>
      <c r="CK94" s="198"/>
      <c r="CL94" s="196"/>
      <c r="CM94" s="196"/>
      <c r="CN94" s="196"/>
      <c r="CO94" s="196"/>
      <c r="CP94" s="196"/>
      <c r="CQ94" s="199"/>
      <c r="CR94" s="196"/>
      <c r="CS94" s="196"/>
      <c r="CT94" s="196"/>
      <c r="CU94" s="196"/>
      <c r="CV94" s="196"/>
      <c r="CW94" s="198"/>
      <c r="CX94" s="196"/>
      <c r="CY94" s="196"/>
      <c r="CZ94" s="196"/>
      <c r="DA94" s="196"/>
      <c r="DB94" s="196"/>
      <c r="DC94" s="199"/>
      <c r="DD94" s="196"/>
      <c r="DE94" s="196"/>
      <c r="DF94" s="196"/>
      <c r="DG94" s="196"/>
      <c r="DH94" s="196"/>
      <c r="DI94" s="198"/>
      <c r="DJ94" s="196"/>
      <c r="DK94" s="196"/>
      <c r="DL94" s="196"/>
      <c r="DM94" s="196"/>
      <c r="DN94" s="196"/>
      <c r="DO94" s="199"/>
      <c r="DP94" s="196"/>
      <c r="DQ94" s="196"/>
      <c r="DR94" s="196"/>
      <c r="DS94" s="196"/>
      <c r="DT94" s="196"/>
      <c r="DU94" s="200"/>
      <c r="DV94" s="195"/>
      <c r="DW94" s="196"/>
      <c r="DX94" s="196"/>
      <c r="DY94" s="196"/>
      <c r="DZ94" s="196"/>
      <c r="EA94" s="197"/>
      <c r="EB94" s="196"/>
      <c r="EC94" s="196"/>
      <c r="ED94" s="196"/>
      <c r="EE94" s="196"/>
      <c r="EF94" s="196"/>
      <c r="EG94" s="198"/>
      <c r="EH94" s="196"/>
      <c r="EI94" s="196"/>
      <c r="EJ94" s="196"/>
      <c r="EK94" s="196"/>
      <c r="EL94" s="196"/>
      <c r="EM94" s="199"/>
      <c r="EN94" s="196"/>
      <c r="EO94" s="196"/>
      <c r="EP94" s="196"/>
      <c r="EQ94" s="196"/>
      <c r="ER94" s="196"/>
      <c r="ES94" s="198"/>
      <c r="ET94" s="196"/>
      <c r="EU94" s="196"/>
      <c r="EV94" s="196"/>
      <c r="EW94" s="196"/>
      <c r="EX94" s="196"/>
      <c r="EY94" s="199"/>
      <c r="EZ94" s="196"/>
      <c r="FA94" s="196"/>
      <c r="FB94" s="196"/>
      <c r="FC94" s="196"/>
      <c r="FD94" s="196"/>
      <c r="FE94" s="198"/>
      <c r="FF94" s="196"/>
      <c r="FG94" s="196"/>
      <c r="FH94" s="196"/>
      <c r="FI94" s="196"/>
      <c r="FJ94" s="196"/>
      <c r="FK94" s="199"/>
      <c r="FL94" s="196"/>
      <c r="FM94" s="196"/>
      <c r="FN94" s="196"/>
      <c r="FO94" s="196"/>
      <c r="FP94" s="196"/>
      <c r="FQ94" s="198"/>
      <c r="FR94" s="196"/>
      <c r="FS94" s="196"/>
      <c r="FT94" s="196"/>
      <c r="FU94" s="196"/>
      <c r="FV94" s="196"/>
      <c r="FW94" s="199"/>
      <c r="FX94" s="196"/>
      <c r="FY94" s="196"/>
      <c r="FZ94" s="196"/>
      <c r="GA94" s="196"/>
      <c r="GB94" s="196"/>
      <c r="GC94" s="200"/>
      <c r="GD94" s="195"/>
      <c r="GE94" s="196"/>
      <c r="GF94" s="196"/>
      <c r="GG94" s="196"/>
      <c r="GH94" s="196"/>
      <c r="GI94" s="197"/>
      <c r="GJ94" s="196"/>
      <c r="GK94" s="196"/>
      <c r="GL94" s="196"/>
      <c r="GM94" s="196"/>
      <c r="GN94" s="196"/>
      <c r="GO94" s="198"/>
      <c r="GP94" s="196"/>
      <c r="GQ94" s="196"/>
      <c r="GR94" s="196"/>
      <c r="GS94" s="196"/>
      <c r="GT94" s="196"/>
      <c r="GU94" s="199"/>
      <c r="GV94" s="196"/>
      <c r="GW94" s="196"/>
      <c r="GX94" s="196"/>
      <c r="GY94" s="196"/>
      <c r="GZ94" s="196"/>
      <c r="HA94" s="198"/>
      <c r="HB94" s="196"/>
      <c r="HC94" s="196"/>
      <c r="HD94" s="196"/>
      <c r="HE94" s="196"/>
      <c r="HF94" s="196"/>
      <c r="HG94" s="199"/>
      <c r="HH94" s="196"/>
      <c r="HI94" s="196"/>
      <c r="HJ94" s="196"/>
      <c r="HK94" s="196"/>
      <c r="HL94" s="196"/>
      <c r="HM94" s="198"/>
      <c r="HN94" s="196"/>
      <c r="HO94" s="196"/>
      <c r="HP94" s="196"/>
      <c r="HQ94" s="196"/>
      <c r="HR94" s="196"/>
      <c r="HS94" s="199"/>
      <c r="HT94" s="196"/>
      <c r="HU94" s="196"/>
      <c r="HV94" s="196"/>
      <c r="HW94" s="196"/>
      <c r="HX94" s="196"/>
      <c r="HY94" s="198"/>
      <c r="HZ94" s="196"/>
      <c r="IA94" s="196"/>
      <c r="IB94" s="196"/>
      <c r="IC94" s="196"/>
      <c r="ID94" s="196"/>
      <c r="IE94" s="199"/>
      <c r="IF94" s="196"/>
      <c r="IG94" s="196"/>
      <c r="IH94" s="196"/>
      <c r="II94" s="196"/>
      <c r="IJ94" s="196"/>
      <c r="IK94" s="200"/>
      <c r="IL94" s="195"/>
      <c r="IM94" s="196"/>
      <c r="IN94" s="196"/>
      <c r="IO94" s="196"/>
      <c r="IP94" s="196"/>
      <c r="IQ94" s="197"/>
      <c r="IR94" s="196"/>
      <c r="IS94" s="196"/>
      <c r="IT94" s="196"/>
      <c r="IU94" s="196"/>
      <c r="IV94" s="196"/>
      <c r="IW94" s="198"/>
      <c r="IX94" s="196"/>
      <c r="IY94" s="196"/>
      <c r="IZ94" s="196"/>
      <c r="JA94" s="196"/>
      <c r="JB94" s="196"/>
      <c r="JC94" s="199"/>
      <c r="JD94" s="196"/>
      <c r="JE94" s="196"/>
      <c r="JF94" s="196"/>
      <c r="JG94" s="196"/>
      <c r="JH94" s="196"/>
      <c r="JI94" s="198"/>
      <c r="JJ94" s="196"/>
      <c r="JK94" s="196"/>
      <c r="JL94" s="196"/>
      <c r="JM94" s="196"/>
      <c r="JN94" s="196"/>
      <c r="JO94" s="199"/>
      <c r="JP94" s="196"/>
      <c r="JQ94" s="196"/>
      <c r="JR94" s="196"/>
      <c r="JS94" s="196"/>
      <c r="JT94" s="196"/>
      <c r="JU94" s="198"/>
      <c r="JV94" s="196"/>
      <c r="JW94" s="196"/>
      <c r="JX94" s="196"/>
      <c r="JY94" s="196"/>
      <c r="JZ94" s="196"/>
      <c r="KA94" s="199"/>
      <c r="KB94" s="196"/>
      <c r="KC94" s="196"/>
      <c r="KD94" s="196"/>
      <c r="KE94" s="196"/>
      <c r="KF94" s="196"/>
      <c r="KG94" s="198"/>
      <c r="KH94" s="196"/>
      <c r="KI94" s="196"/>
      <c r="KJ94" s="196"/>
      <c r="KK94" s="196"/>
      <c r="KL94" s="196"/>
      <c r="KM94" s="199"/>
      <c r="KN94" s="196"/>
      <c r="KO94" s="196"/>
      <c r="KP94" s="196"/>
      <c r="KQ94" s="196"/>
      <c r="KR94" s="196"/>
      <c r="KS94" s="200"/>
      <c r="KT94" s="195"/>
      <c r="KU94" s="196"/>
      <c r="KV94" s="196"/>
      <c r="KW94" s="196"/>
      <c r="KX94" s="196"/>
      <c r="KY94" s="197"/>
      <c r="KZ94" s="196"/>
      <c r="LA94" s="196"/>
      <c r="LB94" s="196"/>
      <c r="LC94" s="196"/>
      <c r="LD94" s="196"/>
      <c r="LE94" s="198"/>
      <c r="LF94" s="196"/>
      <c r="LG94" s="196"/>
      <c r="LH94" s="196"/>
      <c r="LI94" s="196"/>
      <c r="LJ94" s="196"/>
      <c r="LK94" s="199"/>
      <c r="LL94" s="196"/>
      <c r="LM94" s="196"/>
      <c r="LN94" s="196"/>
      <c r="LO94" s="196"/>
      <c r="LP94" s="196"/>
      <c r="LQ94" s="198"/>
      <c r="LR94" s="196"/>
      <c r="LS94" s="196"/>
      <c r="LT94" s="196"/>
      <c r="LU94" s="196"/>
      <c r="LV94" s="196"/>
      <c r="LW94" s="199"/>
      <c r="LX94" s="196"/>
      <c r="LY94" s="196"/>
      <c r="LZ94" s="196"/>
      <c r="MA94" s="196"/>
      <c r="MB94" s="196"/>
      <c r="MC94" s="198"/>
      <c r="MD94" s="196"/>
      <c r="ME94" s="196"/>
      <c r="MF94" s="196"/>
      <c r="MG94" s="196"/>
      <c r="MH94" s="196"/>
      <c r="MI94" s="199"/>
      <c r="MJ94" s="196"/>
      <c r="MK94" s="196"/>
      <c r="ML94" s="196"/>
      <c r="MM94" s="196"/>
      <c r="MN94" s="196"/>
      <c r="MO94" s="198"/>
      <c r="MP94" s="196"/>
      <c r="MQ94" s="196"/>
      <c r="MR94" s="196"/>
      <c r="MS94" s="196"/>
      <c r="MT94" s="196"/>
      <c r="MU94" s="199"/>
      <c r="MV94" s="196"/>
      <c r="MW94" s="196"/>
      <c r="MX94" s="196"/>
      <c r="MY94" s="196"/>
      <c r="MZ94" s="196"/>
      <c r="NA94" s="200"/>
      <c r="NB94" s="195"/>
      <c r="NC94" s="196"/>
      <c r="ND94" s="196"/>
      <c r="NE94" s="196"/>
      <c r="NF94" s="196"/>
      <c r="NG94" s="197"/>
      <c r="NH94" s="196"/>
      <c r="NI94" s="196"/>
      <c r="NJ94" s="196"/>
      <c r="NK94" s="196"/>
      <c r="NL94" s="196"/>
      <c r="NM94" s="198"/>
      <c r="NN94" s="196"/>
      <c r="NO94" s="196"/>
      <c r="NP94" s="196"/>
      <c r="NQ94" s="196"/>
      <c r="NR94" s="196"/>
      <c r="NS94" s="199"/>
      <c r="NT94" s="196"/>
      <c r="NU94" s="196"/>
      <c r="NV94" s="196"/>
      <c r="NW94" s="196"/>
      <c r="NX94" s="196"/>
      <c r="NY94" s="198"/>
      <c r="NZ94" s="196"/>
      <c r="OA94" s="196"/>
      <c r="OB94" s="196"/>
      <c r="OC94" s="196"/>
      <c r="OD94" s="196"/>
      <c r="OE94" s="199"/>
      <c r="OF94" s="196"/>
      <c r="OG94" s="196"/>
      <c r="OH94" s="196"/>
      <c r="OI94" s="196"/>
      <c r="OJ94" s="196"/>
      <c r="OK94" s="198"/>
      <c r="OL94" s="196"/>
      <c r="OM94" s="196"/>
      <c r="ON94" s="196"/>
      <c r="OO94" s="196"/>
      <c r="OP94" s="196"/>
      <c r="OQ94" s="199"/>
      <c r="OR94" s="196"/>
      <c r="OS94" s="196"/>
      <c r="OT94" s="196"/>
      <c r="OU94" s="196"/>
      <c r="OV94" s="196"/>
      <c r="OW94" s="198"/>
      <c r="OX94" s="196"/>
      <c r="OY94" s="196"/>
      <c r="OZ94" s="196"/>
      <c r="PA94" s="196"/>
      <c r="PB94" s="196"/>
      <c r="PC94" s="199"/>
      <c r="PD94" s="196"/>
      <c r="PE94" s="196"/>
      <c r="PF94" s="196"/>
      <c r="PG94" s="196"/>
      <c r="PH94" s="196"/>
      <c r="PI94" s="200"/>
      <c r="PJ94" s="195"/>
      <c r="PK94" s="196"/>
      <c r="PL94" s="196"/>
      <c r="PM94" s="196"/>
      <c r="PN94" s="196"/>
      <c r="PO94" s="197"/>
      <c r="PP94" s="196"/>
      <c r="PQ94" s="196"/>
      <c r="PR94" s="196"/>
      <c r="PS94" s="196"/>
      <c r="PT94" s="196"/>
      <c r="PU94" s="198"/>
      <c r="PV94" s="196"/>
      <c r="PW94" s="196"/>
      <c r="PX94" s="196"/>
      <c r="PY94" s="196"/>
      <c r="PZ94" s="196"/>
      <c r="QA94" s="199"/>
      <c r="QB94" s="196"/>
      <c r="QC94" s="196"/>
      <c r="QD94" s="196"/>
      <c r="QE94" s="196"/>
      <c r="QF94" s="196"/>
      <c r="QG94" s="198"/>
      <c r="QH94" s="196"/>
      <c r="QI94" s="196"/>
      <c r="QJ94" s="196"/>
      <c r="QK94" s="196"/>
      <c r="QL94" s="196"/>
      <c r="QM94" s="199"/>
      <c r="QN94" s="196"/>
      <c r="QO94" s="196"/>
      <c r="QP94" s="196"/>
      <c r="QQ94" s="196"/>
      <c r="QR94" s="196"/>
      <c r="QS94" s="198"/>
      <c r="QT94" s="196"/>
      <c r="QU94" s="196"/>
      <c r="QV94" s="196"/>
      <c r="QW94" s="196"/>
      <c r="QX94" s="196"/>
      <c r="QY94" s="199"/>
      <c r="QZ94" s="196"/>
      <c r="RA94" s="196"/>
      <c r="RB94" s="196"/>
      <c r="RC94" s="196"/>
      <c r="RD94" s="196"/>
      <c r="RE94" s="198"/>
      <c r="RF94" s="196"/>
      <c r="RG94" s="196"/>
      <c r="RH94" s="196"/>
      <c r="RI94" s="196"/>
      <c r="RJ94" s="196"/>
      <c r="RK94" s="199"/>
      <c r="RL94" s="196"/>
      <c r="RM94" s="196"/>
      <c r="RN94" s="196"/>
      <c r="RO94" s="196"/>
      <c r="RP94" s="196"/>
      <c r="RQ94" s="200"/>
      <c r="RR94" s="195"/>
      <c r="RS94" s="196"/>
      <c r="RT94" s="196"/>
      <c r="RU94" s="196"/>
      <c r="RV94" s="196"/>
      <c r="RW94" s="197"/>
      <c r="RX94" s="196"/>
      <c r="RY94" s="196"/>
      <c r="RZ94" s="196"/>
      <c r="SA94" s="196"/>
      <c r="SB94" s="196"/>
      <c r="SC94" s="198"/>
      <c r="SD94" s="196"/>
      <c r="SE94" s="196"/>
      <c r="SF94" s="196"/>
      <c r="SG94" s="196"/>
      <c r="SH94" s="196"/>
      <c r="SI94" s="199"/>
      <c r="SJ94" s="196"/>
      <c r="SK94" s="196"/>
      <c r="SL94" s="196"/>
      <c r="SM94" s="196"/>
      <c r="SN94" s="196"/>
      <c r="SO94" s="198"/>
      <c r="SP94" s="196"/>
      <c r="SQ94" s="196"/>
      <c r="SR94" s="196"/>
      <c r="SS94" s="196"/>
      <c r="ST94" s="196"/>
      <c r="SU94" s="199"/>
      <c r="SV94" s="196"/>
      <c r="SW94" s="196"/>
      <c r="SX94" s="196"/>
      <c r="SY94" s="196"/>
      <c r="SZ94" s="196"/>
      <c r="TA94" s="198"/>
      <c r="TB94" s="196"/>
      <c r="TC94" s="196"/>
      <c r="TD94" s="196"/>
      <c r="TE94" s="196"/>
      <c r="TF94" s="196"/>
      <c r="TG94" s="199"/>
      <c r="TH94" s="196"/>
      <c r="TI94" s="196"/>
      <c r="TJ94" s="196"/>
      <c r="TK94" s="196"/>
      <c r="TL94" s="196"/>
      <c r="TM94" s="198"/>
      <c r="TN94" s="196"/>
      <c r="TO94" s="196"/>
      <c r="TP94" s="196"/>
      <c r="TQ94" s="196"/>
      <c r="TR94" s="196"/>
      <c r="TS94" s="199"/>
      <c r="TT94" s="196"/>
      <c r="TU94" s="196"/>
      <c r="TV94" s="196"/>
      <c r="TW94" s="196"/>
      <c r="TX94" s="196"/>
      <c r="TY94" s="200"/>
      <c r="TZ94" s="195"/>
      <c r="UA94" s="196"/>
      <c r="UB94" s="196"/>
      <c r="UC94" s="196"/>
      <c r="UD94" s="196"/>
      <c r="UE94" s="197"/>
      <c r="UF94" s="196"/>
      <c r="UG94" s="196"/>
      <c r="UH94" s="196"/>
      <c r="UI94" s="196"/>
      <c r="UJ94" s="196"/>
      <c r="UK94" s="198"/>
      <c r="UL94" s="196"/>
      <c r="UM94" s="196"/>
      <c r="UN94" s="196"/>
      <c r="UO94" s="196"/>
      <c r="UP94" s="196"/>
      <c r="UQ94" s="199"/>
      <c r="UR94" s="196"/>
      <c r="US94" s="196"/>
      <c r="UT94" s="196"/>
      <c r="UU94" s="196"/>
      <c r="UV94" s="196"/>
      <c r="UW94" s="198"/>
      <c r="UX94" s="196"/>
      <c r="UY94" s="196"/>
      <c r="UZ94" s="196"/>
      <c r="VA94" s="196"/>
      <c r="VB94" s="196"/>
      <c r="VC94" s="199"/>
      <c r="VD94" s="196"/>
      <c r="VE94" s="196"/>
      <c r="VF94" s="196"/>
      <c r="VG94" s="196"/>
      <c r="VH94" s="196"/>
      <c r="VI94" s="198"/>
      <c r="VJ94" s="196"/>
      <c r="VK94" s="196"/>
      <c r="VL94" s="196"/>
      <c r="VM94" s="196"/>
      <c r="VN94" s="196"/>
      <c r="VO94" s="199"/>
      <c r="VP94" s="196"/>
      <c r="VQ94" s="196"/>
      <c r="VR94" s="196"/>
      <c r="VS94" s="196"/>
      <c r="VT94" s="196"/>
      <c r="VU94" s="198"/>
      <c r="VV94" s="196"/>
      <c r="VW94" s="196"/>
      <c r="VX94" s="196"/>
      <c r="VY94" s="196"/>
      <c r="VZ94" s="196"/>
      <c r="WA94" s="199"/>
      <c r="WB94" s="196"/>
      <c r="WC94" s="196"/>
      <c r="WD94" s="196"/>
      <c r="WE94" s="196"/>
      <c r="WF94" s="196"/>
      <c r="WG94" s="200"/>
      <c r="WH94" s="195"/>
      <c r="WI94" s="196"/>
      <c r="WJ94" s="196"/>
      <c r="WK94" s="196"/>
      <c r="WL94" s="196"/>
      <c r="WM94" s="197"/>
      <c r="WN94" s="196"/>
      <c r="WO94" s="196"/>
      <c r="WP94" s="196"/>
      <c r="WQ94" s="196"/>
      <c r="WR94" s="196"/>
      <c r="WS94" s="198"/>
      <c r="WT94" s="196"/>
      <c r="WU94" s="196"/>
      <c r="WV94" s="196"/>
      <c r="WW94" s="196"/>
      <c r="WX94" s="196"/>
      <c r="WY94" s="199"/>
      <c r="WZ94" s="196"/>
      <c r="XA94" s="196"/>
      <c r="XB94" s="196"/>
      <c r="XC94" s="196"/>
      <c r="XD94" s="196"/>
      <c r="XE94" s="198"/>
      <c r="XF94" s="196"/>
      <c r="XG94" s="196"/>
      <c r="XH94" s="196"/>
      <c r="XI94" s="196"/>
      <c r="XJ94" s="196"/>
      <c r="XK94" s="199"/>
      <c r="XL94" s="196"/>
      <c r="XM94" s="196"/>
      <c r="XN94" s="196"/>
      <c r="XO94" s="196"/>
      <c r="XP94" s="196"/>
      <c r="XQ94" s="198"/>
      <c r="XR94" s="196"/>
      <c r="XS94" s="196"/>
      <c r="XT94" s="196"/>
      <c r="XU94" s="196"/>
      <c r="XV94" s="196"/>
      <c r="XW94" s="199"/>
      <c r="XX94" s="196"/>
      <c r="XY94" s="196"/>
      <c r="XZ94" s="196"/>
      <c r="YA94" s="196"/>
      <c r="YB94" s="196"/>
      <c r="YC94" s="198"/>
      <c r="YD94" s="196"/>
      <c r="YE94" s="196"/>
      <c r="YF94" s="196"/>
      <c r="YG94" s="196"/>
      <c r="YH94" s="196"/>
      <c r="YI94" s="199"/>
      <c r="YJ94" s="196"/>
      <c r="YK94" s="196"/>
      <c r="YL94" s="196"/>
      <c r="YM94" s="196"/>
      <c r="YN94" s="196"/>
      <c r="YO94" s="200"/>
      <c r="YP94" s="195"/>
      <c r="YQ94" s="196"/>
      <c r="YR94" s="196"/>
      <c r="YS94" s="196"/>
      <c r="YT94" s="196"/>
      <c r="YU94" s="197"/>
      <c r="YV94" s="196"/>
      <c r="YW94" s="196"/>
      <c r="YX94" s="196"/>
      <c r="YY94" s="196"/>
      <c r="YZ94" s="196"/>
      <c r="ZA94" s="198"/>
      <c r="ZB94" s="196"/>
      <c r="ZC94" s="196"/>
      <c r="ZD94" s="196"/>
      <c r="ZE94" s="196"/>
      <c r="ZF94" s="196"/>
      <c r="ZG94" s="199"/>
      <c r="ZH94" s="196"/>
      <c r="ZI94" s="196"/>
      <c r="ZJ94" s="196"/>
      <c r="ZK94" s="196"/>
      <c r="ZL94" s="196"/>
      <c r="ZM94" s="198"/>
      <c r="ZN94" s="196"/>
      <c r="ZO94" s="196"/>
      <c r="ZP94" s="196"/>
      <c r="ZQ94" s="196"/>
      <c r="ZR94" s="196"/>
      <c r="ZS94" s="199"/>
      <c r="ZT94" s="196"/>
      <c r="ZU94" s="196"/>
      <c r="ZV94" s="196"/>
      <c r="ZW94" s="196"/>
      <c r="ZX94" s="196"/>
      <c r="ZY94" s="198"/>
      <c r="ZZ94" s="196"/>
      <c r="AAA94" s="196"/>
      <c r="AAB94" s="196"/>
      <c r="AAC94" s="196"/>
      <c r="AAD94" s="196"/>
      <c r="AAE94" s="199"/>
      <c r="AAF94" s="196"/>
      <c r="AAG94" s="196"/>
      <c r="AAH94" s="196"/>
      <c r="AAI94" s="196"/>
      <c r="AAJ94" s="196"/>
      <c r="AAK94" s="198"/>
      <c r="AAL94" s="196"/>
      <c r="AAM94" s="196"/>
      <c r="AAN94" s="196"/>
      <c r="AAO94" s="196"/>
      <c r="AAP94" s="196"/>
      <c r="AAQ94" s="199"/>
      <c r="AAR94" s="196"/>
      <c r="AAS94" s="196"/>
      <c r="AAT94" s="196"/>
      <c r="AAU94" s="196"/>
      <c r="AAV94" s="196"/>
      <c r="AAW94" s="200"/>
      <c r="AAX94" s="195"/>
      <c r="AAY94" s="196"/>
      <c r="AAZ94" s="196"/>
      <c r="ABA94" s="196"/>
      <c r="ABB94" s="196"/>
      <c r="ABC94" s="197"/>
      <c r="ABD94" s="196"/>
      <c r="ABE94" s="196"/>
      <c r="ABF94" s="196"/>
      <c r="ABG94" s="196"/>
      <c r="ABH94" s="196"/>
      <c r="ABI94" s="198"/>
      <c r="ABJ94" s="196"/>
      <c r="ABK94" s="196"/>
      <c r="ABL94" s="196"/>
      <c r="ABM94" s="196"/>
      <c r="ABN94" s="196"/>
      <c r="ABO94" s="199"/>
      <c r="ABP94" s="196"/>
      <c r="ABQ94" s="196"/>
      <c r="ABR94" s="196"/>
      <c r="ABS94" s="196"/>
      <c r="ABT94" s="196"/>
      <c r="ABU94" s="198"/>
      <c r="ABV94" s="196"/>
      <c r="ABW94" s="196"/>
      <c r="ABX94" s="196"/>
      <c r="ABY94" s="196"/>
      <c r="ABZ94" s="196"/>
      <c r="ACA94" s="199"/>
      <c r="ACB94" s="196"/>
      <c r="ACC94" s="196"/>
      <c r="ACD94" s="196"/>
      <c r="ACE94" s="196"/>
      <c r="ACF94" s="196"/>
      <c r="ACG94" s="198"/>
      <c r="ACH94" s="196"/>
      <c r="ACI94" s="196"/>
      <c r="ACJ94" s="196"/>
      <c r="ACK94" s="196"/>
      <c r="ACL94" s="196"/>
      <c r="ACM94" s="199"/>
      <c r="ACN94" s="196"/>
      <c r="ACO94" s="196"/>
      <c r="ACP94" s="196"/>
      <c r="ACQ94" s="196"/>
      <c r="ACR94" s="196"/>
      <c r="ACS94" s="198"/>
      <c r="ACT94" s="196"/>
      <c r="ACU94" s="196"/>
      <c r="ACV94" s="196"/>
      <c r="ACW94" s="196"/>
      <c r="ACX94" s="196"/>
      <c r="ACY94" s="199"/>
      <c r="ACZ94" s="196"/>
      <c r="ADA94" s="196"/>
      <c r="ADB94" s="196"/>
      <c r="ADC94" s="196"/>
      <c r="ADD94" s="196"/>
      <c r="ADE94" s="200"/>
      <c r="ADF94" s="195"/>
      <c r="ADG94" s="196"/>
      <c r="ADH94" s="196"/>
      <c r="ADI94" s="196"/>
      <c r="ADJ94" s="196"/>
      <c r="ADK94" s="197"/>
      <c r="ADL94" s="196"/>
      <c r="ADM94" s="196"/>
      <c r="ADN94" s="196"/>
      <c r="ADO94" s="196"/>
      <c r="ADP94" s="196"/>
      <c r="ADQ94" s="198"/>
      <c r="ADR94" s="196"/>
      <c r="ADS94" s="196"/>
      <c r="ADT94" s="196"/>
      <c r="ADU94" s="196"/>
      <c r="ADV94" s="196"/>
      <c r="ADW94" s="199"/>
      <c r="ADX94" s="196"/>
      <c r="ADY94" s="196"/>
      <c r="ADZ94" s="196"/>
      <c r="AEA94" s="196"/>
      <c r="AEB94" s="196"/>
      <c r="AEC94" s="198"/>
      <c r="AED94" s="196"/>
      <c r="AEE94" s="196"/>
      <c r="AEF94" s="196"/>
      <c r="AEG94" s="196"/>
      <c r="AEH94" s="196"/>
      <c r="AEI94" s="199"/>
      <c r="AEJ94" s="196"/>
      <c r="AEK94" s="196"/>
      <c r="AEL94" s="196"/>
      <c r="AEM94" s="196"/>
      <c r="AEN94" s="196"/>
      <c r="AEO94" s="198"/>
      <c r="AEP94" s="196"/>
      <c r="AEQ94" s="196"/>
      <c r="AER94" s="196"/>
      <c r="AES94" s="196"/>
      <c r="AET94" s="196"/>
      <c r="AEU94" s="199"/>
      <c r="AEV94" s="196"/>
      <c r="AEW94" s="196"/>
      <c r="AEX94" s="196"/>
      <c r="AEY94" s="196"/>
      <c r="AEZ94" s="196"/>
      <c r="AFA94" s="198"/>
      <c r="AFB94" s="196"/>
      <c r="AFC94" s="196"/>
      <c r="AFD94" s="196"/>
      <c r="AFE94" s="196"/>
      <c r="AFF94" s="196"/>
      <c r="AFG94" s="199"/>
      <c r="AFH94" s="196"/>
      <c r="AFI94" s="196"/>
      <c r="AFJ94" s="196"/>
      <c r="AFK94" s="196"/>
      <c r="AFL94" s="196"/>
      <c r="AFM94" s="200"/>
      <c r="AFN94" s="195"/>
      <c r="AFO94" s="196"/>
      <c r="AFP94" s="196"/>
      <c r="AFQ94" s="196"/>
      <c r="AFR94" s="196"/>
      <c r="AFS94" s="197"/>
      <c r="AFT94" s="196"/>
      <c r="AFU94" s="196"/>
      <c r="AFV94" s="196"/>
      <c r="AFW94" s="196"/>
      <c r="AFX94" s="196"/>
      <c r="AFY94" s="198"/>
      <c r="AFZ94" s="196"/>
      <c r="AGA94" s="196"/>
      <c r="AGB94" s="196"/>
      <c r="AGC94" s="196"/>
      <c r="AGD94" s="196"/>
      <c r="AGE94" s="199"/>
      <c r="AGF94" s="196"/>
      <c r="AGG94" s="196"/>
      <c r="AGH94" s="196"/>
      <c r="AGI94" s="196"/>
      <c r="AGJ94" s="196"/>
      <c r="AGK94" s="198"/>
      <c r="AGL94" s="196"/>
      <c r="AGM94" s="196"/>
      <c r="AGN94" s="196"/>
      <c r="AGO94" s="196"/>
      <c r="AGP94" s="196"/>
      <c r="AGQ94" s="199"/>
      <c r="AGR94" s="196"/>
      <c r="AGS94" s="196"/>
      <c r="AGT94" s="196"/>
      <c r="AGU94" s="196"/>
      <c r="AGV94" s="196"/>
      <c r="AGW94" s="198"/>
      <c r="AGX94" s="196"/>
      <c r="AGY94" s="196"/>
      <c r="AGZ94" s="196"/>
      <c r="AHA94" s="196"/>
      <c r="AHB94" s="196"/>
      <c r="AHC94" s="199"/>
      <c r="AHD94" s="196"/>
      <c r="AHE94" s="196"/>
      <c r="AHF94" s="196"/>
      <c r="AHG94" s="196"/>
      <c r="AHH94" s="196"/>
      <c r="AHI94" s="198"/>
      <c r="AHJ94" s="196"/>
      <c r="AHK94" s="196"/>
      <c r="AHL94" s="196"/>
      <c r="AHM94" s="196"/>
      <c r="AHN94" s="196"/>
      <c r="AHO94" s="199"/>
      <c r="AHP94" s="196"/>
      <c r="AHQ94" s="196"/>
      <c r="AHR94" s="196"/>
      <c r="AHS94" s="196"/>
      <c r="AHT94" s="196"/>
      <c r="AHU94" s="200"/>
      <c r="AHV94" s="195"/>
      <c r="AHW94" s="196"/>
      <c r="AHX94" s="196"/>
      <c r="AHY94" s="196"/>
      <c r="AHZ94" s="196"/>
      <c r="AIA94" s="197"/>
      <c r="AIB94" s="196"/>
      <c r="AIC94" s="196"/>
      <c r="AID94" s="196"/>
      <c r="AIE94" s="196"/>
      <c r="AIF94" s="196"/>
      <c r="AIG94" s="198"/>
      <c r="AIH94" s="196"/>
      <c r="AII94" s="196"/>
      <c r="AIJ94" s="196"/>
      <c r="AIK94" s="196"/>
      <c r="AIL94" s="196"/>
      <c r="AIM94" s="199"/>
      <c r="AIN94" s="196"/>
      <c r="AIO94" s="196"/>
      <c r="AIP94" s="196"/>
      <c r="AIQ94" s="196"/>
      <c r="AIR94" s="196"/>
      <c r="AIS94" s="198"/>
      <c r="AIT94" s="196"/>
      <c r="AIU94" s="196"/>
      <c r="AIV94" s="196"/>
      <c r="AIW94" s="196"/>
      <c r="AIX94" s="196"/>
      <c r="AIY94" s="199"/>
      <c r="AIZ94" s="196"/>
      <c r="AJA94" s="196"/>
      <c r="AJB94" s="196"/>
      <c r="AJC94" s="196"/>
      <c r="AJD94" s="196"/>
      <c r="AJE94" s="198"/>
      <c r="AJF94" s="196"/>
      <c r="AJG94" s="196"/>
      <c r="AJH94" s="196"/>
      <c r="AJI94" s="196"/>
      <c r="AJJ94" s="196"/>
      <c r="AJK94" s="199"/>
      <c r="AJL94" s="196"/>
      <c r="AJM94" s="196"/>
      <c r="AJN94" s="196"/>
      <c r="AJO94" s="196"/>
      <c r="AJP94" s="196"/>
      <c r="AJQ94" s="198"/>
      <c r="AJR94" s="196"/>
      <c r="AJS94" s="196"/>
      <c r="AJT94" s="196"/>
      <c r="AJU94" s="196"/>
      <c r="AJV94" s="196"/>
      <c r="AJW94" s="199"/>
      <c r="AJX94" s="196"/>
      <c r="AJY94" s="196"/>
      <c r="AJZ94" s="196"/>
      <c r="AKA94" s="196"/>
      <c r="AKB94" s="196"/>
      <c r="AKC94" s="200"/>
      <c r="AKD94" s="195"/>
      <c r="AKE94" s="196"/>
      <c r="AKF94" s="196"/>
      <c r="AKG94" s="196"/>
      <c r="AKH94" s="196"/>
      <c r="AKI94" s="197"/>
      <c r="AKJ94" s="196"/>
      <c r="AKK94" s="196"/>
      <c r="AKL94" s="196"/>
      <c r="AKM94" s="196"/>
      <c r="AKN94" s="196"/>
      <c r="AKO94" s="198"/>
      <c r="AKP94" s="196"/>
      <c r="AKQ94" s="196"/>
      <c r="AKR94" s="196"/>
      <c r="AKS94" s="196"/>
      <c r="AKT94" s="196"/>
      <c r="AKU94" s="199"/>
      <c r="AKV94" s="196"/>
      <c r="AKW94" s="196"/>
      <c r="AKX94" s="196"/>
      <c r="AKY94" s="196"/>
      <c r="AKZ94" s="196"/>
      <c r="ALA94" s="198"/>
      <c r="ALB94" s="196"/>
      <c r="ALC94" s="196"/>
      <c r="ALD94" s="196"/>
      <c r="ALE94" s="196"/>
      <c r="ALF94" s="196"/>
      <c r="ALG94" s="199"/>
      <c r="ALH94" s="196"/>
      <c r="ALI94" s="196"/>
      <c r="ALJ94" s="196"/>
      <c r="ALK94" s="196"/>
      <c r="ALL94" s="196"/>
      <c r="ALM94" s="198"/>
      <c r="ALN94" s="196"/>
      <c r="ALO94" s="196"/>
      <c r="ALP94" s="196"/>
      <c r="ALQ94" s="196"/>
      <c r="ALR94" s="196"/>
      <c r="ALS94" s="199"/>
      <c r="ALT94" s="196"/>
      <c r="ALU94" s="196"/>
      <c r="ALV94" s="196"/>
      <c r="ALW94" s="196"/>
      <c r="ALX94" s="196"/>
      <c r="ALY94" s="198"/>
      <c r="ALZ94" s="196"/>
      <c r="AMA94" s="196"/>
      <c r="AMB94" s="196"/>
      <c r="AMC94" s="196"/>
      <c r="AMD94" s="196"/>
      <c r="AME94" s="199"/>
      <c r="AMF94" s="196"/>
      <c r="AMG94" s="196"/>
      <c r="AMH94" s="196"/>
      <c r="AMI94" s="196"/>
      <c r="AMJ94" s="196"/>
      <c r="AMK94" s="200"/>
      <c r="AML94" s="195"/>
      <c r="AMM94" s="196"/>
      <c r="AMN94" s="196"/>
      <c r="AMO94" s="196"/>
      <c r="AMP94" s="196"/>
      <c r="AMQ94" s="197"/>
      <c r="AMR94" s="196"/>
      <c r="AMS94" s="196"/>
      <c r="AMT94" s="196"/>
      <c r="AMU94" s="196"/>
      <c r="AMV94" s="196"/>
      <c r="AMW94" s="198"/>
      <c r="AMX94" s="196"/>
      <c r="AMY94" s="196"/>
      <c r="AMZ94" s="196"/>
      <c r="ANA94" s="196"/>
      <c r="ANB94" s="196"/>
      <c r="ANC94" s="199"/>
      <c r="AND94" s="196"/>
      <c r="ANE94" s="196"/>
      <c r="ANF94" s="196"/>
      <c r="ANG94" s="196"/>
      <c r="ANH94" s="196"/>
      <c r="ANI94" s="198"/>
      <c r="ANJ94" s="196"/>
      <c r="ANK94" s="196"/>
      <c r="ANL94" s="196"/>
      <c r="ANM94" s="196"/>
      <c r="ANN94" s="196"/>
      <c r="ANO94" s="199"/>
      <c r="ANP94" s="196"/>
      <c r="ANQ94" s="196"/>
      <c r="ANR94" s="196"/>
      <c r="ANS94" s="196"/>
      <c r="ANT94" s="196"/>
      <c r="ANU94" s="198"/>
      <c r="ANV94" s="196"/>
      <c r="ANW94" s="196"/>
      <c r="ANX94" s="196"/>
      <c r="ANY94" s="196"/>
      <c r="ANZ94" s="196"/>
      <c r="AOA94" s="199"/>
      <c r="AOB94" s="196"/>
      <c r="AOC94" s="196"/>
      <c r="AOD94" s="196"/>
      <c r="AOE94" s="196"/>
      <c r="AOF94" s="196"/>
      <c r="AOG94" s="198"/>
      <c r="AOH94" s="196"/>
      <c r="AOI94" s="196"/>
      <c r="AOJ94" s="196"/>
      <c r="AOK94" s="196"/>
      <c r="AOL94" s="196"/>
      <c r="AOM94" s="199"/>
      <c r="AON94" s="196"/>
      <c r="AOO94" s="196"/>
      <c r="AOP94" s="196"/>
      <c r="AOQ94" s="196"/>
      <c r="AOR94" s="196"/>
      <c r="AOS94" s="200"/>
      <c r="AOT94" s="195"/>
      <c r="AOU94" s="196"/>
      <c r="AOV94" s="196"/>
      <c r="AOW94" s="196"/>
      <c r="AOX94" s="196"/>
      <c r="AOY94" s="197"/>
      <c r="AOZ94" s="196"/>
      <c r="APA94" s="196"/>
      <c r="APB94" s="196"/>
      <c r="APC94" s="196"/>
      <c r="APD94" s="196"/>
      <c r="APE94" s="198"/>
      <c r="APF94" s="196"/>
      <c r="APG94" s="196"/>
      <c r="APH94" s="196"/>
      <c r="API94" s="196"/>
      <c r="APJ94" s="196"/>
      <c r="APK94" s="199"/>
      <c r="APL94" s="196"/>
      <c r="APM94" s="196"/>
      <c r="APN94" s="196"/>
      <c r="APO94" s="196"/>
      <c r="APP94" s="196"/>
      <c r="APQ94" s="198"/>
      <c r="APR94" s="196"/>
      <c r="APS94" s="196"/>
      <c r="APT94" s="196"/>
      <c r="APU94" s="196"/>
      <c r="APV94" s="196"/>
      <c r="APW94" s="199"/>
      <c r="APX94" s="196"/>
      <c r="APY94" s="196"/>
      <c r="APZ94" s="196"/>
      <c r="AQA94" s="196"/>
      <c r="AQB94" s="196"/>
      <c r="AQC94" s="198"/>
      <c r="AQD94" s="196"/>
      <c r="AQE94" s="196"/>
      <c r="AQF94" s="196"/>
      <c r="AQG94" s="196"/>
      <c r="AQH94" s="196"/>
      <c r="AQI94" s="199"/>
      <c r="AQJ94" s="196"/>
      <c r="AQK94" s="196"/>
      <c r="AQL94" s="196"/>
      <c r="AQM94" s="196"/>
      <c r="AQN94" s="196"/>
      <c r="AQO94" s="198"/>
      <c r="AQP94" s="196"/>
      <c r="AQQ94" s="196"/>
      <c r="AQR94" s="196"/>
      <c r="AQS94" s="196"/>
      <c r="AQT94" s="196"/>
      <c r="AQU94" s="199"/>
      <c r="AQV94" s="196"/>
      <c r="AQW94" s="196"/>
      <c r="AQX94" s="196"/>
      <c r="AQY94" s="196"/>
      <c r="AQZ94" s="196"/>
      <c r="ARA94" s="200"/>
      <c r="ARB94" s="195"/>
      <c r="ARC94" s="196"/>
      <c r="ARD94" s="196"/>
      <c r="ARE94" s="196"/>
      <c r="ARF94" s="196"/>
      <c r="ARG94" s="197"/>
      <c r="ARH94" s="196"/>
      <c r="ARI94" s="196"/>
      <c r="ARJ94" s="196"/>
      <c r="ARK94" s="196"/>
      <c r="ARL94" s="196"/>
      <c r="ARM94" s="198"/>
      <c r="ARN94" s="196"/>
      <c r="ARO94" s="196"/>
      <c r="ARP94" s="196"/>
      <c r="ARQ94" s="196"/>
      <c r="ARR94" s="196"/>
      <c r="ARS94" s="199"/>
      <c r="ART94" s="196"/>
      <c r="ARU94" s="196"/>
      <c r="ARV94" s="196"/>
      <c r="ARW94" s="196"/>
      <c r="ARX94" s="196"/>
      <c r="ARY94" s="198"/>
      <c r="ARZ94" s="196"/>
      <c r="ASA94" s="196"/>
      <c r="ASB94" s="196"/>
      <c r="ASC94" s="196"/>
      <c r="ASD94" s="196"/>
      <c r="ASE94" s="199"/>
      <c r="ASF94" s="196"/>
      <c r="ASG94" s="196"/>
      <c r="ASH94" s="196"/>
      <c r="ASI94" s="196"/>
      <c r="ASJ94" s="196"/>
      <c r="ASK94" s="198"/>
      <c r="ASL94" s="196"/>
      <c r="ASM94" s="196"/>
      <c r="ASN94" s="196"/>
      <c r="ASO94" s="196"/>
      <c r="ASP94" s="196"/>
      <c r="ASQ94" s="199"/>
      <c r="ASR94" s="196"/>
      <c r="ASS94" s="196"/>
      <c r="AST94" s="196"/>
      <c r="ASU94" s="196"/>
      <c r="ASV94" s="196"/>
      <c r="ASW94" s="198"/>
      <c r="ASX94" s="196"/>
      <c r="ASY94" s="196"/>
      <c r="ASZ94" s="196"/>
      <c r="ATA94" s="196"/>
      <c r="ATB94" s="196"/>
      <c r="ATC94" s="199"/>
      <c r="ATD94" s="196"/>
      <c r="ATE94" s="196"/>
      <c r="ATF94" s="196"/>
      <c r="ATG94" s="196"/>
      <c r="ATH94" s="196"/>
      <c r="ATI94" s="200"/>
      <c r="ATJ94" s="195"/>
      <c r="ATK94" s="196"/>
      <c r="ATL94" s="196"/>
      <c r="ATM94" s="196"/>
      <c r="ATN94" s="196"/>
      <c r="ATO94" s="197"/>
      <c r="ATP94" s="196"/>
      <c r="ATQ94" s="196"/>
      <c r="ATR94" s="196"/>
      <c r="ATS94" s="196"/>
      <c r="ATT94" s="196"/>
      <c r="ATU94" s="198"/>
      <c r="ATV94" s="196"/>
      <c r="ATW94" s="196"/>
      <c r="ATX94" s="196"/>
      <c r="ATY94" s="196"/>
      <c r="ATZ94" s="196"/>
      <c r="AUA94" s="199"/>
      <c r="AUB94" s="196"/>
      <c r="AUC94" s="196"/>
      <c r="AUD94" s="196"/>
      <c r="AUE94" s="196"/>
      <c r="AUF94" s="196"/>
      <c r="AUG94" s="198"/>
      <c r="AUH94" s="196"/>
      <c r="AUI94" s="196"/>
      <c r="AUJ94" s="196"/>
      <c r="AUK94" s="196"/>
      <c r="AUL94" s="196"/>
      <c r="AUM94" s="199"/>
      <c r="AUN94" s="196"/>
      <c r="AUO94" s="196"/>
      <c r="AUP94" s="196"/>
      <c r="AUQ94" s="196"/>
      <c r="AUR94" s="196"/>
      <c r="AUS94" s="198"/>
      <c r="AUT94" s="196"/>
      <c r="AUU94" s="196"/>
      <c r="AUV94" s="196"/>
      <c r="AUW94" s="196"/>
      <c r="AUX94" s="196"/>
      <c r="AUY94" s="199"/>
      <c r="AUZ94" s="196"/>
      <c r="AVA94" s="196"/>
      <c r="AVB94" s="196"/>
      <c r="AVC94" s="196"/>
      <c r="AVD94" s="196"/>
      <c r="AVE94" s="198"/>
      <c r="AVF94" s="196"/>
      <c r="AVG94" s="196"/>
      <c r="AVH94" s="196"/>
      <c r="AVI94" s="196"/>
      <c r="AVJ94" s="196"/>
      <c r="AVK94" s="199"/>
      <c r="AVL94" s="196"/>
      <c r="AVM94" s="196"/>
      <c r="AVN94" s="196"/>
      <c r="AVO94" s="196"/>
      <c r="AVP94" s="196"/>
      <c r="AVQ94" s="200"/>
      <c r="AVR94" s="195"/>
      <c r="AVS94" s="196"/>
      <c r="AVT94" s="196"/>
      <c r="AVU94" s="196"/>
      <c r="AVV94" s="196"/>
      <c r="AVW94" s="197"/>
      <c r="AVX94" s="196"/>
      <c r="AVY94" s="196"/>
      <c r="AVZ94" s="196"/>
      <c r="AWA94" s="196"/>
      <c r="AWB94" s="196"/>
      <c r="AWC94" s="198"/>
      <c r="AWD94" s="196"/>
      <c r="AWE94" s="196"/>
      <c r="AWF94" s="196"/>
      <c r="AWG94" s="196"/>
      <c r="AWH94" s="196"/>
      <c r="AWI94" s="199"/>
      <c r="AWJ94" s="196"/>
      <c r="AWK94" s="196"/>
      <c r="AWL94" s="196"/>
      <c r="AWM94" s="196"/>
      <c r="AWN94" s="196"/>
      <c r="AWO94" s="198"/>
      <c r="AWP94" s="196"/>
      <c r="AWQ94" s="196"/>
      <c r="AWR94" s="196"/>
      <c r="AWS94" s="196"/>
      <c r="AWT94" s="196"/>
      <c r="AWU94" s="199"/>
      <c r="AWV94" s="196"/>
      <c r="AWW94" s="196"/>
      <c r="AWX94" s="196"/>
      <c r="AWY94" s="196"/>
      <c r="AWZ94" s="196"/>
      <c r="AXA94" s="198"/>
      <c r="AXB94" s="196"/>
      <c r="AXC94" s="196"/>
      <c r="AXD94" s="196"/>
      <c r="AXE94" s="196"/>
      <c r="AXF94" s="196"/>
      <c r="AXG94" s="199"/>
      <c r="AXH94" s="196"/>
      <c r="AXI94" s="196"/>
      <c r="AXJ94" s="196"/>
      <c r="AXK94" s="196"/>
      <c r="AXL94" s="196"/>
      <c r="AXM94" s="198"/>
      <c r="AXN94" s="196"/>
      <c r="AXO94" s="196"/>
      <c r="AXP94" s="196"/>
      <c r="AXQ94" s="196"/>
      <c r="AXR94" s="196"/>
      <c r="AXS94" s="199"/>
      <c r="AXT94" s="196"/>
      <c r="AXU94" s="196"/>
      <c r="AXV94" s="196"/>
      <c r="AXW94" s="196"/>
      <c r="AXX94" s="196"/>
      <c r="AXY94" s="200"/>
      <c r="AXZ94" s="195"/>
      <c r="AYA94" s="196"/>
      <c r="AYB94" s="196"/>
      <c r="AYC94" s="196"/>
      <c r="AYD94" s="196"/>
      <c r="AYE94" s="197"/>
      <c r="AYF94" s="196"/>
      <c r="AYG94" s="196"/>
      <c r="AYH94" s="196"/>
      <c r="AYI94" s="196"/>
      <c r="AYJ94" s="196"/>
      <c r="AYK94" s="198"/>
      <c r="AYL94" s="196"/>
      <c r="AYM94" s="196"/>
      <c r="AYN94" s="196"/>
      <c r="AYO94" s="196"/>
      <c r="AYP94" s="196"/>
      <c r="AYQ94" s="199"/>
      <c r="AYR94" s="196"/>
      <c r="AYS94" s="196"/>
      <c r="AYT94" s="196"/>
      <c r="AYU94" s="196"/>
      <c r="AYV94" s="196"/>
      <c r="AYW94" s="198"/>
      <c r="AYX94" s="196"/>
      <c r="AYY94" s="196"/>
      <c r="AYZ94" s="196"/>
      <c r="AZA94" s="196"/>
      <c r="AZB94" s="196"/>
      <c r="AZC94" s="199"/>
      <c r="AZD94" s="196"/>
      <c r="AZE94" s="196"/>
      <c r="AZF94" s="196"/>
      <c r="AZG94" s="196"/>
      <c r="AZH94" s="196"/>
      <c r="AZI94" s="198"/>
      <c r="AZJ94" s="196"/>
      <c r="AZK94" s="196"/>
      <c r="AZL94" s="196"/>
      <c r="AZM94" s="196"/>
      <c r="AZN94" s="196"/>
      <c r="AZO94" s="199"/>
      <c r="AZP94" s="196"/>
      <c r="AZQ94" s="196"/>
      <c r="AZR94" s="196"/>
      <c r="AZS94" s="196"/>
      <c r="AZT94" s="196"/>
      <c r="AZU94" s="198"/>
      <c r="AZV94" s="196"/>
      <c r="AZW94" s="196"/>
      <c r="AZX94" s="196"/>
      <c r="AZY94" s="196"/>
      <c r="AZZ94" s="196"/>
      <c r="BAA94" s="199"/>
      <c r="BAB94" s="196"/>
      <c r="BAC94" s="196"/>
      <c r="BAD94" s="196"/>
      <c r="BAE94" s="196"/>
      <c r="BAF94" s="196"/>
      <c r="BAG94" s="200"/>
      <c r="BAH94" s="195"/>
      <c r="BAI94" s="196"/>
      <c r="BAJ94" s="196"/>
      <c r="BAK94" s="196"/>
      <c r="BAL94" s="196"/>
      <c r="BAM94" s="197"/>
      <c r="BAN94" s="196"/>
      <c r="BAO94" s="196"/>
      <c r="BAP94" s="196"/>
      <c r="BAQ94" s="196"/>
      <c r="BAR94" s="196"/>
      <c r="BAS94" s="198"/>
      <c r="BAT94" s="196"/>
      <c r="BAU94" s="196"/>
      <c r="BAV94" s="196"/>
      <c r="BAW94" s="196"/>
      <c r="BAX94" s="196"/>
      <c r="BAY94" s="199"/>
      <c r="BAZ94" s="196"/>
      <c r="BBA94" s="196"/>
      <c r="BBB94" s="196"/>
      <c r="BBC94" s="196"/>
      <c r="BBD94" s="196"/>
      <c r="BBE94" s="198"/>
      <c r="BBF94" s="196"/>
      <c r="BBG94" s="196"/>
      <c r="BBH94" s="196"/>
      <c r="BBI94" s="196"/>
      <c r="BBJ94" s="196"/>
      <c r="BBK94" s="199"/>
      <c r="BBL94" s="196"/>
      <c r="BBM94" s="196"/>
      <c r="BBN94" s="196"/>
      <c r="BBO94" s="196"/>
      <c r="BBP94" s="196"/>
      <c r="BBQ94" s="198"/>
      <c r="BBR94" s="196"/>
      <c r="BBS94" s="196"/>
      <c r="BBT94" s="196"/>
      <c r="BBU94" s="196"/>
      <c r="BBV94" s="196"/>
      <c r="BBW94" s="199"/>
      <c r="BBX94" s="196"/>
      <c r="BBY94" s="196"/>
      <c r="BBZ94" s="196"/>
      <c r="BCA94" s="196"/>
      <c r="BCB94" s="196"/>
      <c r="BCC94" s="198"/>
      <c r="BCD94" s="196"/>
      <c r="BCE94" s="196"/>
      <c r="BCF94" s="196"/>
      <c r="BCG94" s="196"/>
      <c r="BCH94" s="196"/>
      <c r="BCI94" s="199"/>
      <c r="BCJ94" s="196"/>
      <c r="BCK94" s="196"/>
      <c r="BCL94" s="196"/>
      <c r="BCM94" s="196"/>
      <c r="BCN94" s="196"/>
      <c r="BCO94" s="200"/>
      <c r="BCP94" s="195"/>
      <c r="BCQ94" s="196"/>
      <c r="BCR94" s="196"/>
      <c r="BCS94" s="196"/>
      <c r="BCT94" s="196"/>
      <c r="BCU94" s="197"/>
      <c r="BCV94" s="196"/>
      <c r="BCW94" s="196"/>
      <c r="BCX94" s="196"/>
      <c r="BCY94" s="196"/>
      <c r="BCZ94" s="196"/>
      <c r="BDA94" s="198"/>
      <c r="BDB94" s="196"/>
      <c r="BDC94" s="196"/>
      <c r="BDD94" s="196"/>
      <c r="BDE94" s="196"/>
      <c r="BDF94" s="196"/>
      <c r="BDG94" s="199"/>
      <c r="BDH94" s="196"/>
      <c r="BDI94" s="196"/>
      <c r="BDJ94" s="196"/>
      <c r="BDK94" s="196"/>
      <c r="BDL94" s="196"/>
      <c r="BDM94" s="198"/>
      <c r="BDN94" s="196"/>
      <c r="BDO94" s="196"/>
      <c r="BDP94" s="196"/>
      <c r="BDQ94" s="196"/>
      <c r="BDR94" s="196"/>
      <c r="BDS94" s="199"/>
      <c r="BDT94" s="196"/>
      <c r="BDU94" s="196"/>
      <c r="BDV94" s="196"/>
      <c r="BDW94" s="196"/>
      <c r="BDX94" s="196"/>
      <c r="BDY94" s="198"/>
      <c r="BDZ94" s="196"/>
      <c r="BEA94" s="196"/>
      <c r="BEB94" s="196"/>
      <c r="BEC94" s="196"/>
      <c r="BED94" s="196"/>
      <c r="BEE94" s="199"/>
      <c r="BEF94" s="196"/>
      <c r="BEG94" s="196"/>
      <c r="BEH94" s="196"/>
      <c r="BEI94" s="196"/>
      <c r="BEJ94" s="196"/>
      <c r="BEK94" s="198"/>
      <c r="BEL94" s="196"/>
      <c r="BEM94" s="196"/>
      <c r="BEN94" s="196"/>
      <c r="BEO94" s="196"/>
      <c r="BEP94" s="196"/>
      <c r="BEQ94" s="199"/>
      <c r="BER94" s="196"/>
      <c r="BES94" s="196"/>
      <c r="BET94" s="196"/>
      <c r="BEU94" s="196"/>
      <c r="BEV94" s="196"/>
      <c r="BEW94" s="200"/>
      <c r="BEX94" s="195"/>
      <c r="BEY94" s="196"/>
      <c r="BEZ94" s="196"/>
      <c r="BFA94" s="196"/>
      <c r="BFB94" s="196"/>
      <c r="BFC94" s="197"/>
      <c r="BFD94" s="196"/>
      <c r="BFE94" s="196"/>
      <c r="BFF94" s="196"/>
      <c r="BFG94" s="196"/>
      <c r="BFH94" s="196"/>
      <c r="BFI94" s="198"/>
      <c r="BFJ94" s="196"/>
      <c r="BFK94" s="196"/>
      <c r="BFL94" s="196"/>
      <c r="BFM94" s="196"/>
      <c r="BFN94" s="196"/>
      <c r="BFO94" s="199"/>
      <c r="BFP94" s="196"/>
      <c r="BFQ94" s="196"/>
      <c r="BFR94" s="196"/>
      <c r="BFS94" s="196"/>
      <c r="BFT94" s="196"/>
      <c r="BFU94" s="198"/>
      <c r="BFV94" s="196"/>
      <c r="BFW94" s="196"/>
      <c r="BFX94" s="196"/>
      <c r="BFY94" s="196"/>
      <c r="BFZ94" s="196"/>
      <c r="BGA94" s="199"/>
      <c r="BGB94" s="196"/>
      <c r="BGC94" s="196"/>
      <c r="BGD94" s="196"/>
      <c r="BGE94" s="196"/>
      <c r="BGF94" s="196"/>
      <c r="BGG94" s="198"/>
      <c r="BGH94" s="196"/>
      <c r="BGI94" s="196"/>
      <c r="BGJ94" s="196"/>
      <c r="BGK94" s="196"/>
      <c r="BGL94" s="196"/>
      <c r="BGM94" s="199"/>
      <c r="BGN94" s="196"/>
      <c r="BGO94" s="196"/>
      <c r="BGP94" s="196"/>
      <c r="BGQ94" s="196"/>
      <c r="BGR94" s="196"/>
      <c r="BGS94" s="198"/>
      <c r="BGT94" s="196"/>
      <c r="BGU94" s="196"/>
      <c r="BGV94" s="196"/>
      <c r="BGW94" s="196"/>
      <c r="BGX94" s="196"/>
      <c r="BGY94" s="199"/>
      <c r="BGZ94" s="196"/>
      <c r="BHA94" s="196"/>
      <c r="BHB94" s="196"/>
      <c r="BHC94" s="196"/>
      <c r="BHD94" s="196"/>
      <c r="BHE94" s="200"/>
      <c r="BHF94" s="187"/>
      <c r="BHG94" s="188"/>
      <c r="BHH94" s="188"/>
      <c r="BHI94" s="188"/>
      <c r="BHJ94" s="188"/>
      <c r="BHK94" s="188"/>
      <c r="BHL94" s="188"/>
      <c r="BHM94" s="188"/>
      <c r="BHN94" s="188"/>
      <c r="BHO94" s="188"/>
      <c r="BHP94" s="188"/>
      <c r="BHQ94" s="188"/>
      <c r="BHR94" s="188"/>
      <c r="BHS94" s="188"/>
      <c r="BHT94" s="188"/>
      <c r="BHU94" s="188"/>
      <c r="BHV94" s="188"/>
      <c r="BHW94" s="188"/>
      <c r="BHX94" s="188"/>
      <c r="BHY94" s="188"/>
      <c r="BHZ94" s="188"/>
      <c r="BIA94" s="188"/>
      <c r="BIB94" s="188"/>
      <c r="BIC94" s="188"/>
      <c r="BID94" s="188"/>
      <c r="BIE94" s="188"/>
      <c r="BIF94" s="188"/>
      <c r="BIG94" s="188"/>
      <c r="BIH94" s="188"/>
      <c r="BII94" s="188"/>
      <c r="BIJ94" s="188"/>
      <c r="BIK94" s="188"/>
      <c r="BIL94" s="188"/>
      <c r="BIM94" s="188"/>
      <c r="BIN94" s="188"/>
      <c r="BIO94" s="188"/>
      <c r="BIP94" s="188"/>
    </row>
    <row r="95" spans="1:1602" ht="20.100000000000001" customHeight="1" x14ac:dyDescent="0.25">
      <c r="B95" s="51"/>
      <c r="C95" s="232" t="s">
        <v>56</v>
      </c>
      <c r="D95" s="233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234"/>
      <c r="D96" s="235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24" t="s">
        <v>57</v>
      </c>
      <c r="D97" s="225"/>
      <c r="E97" s="93">
        <f>SUM(E16,E18,E20,E22,E24,E26,E28,E30,E32,E34,E36,E38,E40,E42,E44,E46,E48,E50,E52,E54,E56,E58,E60,E62,E64,E66,E68,E70,E72,E74,E76,E78,E80,E82,E84,E86,E88,E90,E92,E94)</f>
        <v>248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26"/>
      <c r="D98" s="227"/>
      <c r="E98" s="97" t="str">
        <f xml:space="preserve"> setValueToTime(E97)</f>
        <v>20h 40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tabSelected="1" zoomScaleNormal="100" zoomScaleSheetLayoutView="98" workbookViewId="0">
      <pane ySplit="1" topLeftCell="A187" activePane="bottomLeft" state="frozen"/>
      <selection activeCell="BC13" sqref="BC13"/>
      <selection pane="bottomLeft" activeCell="E195" sqref="B195:E195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58</v>
      </c>
      <c r="C2" s="136">
        <v>27</v>
      </c>
      <c r="D2" s="136"/>
      <c r="E2" s="65" t="s">
        <v>59</v>
      </c>
      <c r="F2" s="77">
        <v>45803</v>
      </c>
      <c r="G2" s="101" t="s">
        <v>85</v>
      </c>
      <c r="H2" s="151"/>
    </row>
    <row r="3" spans="1:8" s="39" customFormat="1" ht="30" customHeight="1" thickBot="1" x14ac:dyDescent="0.3">
      <c r="B3" s="63" t="s">
        <v>60</v>
      </c>
      <c r="C3" s="123" t="s">
        <v>61</v>
      </c>
      <c r="D3" s="124"/>
      <c r="E3" s="63" t="s">
        <v>62</v>
      </c>
      <c r="F3" s="259" t="s">
        <v>63</v>
      </c>
      <c r="G3" s="260"/>
      <c r="H3" s="151"/>
    </row>
    <row r="4" spans="1:8" s="43" customFormat="1" x14ac:dyDescent="0.3">
      <c r="B4" s="40" t="s">
        <v>132</v>
      </c>
      <c r="C4" s="41">
        <v>14</v>
      </c>
      <c r="D4" s="125" t="str">
        <f xml:space="preserve"> IF(C4="","",setValueToTime(C4))</f>
        <v>1h 10 min</v>
      </c>
      <c r="E4" s="42" t="s">
        <v>128</v>
      </c>
      <c r="F4" s="261"/>
      <c r="G4" s="262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129</v>
      </c>
      <c r="F5" s="253"/>
      <c r="G5" s="254"/>
      <c r="H5" s="152"/>
    </row>
    <row r="6" spans="1:8" s="43" customFormat="1" x14ac:dyDescent="0.3">
      <c r="B6" s="44"/>
      <c r="C6" s="45"/>
      <c r="D6" s="126" t="str">
        <f t="shared" ref="D6:D11" si="1" xml:space="preserve"> IF(C6="","",setValueToTime(C6))</f>
        <v/>
      </c>
      <c r="E6" s="46"/>
      <c r="F6" s="253"/>
      <c r="G6" s="254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53"/>
      <c r="G7" s="254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53"/>
      <c r="G8" s="254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53"/>
      <c r="G9" s="254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53"/>
      <c r="G10" s="254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55"/>
      <c r="G11" s="256"/>
      <c r="H11" s="152"/>
    </row>
    <row r="12" spans="1:8" s="43" customFormat="1" ht="15" thickBot="1" x14ac:dyDescent="0.35">
      <c r="B12" s="86" t="s">
        <v>65</v>
      </c>
      <c r="C12" s="67">
        <f>SUM(C4:C11)</f>
        <v>38</v>
      </c>
      <c r="D12" s="86" t="str">
        <f xml:space="preserve"> setValueToTime(C12)</f>
        <v>3h 10 min</v>
      </c>
      <c r="E12" s="95"/>
      <c r="F12" s="257"/>
      <c r="G12" s="258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58</v>
      </c>
      <c r="C14" s="136">
        <v>26</v>
      </c>
      <c r="D14" s="136"/>
      <c r="E14" s="65" t="s">
        <v>59</v>
      </c>
      <c r="F14" s="77">
        <v>45800</v>
      </c>
      <c r="G14" s="101" t="s">
        <v>90</v>
      </c>
      <c r="H14" s="151"/>
    </row>
    <row r="15" spans="1:8" s="39" customFormat="1" ht="30" customHeight="1" thickBot="1" x14ac:dyDescent="0.3">
      <c r="B15" s="63" t="s">
        <v>60</v>
      </c>
      <c r="C15" s="123" t="s">
        <v>61</v>
      </c>
      <c r="D15" s="124"/>
      <c r="E15" s="63" t="s">
        <v>62</v>
      </c>
      <c r="F15" s="259" t="s">
        <v>63</v>
      </c>
      <c r="G15" s="260"/>
      <c r="H15" s="151"/>
    </row>
    <row r="16" spans="1:8" s="43" customFormat="1" x14ac:dyDescent="0.3">
      <c r="B16" s="40" t="s">
        <v>132</v>
      </c>
      <c r="C16" s="41">
        <v>14</v>
      </c>
      <c r="D16" s="125" t="str">
        <f xml:space="preserve"> IF(C16="","",setValueToTime(C16))</f>
        <v>1h 10 min</v>
      </c>
      <c r="E16" s="42" t="s">
        <v>127</v>
      </c>
      <c r="F16" s="261"/>
      <c r="G16" s="262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126</v>
      </c>
      <c r="F17" s="253"/>
      <c r="G17" s="254"/>
      <c r="H17" s="152"/>
    </row>
    <row r="18" spans="2:8" s="43" customFormat="1" x14ac:dyDescent="0.3">
      <c r="B18" s="44"/>
      <c r="C18" s="45"/>
      <c r="D18" s="126" t="str">
        <f t="shared" ref="D18:D23" si="3" xml:space="preserve"> IF(C18="","",setValueToTime(C18))</f>
        <v/>
      </c>
      <c r="E18" s="46"/>
      <c r="F18" s="253"/>
      <c r="G18" s="254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3"/>
      <c r="G19" s="254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53"/>
      <c r="G20" s="254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53"/>
      <c r="G21" s="254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53"/>
      <c r="G22" s="254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55"/>
      <c r="G23" s="256"/>
      <c r="H23" s="152"/>
    </row>
    <row r="24" spans="2:8" s="43" customFormat="1" ht="15" thickBot="1" x14ac:dyDescent="0.35">
      <c r="B24" s="86" t="s">
        <v>65</v>
      </c>
      <c r="C24" s="67">
        <f>SUM(C16:C23)</f>
        <v>38</v>
      </c>
      <c r="D24" s="86" t="str">
        <f xml:space="preserve"> setValueToTime(C24)</f>
        <v>3h 10 min</v>
      </c>
      <c r="E24" s="95"/>
      <c r="F24" s="257"/>
      <c r="G24" s="258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58</v>
      </c>
      <c r="C26" s="136">
        <v>25</v>
      </c>
      <c r="D26" s="136"/>
      <c r="E26" s="65" t="s">
        <v>59</v>
      </c>
      <c r="F26" s="77">
        <v>45800</v>
      </c>
      <c r="G26" s="101" t="s">
        <v>85</v>
      </c>
      <c r="H26" s="151"/>
    </row>
    <row r="27" spans="2:8" s="39" customFormat="1" ht="30" customHeight="1" thickBot="1" x14ac:dyDescent="0.3">
      <c r="B27" s="63" t="s">
        <v>60</v>
      </c>
      <c r="C27" s="123" t="s">
        <v>61</v>
      </c>
      <c r="D27" s="124"/>
      <c r="E27" s="63" t="s">
        <v>62</v>
      </c>
      <c r="F27" s="259" t="s">
        <v>63</v>
      </c>
      <c r="G27" s="260"/>
      <c r="H27" s="151"/>
    </row>
    <row r="28" spans="2:8" s="43" customFormat="1" x14ac:dyDescent="0.3">
      <c r="B28" s="40" t="s">
        <v>55</v>
      </c>
      <c r="C28" s="41">
        <v>24</v>
      </c>
      <c r="D28" s="125" t="str">
        <f xml:space="preserve"> IF(C28="","",setValueToTime(C28))</f>
        <v>2h</v>
      </c>
      <c r="E28" s="42" t="s">
        <v>121</v>
      </c>
      <c r="F28" s="261"/>
      <c r="G28" s="262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126</v>
      </c>
      <c r="F29" s="253"/>
      <c r="G29" s="254"/>
      <c r="H29" s="152"/>
    </row>
    <row r="30" spans="2:8" s="43" customFormat="1" x14ac:dyDescent="0.3">
      <c r="B30" s="44"/>
      <c r="C30" s="45"/>
      <c r="D30" s="126" t="str">
        <f t="shared" ref="D30:D35" si="5" xml:space="preserve"> IF(C30="","",setValueToTime(C30))</f>
        <v/>
      </c>
      <c r="E30" s="46"/>
      <c r="F30" s="253"/>
      <c r="G30" s="254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53"/>
      <c r="G31" s="254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53"/>
      <c r="G32" s="254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53"/>
      <c r="G33" s="254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53"/>
      <c r="G34" s="254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55"/>
      <c r="G35" s="256"/>
      <c r="H35" s="152"/>
    </row>
    <row r="36" spans="2:8" s="43" customFormat="1" ht="15" thickBot="1" x14ac:dyDescent="0.35">
      <c r="B36" s="86" t="s">
        <v>65</v>
      </c>
      <c r="C36" s="67">
        <f>SUM(C28:C35)</f>
        <v>48</v>
      </c>
      <c r="D36" s="86" t="str">
        <f xml:space="preserve"> setValueToTime(C36)</f>
        <v>4h</v>
      </c>
      <c r="E36" s="95"/>
      <c r="F36" s="257"/>
      <c r="G36" s="258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58</v>
      </c>
      <c r="C38" s="136">
        <v>24</v>
      </c>
      <c r="D38" s="136"/>
      <c r="E38" s="65" t="s">
        <v>59</v>
      </c>
      <c r="F38" s="77">
        <v>45799</v>
      </c>
      <c r="G38" s="101" t="s">
        <v>90</v>
      </c>
      <c r="H38" s="151"/>
    </row>
    <row r="39" spans="2:8" s="39" customFormat="1" ht="30" customHeight="1" thickBot="1" x14ac:dyDescent="0.3">
      <c r="B39" s="63" t="s">
        <v>60</v>
      </c>
      <c r="C39" s="123" t="s">
        <v>61</v>
      </c>
      <c r="D39" s="124"/>
      <c r="E39" s="63" t="s">
        <v>62</v>
      </c>
      <c r="F39" s="259" t="s">
        <v>63</v>
      </c>
      <c r="G39" s="260"/>
      <c r="H39" s="151"/>
    </row>
    <row r="40" spans="2:8" s="43" customFormat="1" x14ac:dyDescent="0.3">
      <c r="B40" s="40" t="s">
        <v>55</v>
      </c>
      <c r="C40" s="41">
        <v>24</v>
      </c>
      <c r="D40" s="125" t="str">
        <f xml:space="preserve"> IF(C40="","",setValueToTime(C40))</f>
        <v>2h</v>
      </c>
      <c r="E40" s="42" t="s">
        <v>121</v>
      </c>
      <c r="F40" s="261"/>
      <c r="G40" s="262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93</v>
      </c>
      <c r="F41" s="253"/>
      <c r="G41" s="254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107</v>
      </c>
      <c r="F42" s="253"/>
      <c r="G42" s="254"/>
      <c r="H42" s="152"/>
    </row>
    <row r="43" spans="2:8" s="43" customFormat="1" x14ac:dyDescent="0.3">
      <c r="B43" s="44"/>
      <c r="C43" s="45"/>
      <c r="D43" s="126" t="str">
        <f t="shared" ref="D43:D47" si="7" xml:space="preserve"> IF(C43="","",setValueToTime(C43))</f>
        <v/>
      </c>
      <c r="E43" s="46"/>
      <c r="F43" s="253"/>
      <c r="G43" s="254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53"/>
      <c r="G44" s="254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53"/>
      <c r="G45" s="254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53"/>
      <c r="G46" s="254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55"/>
      <c r="G47" s="256"/>
      <c r="H47" s="152"/>
    </row>
    <row r="48" spans="2:8" s="43" customFormat="1" ht="15" thickBot="1" x14ac:dyDescent="0.35">
      <c r="B48" s="86" t="s">
        <v>65</v>
      </c>
      <c r="C48" s="67">
        <f>SUM(C40:C47)</f>
        <v>38</v>
      </c>
      <c r="D48" s="86" t="str">
        <f xml:space="preserve"> setValueToTime(C48)</f>
        <v>3h 10 min</v>
      </c>
      <c r="E48" s="95"/>
      <c r="F48" s="257"/>
      <c r="G48" s="258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58</v>
      </c>
      <c r="C50" s="136">
        <v>23</v>
      </c>
      <c r="D50" s="136"/>
      <c r="E50" s="65" t="s">
        <v>59</v>
      </c>
      <c r="F50" s="77">
        <v>45798</v>
      </c>
      <c r="G50" s="101" t="s">
        <v>90</v>
      </c>
      <c r="H50" s="151"/>
    </row>
    <row r="51" spans="2:8" s="39" customFormat="1" ht="30" customHeight="1" thickBot="1" x14ac:dyDescent="0.3">
      <c r="B51" s="63" t="s">
        <v>60</v>
      </c>
      <c r="C51" s="123" t="s">
        <v>61</v>
      </c>
      <c r="D51" s="124"/>
      <c r="E51" s="63" t="s">
        <v>62</v>
      </c>
      <c r="F51" s="259" t="s">
        <v>63</v>
      </c>
      <c r="G51" s="260"/>
      <c r="H51" s="151"/>
    </row>
    <row r="52" spans="2:8" s="43" customFormat="1" x14ac:dyDescent="0.3">
      <c r="B52" s="40" t="s">
        <v>73</v>
      </c>
      <c r="C52" s="41">
        <v>24</v>
      </c>
      <c r="D52" s="125" t="str">
        <f xml:space="preserve"> IF(C52="","",setValueToTime(C52))</f>
        <v>2h</v>
      </c>
      <c r="E52" s="42" t="s">
        <v>120</v>
      </c>
      <c r="F52" s="261"/>
      <c r="G52" s="262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93</v>
      </c>
      <c r="F53" s="253"/>
      <c r="G53" s="254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107</v>
      </c>
      <c r="F54" s="253"/>
      <c r="G54" s="254"/>
      <c r="H54" s="152"/>
    </row>
    <row r="55" spans="2:8" s="43" customFormat="1" x14ac:dyDescent="0.3">
      <c r="B55" s="44"/>
      <c r="C55" s="45"/>
      <c r="D55" s="126" t="str">
        <f t="shared" ref="D55:D59" si="9" xml:space="preserve"> IF(C55="","",setValueToTime(C55))</f>
        <v/>
      </c>
      <c r="E55" s="46"/>
      <c r="F55" s="253"/>
      <c r="G55" s="254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53"/>
      <c r="G56" s="254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53"/>
      <c r="G57" s="254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53"/>
      <c r="G58" s="254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55"/>
      <c r="G59" s="256"/>
      <c r="H59" s="152"/>
    </row>
    <row r="60" spans="2:8" s="43" customFormat="1" ht="15" thickBot="1" x14ac:dyDescent="0.35">
      <c r="B60" s="86" t="s">
        <v>65</v>
      </c>
      <c r="C60" s="67">
        <f>SUM(C52:C59)</f>
        <v>38</v>
      </c>
      <c r="D60" s="86" t="str">
        <f xml:space="preserve"> setValueToTime(C60)</f>
        <v>3h 10 min</v>
      </c>
      <c r="E60" s="95"/>
      <c r="F60" s="257"/>
      <c r="G60" s="258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58</v>
      </c>
      <c r="C62" s="136">
        <v>22</v>
      </c>
      <c r="D62" s="136"/>
      <c r="E62" s="65" t="s">
        <v>59</v>
      </c>
      <c r="F62" s="77">
        <v>45798</v>
      </c>
      <c r="G62" s="101" t="s">
        <v>85</v>
      </c>
      <c r="H62" s="151"/>
    </row>
    <row r="63" spans="2:8" s="39" customFormat="1" ht="30" customHeight="1" thickBot="1" x14ac:dyDescent="0.3">
      <c r="B63" s="63" t="s">
        <v>60</v>
      </c>
      <c r="C63" s="123" t="s">
        <v>61</v>
      </c>
      <c r="D63" s="124"/>
      <c r="E63" s="63" t="s">
        <v>62</v>
      </c>
      <c r="F63" s="259" t="s">
        <v>63</v>
      </c>
      <c r="G63" s="260"/>
      <c r="H63" s="151"/>
    </row>
    <row r="64" spans="2:8" s="43" customFormat="1" x14ac:dyDescent="0.3">
      <c r="B64" s="40" t="s">
        <v>73</v>
      </c>
      <c r="C64" s="41">
        <v>24</v>
      </c>
      <c r="D64" s="125" t="str">
        <f xml:space="preserve"> IF(C64="","",setValueToTime(C64))</f>
        <v>2h</v>
      </c>
      <c r="E64" s="42" t="s">
        <v>120</v>
      </c>
      <c r="F64" s="261"/>
      <c r="G64" s="262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107</v>
      </c>
      <c r="F65" s="253"/>
      <c r="G65" s="254"/>
      <c r="H65" s="152"/>
    </row>
    <row r="66" spans="2:8" s="43" customFormat="1" x14ac:dyDescent="0.3">
      <c r="B66" s="44"/>
      <c r="C66" s="45"/>
      <c r="D66" s="126" t="str">
        <f t="shared" ref="D66:D71" si="11" xml:space="preserve"> IF(C66="","",setValueToTime(C66))</f>
        <v/>
      </c>
      <c r="E66" s="46"/>
      <c r="F66" s="253"/>
      <c r="G66" s="254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53"/>
      <c r="G67" s="254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53"/>
      <c r="G68" s="254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53"/>
      <c r="G69" s="254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53"/>
      <c r="G70" s="254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55"/>
      <c r="G71" s="256"/>
      <c r="H71" s="152"/>
    </row>
    <row r="72" spans="2:8" s="43" customFormat="1" ht="15" thickBot="1" x14ac:dyDescent="0.35">
      <c r="B72" s="86" t="s">
        <v>65</v>
      </c>
      <c r="C72" s="67">
        <f>SUM(C64:C71)</f>
        <v>48</v>
      </c>
      <c r="D72" s="86" t="str">
        <f xml:space="preserve"> setValueToTime(C72)</f>
        <v>4h</v>
      </c>
      <c r="E72" s="95"/>
      <c r="F72" s="257"/>
      <c r="G72" s="258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58</v>
      </c>
      <c r="C74" s="136">
        <v>21</v>
      </c>
      <c r="D74" s="136"/>
      <c r="E74" s="65" t="s">
        <v>59</v>
      </c>
      <c r="F74" s="77">
        <v>45796</v>
      </c>
      <c r="G74" s="101" t="s">
        <v>90</v>
      </c>
      <c r="H74" s="151"/>
    </row>
    <row r="75" spans="2:8" s="39" customFormat="1" ht="30" customHeight="1" thickBot="1" x14ac:dyDescent="0.3">
      <c r="B75" s="63" t="s">
        <v>60</v>
      </c>
      <c r="C75" s="123" t="s">
        <v>61</v>
      </c>
      <c r="D75" s="124"/>
      <c r="E75" s="63" t="s">
        <v>62</v>
      </c>
      <c r="F75" s="259" t="s">
        <v>63</v>
      </c>
      <c r="G75" s="260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93</v>
      </c>
      <c r="F76" s="261"/>
      <c r="G76" s="262"/>
      <c r="H76" s="152"/>
    </row>
    <row r="77" spans="2:8" s="43" customFormat="1" x14ac:dyDescent="0.3">
      <c r="B77" s="40" t="s">
        <v>78</v>
      </c>
      <c r="C77" s="41">
        <v>12</v>
      </c>
      <c r="D77" s="125" t="str">
        <f xml:space="preserve"> IF(C77="","",setValueToTime(C77))</f>
        <v>1h</v>
      </c>
      <c r="E77" s="42" t="s">
        <v>113</v>
      </c>
      <c r="F77" s="253"/>
      <c r="G77" s="254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107</v>
      </c>
      <c r="F78" s="253"/>
      <c r="G78" s="254"/>
      <c r="H78" s="152"/>
    </row>
    <row r="79" spans="2:8" s="43" customFormat="1" x14ac:dyDescent="0.3">
      <c r="B79" s="44"/>
      <c r="C79" s="45"/>
      <c r="D79" s="126" t="str">
        <f t="shared" ref="D79:D83" si="14" xml:space="preserve"> IF(C79="","",setValueToTime(C79))</f>
        <v/>
      </c>
      <c r="E79" s="46"/>
      <c r="F79" s="253"/>
      <c r="G79" s="254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53"/>
      <c r="G80" s="254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53"/>
      <c r="G81" s="254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53"/>
      <c r="G82" s="254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55"/>
      <c r="G83" s="256"/>
      <c r="H83" s="152"/>
    </row>
    <row r="84" spans="2:8" s="43" customFormat="1" ht="15" thickBot="1" x14ac:dyDescent="0.35">
      <c r="B84" s="86" t="s">
        <v>65</v>
      </c>
      <c r="C84" s="67">
        <f>SUM(C76:C83)</f>
        <v>28</v>
      </c>
      <c r="D84" s="86" t="str">
        <f xml:space="preserve"> setValueToTime(C84)</f>
        <v>2h 20 min</v>
      </c>
      <c r="E84" s="95"/>
      <c r="F84" s="257"/>
      <c r="G84" s="258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58</v>
      </c>
      <c r="C86" s="136">
        <v>20</v>
      </c>
      <c r="D86" s="136"/>
      <c r="E86" s="65" t="s">
        <v>59</v>
      </c>
      <c r="F86" s="77">
        <v>45796</v>
      </c>
      <c r="G86" s="101" t="s">
        <v>85</v>
      </c>
      <c r="H86" s="151"/>
    </row>
    <row r="87" spans="2:8" s="39" customFormat="1" ht="30" customHeight="1" thickBot="1" x14ac:dyDescent="0.3">
      <c r="B87" s="63" t="s">
        <v>60</v>
      </c>
      <c r="C87" s="123" t="s">
        <v>61</v>
      </c>
      <c r="D87" s="124"/>
      <c r="E87" s="63" t="s">
        <v>62</v>
      </c>
      <c r="F87" s="259" t="s">
        <v>63</v>
      </c>
      <c r="G87" s="260"/>
      <c r="H87" s="151"/>
    </row>
    <row r="88" spans="2:8" s="43" customFormat="1" x14ac:dyDescent="0.3">
      <c r="B88" s="40" t="s">
        <v>78</v>
      </c>
      <c r="C88" s="41">
        <v>24</v>
      </c>
      <c r="D88" s="125" t="str">
        <f xml:space="preserve"> IF(C88="","",setValueToTime(C88))</f>
        <v>2h</v>
      </c>
      <c r="E88" s="42" t="s">
        <v>113</v>
      </c>
      <c r="F88" s="261"/>
      <c r="G88" s="262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107</v>
      </c>
      <c r="F89" s="253"/>
      <c r="G89" s="254"/>
      <c r="H89" s="152"/>
    </row>
    <row r="90" spans="2:8" s="43" customFormat="1" x14ac:dyDescent="0.3">
      <c r="B90" s="44"/>
      <c r="C90" s="45"/>
      <c r="D90" s="126" t="str">
        <f t="shared" ref="D90:D95" si="16" xml:space="preserve"> IF(C90="","",setValueToTime(C90))</f>
        <v/>
      </c>
      <c r="E90" s="46"/>
      <c r="F90" s="253"/>
      <c r="G90" s="254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53"/>
      <c r="G91" s="254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53"/>
      <c r="G92" s="254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53"/>
      <c r="G93" s="254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53"/>
      <c r="G94" s="254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55"/>
      <c r="G95" s="256"/>
      <c r="H95" s="152"/>
    </row>
    <row r="96" spans="2:8" s="43" customFormat="1" ht="15" thickBot="1" x14ac:dyDescent="0.35">
      <c r="B96" s="86" t="s">
        <v>65</v>
      </c>
      <c r="C96" s="67">
        <f>SUM(C88:C95)</f>
        <v>38</v>
      </c>
      <c r="D96" s="86" t="str">
        <f xml:space="preserve"> setValueToTime(C96)</f>
        <v>3h 10 min</v>
      </c>
      <c r="E96" s="95"/>
      <c r="F96" s="257"/>
      <c r="G96" s="258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58</v>
      </c>
      <c r="C98" s="136">
        <v>19</v>
      </c>
      <c r="D98" s="136"/>
      <c r="E98" s="65" t="s">
        <v>59</v>
      </c>
      <c r="F98" s="77">
        <v>45793</v>
      </c>
      <c r="G98" s="101" t="s">
        <v>90</v>
      </c>
      <c r="H98" s="151"/>
    </row>
    <row r="99" spans="2:8" s="39" customFormat="1" ht="30" customHeight="1" thickBot="1" x14ac:dyDescent="0.3">
      <c r="B99" s="63" t="s">
        <v>60</v>
      </c>
      <c r="C99" s="123" t="s">
        <v>61</v>
      </c>
      <c r="D99" s="124"/>
      <c r="E99" s="63" t="s">
        <v>62</v>
      </c>
      <c r="F99" s="259" t="s">
        <v>63</v>
      </c>
      <c r="G99" s="260"/>
      <c r="H99" s="151"/>
    </row>
    <row r="100" spans="2:8" s="43" customFormat="1" ht="27.75" thickBot="1" x14ac:dyDescent="0.35">
      <c r="B100" s="40" t="s">
        <v>76</v>
      </c>
      <c r="C100" s="41">
        <v>10</v>
      </c>
      <c r="D100" s="125" t="str">
        <f xml:space="preserve"> IF(C100="","",setValueToTime(C100))</f>
        <v xml:space="preserve"> 50 min</v>
      </c>
      <c r="E100" s="42" t="s">
        <v>112</v>
      </c>
      <c r="F100" s="261"/>
      <c r="G100" s="262"/>
      <c r="H100" s="152"/>
    </row>
    <row r="101" spans="2:8" s="43" customFormat="1" x14ac:dyDescent="0.3">
      <c r="B101" s="44" t="s">
        <v>77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111</v>
      </c>
      <c r="F101" s="253"/>
      <c r="G101" s="254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93</v>
      </c>
      <c r="F102" s="253"/>
      <c r="G102" s="254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107</v>
      </c>
      <c r="F103" s="253"/>
      <c r="G103" s="254"/>
      <c r="H103" s="152"/>
    </row>
    <row r="104" spans="2:8" s="43" customFormat="1" x14ac:dyDescent="0.3">
      <c r="B104" s="44"/>
      <c r="C104" s="45"/>
      <c r="D104" s="127" t="str">
        <f t="shared" ref="D104:D107" si="18" xml:space="preserve"> IF(C104="","",setValueToTime(C104))</f>
        <v/>
      </c>
      <c r="E104" s="46"/>
      <c r="F104" s="253"/>
      <c r="G104" s="254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53"/>
      <c r="G105" s="254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53"/>
      <c r="G106" s="254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55"/>
      <c r="G107" s="256"/>
      <c r="H107" s="152"/>
    </row>
    <row r="108" spans="2:8" s="43" customFormat="1" ht="15" thickBot="1" x14ac:dyDescent="0.35">
      <c r="B108" s="86" t="s">
        <v>65</v>
      </c>
      <c r="C108" s="67">
        <f>SUM(C100:C107)</f>
        <v>38</v>
      </c>
      <c r="D108" s="86" t="str">
        <f xml:space="preserve"> setValueToTime(C108)</f>
        <v>3h 10 min</v>
      </c>
      <c r="E108" s="95"/>
      <c r="F108" s="257"/>
      <c r="G108" s="258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58</v>
      </c>
      <c r="C110" s="136">
        <v>18</v>
      </c>
      <c r="D110" s="136"/>
      <c r="E110" s="65" t="s">
        <v>59</v>
      </c>
      <c r="F110" s="77">
        <v>45793</v>
      </c>
      <c r="G110" s="101" t="s">
        <v>85</v>
      </c>
      <c r="H110" s="151"/>
    </row>
    <row r="111" spans="2:8" s="39" customFormat="1" ht="30" customHeight="1" thickBot="1" x14ac:dyDescent="0.3">
      <c r="B111" s="63" t="s">
        <v>60</v>
      </c>
      <c r="C111" s="123" t="s">
        <v>61</v>
      </c>
      <c r="D111" s="124"/>
      <c r="E111" s="63" t="s">
        <v>62</v>
      </c>
      <c r="F111" s="259" t="s">
        <v>63</v>
      </c>
      <c r="G111" s="260"/>
      <c r="H111" s="151"/>
    </row>
    <row r="112" spans="2:8" s="43" customFormat="1" ht="27.75" thickBot="1" x14ac:dyDescent="0.35">
      <c r="B112" s="40" t="s">
        <v>76</v>
      </c>
      <c r="C112" s="41">
        <v>9</v>
      </c>
      <c r="D112" s="125" t="str">
        <f xml:space="preserve"> IF(C112="","",setValueToTime(C112))</f>
        <v xml:space="preserve"> 45 min</v>
      </c>
      <c r="E112" s="42" t="s">
        <v>112</v>
      </c>
      <c r="F112" s="261"/>
      <c r="G112" s="262"/>
      <c r="H112" s="152"/>
    </row>
    <row r="113" spans="2:8" s="43" customFormat="1" x14ac:dyDescent="0.3">
      <c r="B113" s="44" t="s">
        <v>77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111</v>
      </c>
      <c r="F113" s="253"/>
      <c r="G113" s="254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107</v>
      </c>
      <c r="F114" s="253"/>
      <c r="G114" s="254"/>
      <c r="H114" s="152"/>
    </row>
    <row r="115" spans="2:8" s="43" customFormat="1" x14ac:dyDescent="0.3">
      <c r="B115" s="44"/>
      <c r="C115" s="45"/>
      <c r="D115" s="126" t="str">
        <f t="shared" ref="D115:D119" si="20" xml:space="preserve"> IF(C115="","",setValueToTime(C115))</f>
        <v/>
      </c>
      <c r="E115" s="46"/>
      <c r="F115" s="253"/>
      <c r="G115" s="254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53"/>
      <c r="G116" s="254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53"/>
      <c r="G117" s="254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53"/>
      <c r="G118" s="254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55"/>
      <c r="G119" s="256"/>
      <c r="H119" s="152"/>
    </row>
    <row r="120" spans="2:8" s="43" customFormat="1" ht="15" thickBot="1" x14ac:dyDescent="0.35">
      <c r="B120" s="86" t="s">
        <v>65</v>
      </c>
      <c r="C120" s="67">
        <f>SUM(C112:C119)</f>
        <v>48</v>
      </c>
      <c r="D120" s="86" t="str">
        <f xml:space="preserve"> setValueToTime(C120)</f>
        <v>4h</v>
      </c>
      <c r="E120" s="95"/>
      <c r="F120" s="257"/>
      <c r="G120" s="258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58</v>
      </c>
      <c r="C122" s="136">
        <v>17</v>
      </c>
      <c r="D122" s="136"/>
      <c r="E122" s="65" t="s">
        <v>59</v>
      </c>
      <c r="F122" s="77">
        <v>45792</v>
      </c>
      <c r="G122" s="101" t="s">
        <v>90</v>
      </c>
      <c r="H122" s="151"/>
    </row>
    <row r="123" spans="2:8" s="39" customFormat="1" ht="30" customHeight="1" thickBot="1" x14ac:dyDescent="0.3">
      <c r="B123" s="63" t="s">
        <v>60</v>
      </c>
      <c r="C123" s="123" t="s">
        <v>61</v>
      </c>
      <c r="D123" s="124"/>
      <c r="E123" s="63" t="s">
        <v>62</v>
      </c>
      <c r="F123" s="259" t="s">
        <v>63</v>
      </c>
      <c r="G123" s="260"/>
      <c r="H123" s="151"/>
    </row>
    <row r="124" spans="2:8" s="43" customFormat="1" ht="27.75" thickBot="1" x14ac:dyDescent="0.35">
      <c r="B124" s="40" t="s">
        <v>76</v>
      </c>
      <c r="C124" s="41">
        <v>18</v>
      </c>
      <c r="D124" s="125" t="str">
        <f xml:space="preserve"> IF(C124="","",setValueToTime(C124))</f>
        <v>1h 30 min</v>
      </c>
      <c r="E124" s="42" t="s">
        <v>112</v>
      </c>
      <c r="F124" s="261"/>
      <c r="G124" s="262"/>
      <c r="H124" s="152"/>
    </row>
    <row r="125" spans="2:8" s="43" customFormat="1" x14ac:dyDescent="0.3">
      <c r="B125" s="44" t="s">
        <v>77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111</v>
      </c>
      <c r="F125" s="253"/>
      <c r="G125" s="254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93</v>
      </c>
      <c r="F126" s="253"/>
      <c r="G126" s="254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53"/>
      <c r="G127" s="254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53"/>
      <c r="G128" s="254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53"/>
      <c r="G129" s="254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53"/>
      <c r="G130" s="254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55"/>
      <c r="G131" s="256"/>
      <c r="H131" s="152"/>
    </row>
    <row r="132" spans="2:8" s="43" customFormat="1" ht="15" thickBot="1" x14ac:dyDescent="0.35">
      <c r="B132" s="86" t="s">
        <v>65</v>
      </c>
      <c r="C132" s="67">
        <f>SUM(C124:C131)</f>
        <v>38</v>
      </c>
      <c r="D132" s="86" t="str">
        <f xml:space="preserve"> setValueToTime(C132)</f>
        <v>3h 10 min</v>
      </c>
      <c r="E132" s="95"/>
      <c r="F132" s="257"/>
      <c r="G132" s="258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58</v>
      </c>
      <c r="C134" s="136">
        <v>16</v>
      </c>
      <c r="D134" s="136"/>
      <c r="E134" s="65" t="s">
        <v>59</v>
      </c>
      <c r="F134" s="77">
        <v>45791</v>
      </c>
      <c r="G134" s="101" t="s">
        <v>90</v>
      </c>
      <c r="H134" s="151"/>
    </row>
    <row r="135" spans="2:8" s="39" customFormat="1" ht="30" customHeight="1" thickBot="1" x14ac:dyDescent="0.3">
      <c r="B135" s="63" t="s">
        <v>60</v>
      </c>
      <c r="C135" s="123" t="s">
        <v>61</v>
      </c>
      <c r="D135" s="124"/>
      <c r="E135" s="63" t="s">
        <v>62</v>
      </c>
      <c r="F135" s="259" t="s">
        <v>63</v>
      </c>
      <c r="G135" s="260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93</v>
      </c>
      <c r="F136" s="261"/>
      <c r="G136" s="262"/>
      <c r="H136" s="152"/>
    </row>
    <row r="137" spans="2:8" s="43" customFormat="1" x14ac:dyDescent="0.3">
      <c r="B137" s="44" t="s">
        <v>80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110</v>
      </c>
      <c r="F137" s="253"/>
      <c r="G137" s="254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107</v>
      </c>
      <c r="F138" s="253"/>
      <c r="G138" s="254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53"/>
      <c r="G139" s="254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53"/>
      <c r="G140" s="254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53"/>
      <c r="G141" s="254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53"/>
      <c r="G142" s="254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55"/>
      <c r="G143" s="256"/>
      <c r="H143" s="152"/>
    </row>
    <row r="144" spans="2:8" s="43" customFormat="1" ht="15" thickBot="1" x14ac:dyDescent="0.35">
      <c r="B144" s="86" t="s">
        <v>65</v>
      </c>
      <c r="C144" s="67">
        <f>SUM(C136:C143)</f>
        <v>38</v>
      </c>
      <c r="D144" s="86" t="str">
        <f xml:space="preserve"> setValueToTime(C144)</f>
        <v>3h 10 min</v>
      </c>
      <c r="E144" s="95"/>
      <c r="F144" s="257"/>
      <c r="G144" s="258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58</v>
      </c>
      <c r="C146" s="136">
        <v>15</v>
      </c>
      <c r="D146" s="136"/>
      <c r="E146" s="65" t="s">
        <v>59</v>
      </c>
      <c r="F146" s="77">
        <v>45791</v>
      </c>
      <c r="G146" s="101" t="s">
        <v>85</v>
      </c>
      <c r="H146" s="151"/>
    </row>
    <row r="147" spans="2:8" s="39" customFormat="1" ht="30" customHeight="1" thickBot="1" x14ac:dyDescent="0.3">
      <c r="B147" s="63" t="s">
        <v>60</v>
      </c>
      <c r="C147" s="123" t="s">
        <v>61</v>
      </c>
      <c r="D147" s="124"/>
      <c r="E147" s="63" t="s">
        <v>62</v>
      </c>
      <c r="F147" s="259" t="s">
        <v>63</v>
      </c>
      <c r="G147" s="260"/>
      <c r="H147" s="151"/>
    </row>
    <row r="148" spans="2:8" s="43" customFormat="1" x14ac:dyDescent="0.3">
      <c r="B148" s="40" t="s">
        <v>80</v>
      </c>
      <c r="C148" s="41">
        <v>12</v>
      </c>
      <c r="D148" s="125" t="str">
        <f xml:space="preserve"> IF(C148="","",setValueToTime(C148))</f>
        <v>1h</v>
      </c>
      <c r="E148" s="46" t="s">
        <v>110</v>
      </c>
      <c r="F148" s="261"/>
      <c r="G148" s="262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107</v>
      </c>
      <c r="F149" s="253"/>
      <c r="G149" s="254"/>
      <c r="H149" s="152"/>
    </row>
    <row r="150" spans="2:8" s="43" customFormat="1" x14ac:dyDescent="0.3">
      <c r="B150" s="44" t="s">
        <v>79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108</v>
      </c>
      <c r="F150" s="253"/>
      <c r="G150" s="254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53"/>
      <c r="G151" s="254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53"/>
      <c r="G152" s="254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53"/>
      <c r="G153" s="254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53"/>
      <c r="G154" s="254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55"/>
      <c r="G155" s="256"/>
      <c r="H155" s="152"/>
    </row>
    <row r="156" spans="2:8" s="43" customFormat="1" ht="15" thickBot="1" x14ac:dyDescent="0.35">
      <c r="B156" s="86" t="s">
        <v>65</v>
      </c>
      <c r="C156" s="67">
        <f>SUM(C148:C155)</f>
        <v>48</v>
      </c>
      <c r="D156" s="86" t="str">
        <f xml:space="preserve"> setValueToTime(C156)</f>
        <v>4h</v>
      </c>
      <c r="E156" s="95"/>
      <c r="F156" s="257"/>
      <c r="G156" s="258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58</v>
      </c>
      <c r="C158" s="136">
        <v>14</v>
      </c>
      <c r="D158" s="136"/>
      <c r="E158" s="65" t="s">
        <v>59</v>
      </c>
      <c r="F158" s="77">
        <v>45789</v>
      </c>
      <c r="G158" s="101" t="s">
        <v>90</v>
      </c>
      <c r="H158" s="151"/>
    </row>
    <row r="159" spans="2:8" s="39" customFormat="1" ht="30" customHeight="1" thickBot="1" x14ac:dyDescent="0.3">
      <c r="B159" s="63" t="s">
        <v>60</v>
      </c>
      <c r="C159" s="123" t="s">
        <v>61</v>
      </c>
      <c r="D159" s="124"/>
      <c r="E159" s="63" t="s">
        <v>62</v>
      </c>
      <c r="F159" s="259" t="s">
        <v>63</v>
      </c>
      <c r="G159" s="260"/>
      <c r="H159" s="151"/>
    </row>
    <row r="160" spans="2:8" s="43" customFormat="1" x14ac:dyDescent="0.3">
      <c r="B160" s="40" t="s">
        <v>79</v>
      </c>
      <c r="C160" s="41">
        <v>12</v>
      </c>
      <c r="D160" s="125" t="str">
        <f xml:space="preserve"> IF(C160="","",setValueToTime(C160))</f>
        <v>1h</v>
      </c>
      <c r="E160" s="46" t="s">
        <v>108</v>
      </c>
      <c r="F160" s="261"/>
      <c r="G160" s="262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93</v>
      </c>
      <c r="F161" s="253"/>
      <c r="G161" s="254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107</v>
      </c>
      <c r="F162" s="253"/>
      <c r="G162" s="254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53"/>
      <c r="G163" s="254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53"/>
      <c r="G164" s="254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53"/>
      <c r="G165" s="254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55"/>
      <c r="G166" s="256"/>
      <c r="H166" s="152"/>
    </row>
    <row r="167" spans="2:8" s="43" customFormat="1" ht="15" thickBot="1" x14ac:dyDescent="0.35">
      <c r="B167" s="86" t="s">
        <v>65</v>
      </c>
      <c r="C167" s="67">
        <f>SUM(C160:C166)</f>
        <v>28</v>
      </c>
      <c r="D167" s="86" t="str">
        <f xml:space="preserve"> setValueToTime(C167)</f>
        <v>2h 20 min</v>
      </c>
      <c r="E167" s="95"/>
      <c r="F167" s="257"/>
      <c r="G167" s="258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58</v>
      </c>
      <c r="C169" s="136">
        <v>13</v>
      </c>
      <c r="D169" s="136"/>
      <c r="E169" s="65" t="s">
        <v>59</v>
      </c>
      <c r="F169" s="77">
        <v>45789</v>
      </c>
      <c r="G169" s="101" t="s">
        <v>85</v>
      </c>
      <c r="H169" s="151"/>
    </row>
    <row r="170" spans="2:8" s="39" customFormat="1" ht="30" customHeight="1" thickBot="1" x14ac:dyDescent="0.3">
      <c r="B170" s="63" t="s">
        <v>60</v>
      </c>
      <c r="C170" s="123" t="s">
        <v>61</v>
      </c>
      <c r="D170" s="124"/>
      <c r="E170" s="63" t="s">
        <v>62</v>
      </c>
      <c r="F170" s="259" t="s">
        <v>63</v>
      </c>
      <c r="G170" s="260"/>
      <c r="H170" s="151"/>
    </row>
    <row r="171" spans="2:8" s="43" customFormat="1" x14ac:dyDescent="0.3">
      <c r="B171" s="44" t="s">
        <v>54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109</v>
      </c>
      <c r="F171" s="261"/>
      <c r="G171" s="262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107</v>
      </c>
      <c r="F172" s="253"/>
      <c r="G172" s="254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53"/>
      <c r="G173" s="254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53"/>
      <c r="G174" s="254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53"/>
      <c r="G175" s="254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53"/>
      <c r="G176" s="254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53"/>
      <c r="G177" s="254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55"/>
      <c r="G178" s="256"/>
      <c r="H178" s="152"/>
    </row>
    <row r="179" spans="2:8" s="43" customFormat="1" ht="15" thickBot="1" x14ac:dyDescent="0.35">
      <c r="B179" s="86" t="s">
        <v>65</v>
      </c>
      <c r="C179" s="67">
        <f>SUM(C171:C178)</f>
        <v>48</v>
      </c>
      <c r="D179" s="86" t="str">
        <f xml:space="preserve"> setValueToTime(C179)</f>
        <v>4h</v>
      </c>
      <c r="E179" s="95"/>
      <c r="F179" s="257"/>
      <c r="G179" s="258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58</v>
      </c>
      <c r="C181" s="136">
        <v>12</v>
      </c>
      <c r="D181" s="136"/>
      <c r="E181" s="65" t="s">
        <v>59</v>
      </c>
      <c r="F181" s="77">
        <v>45786</v>
      </c>
      <c r="G181" s="101" t="s">
        <v>90</v>
      </c>
      <c r="H181" s="151"/>
    </row>
    <row r="182" spans="2:8" s="39" customFormat="1" ht="30" customHeight="1" thickBot="1" x14ac:dyDescent="0.3">
      <c r="B182" s="63" t="s">
        <v>60</v>
      </c>
      <c r="C182" s="123" t="s">
        <v>61</v>
      </c>
      <c r="D182" s="124"/>
      <c r="E182" s="63" t="s">
        <v>62</v>
      </c>
      <c r="F182" s="259" t="s">
        <v>63</v>
      </c>
      <c r="G182" s="260"/>
      <c r="H182" s="151"/>
    </row>
    <row r="183" spans="2:8" s="43" customFormat="1" x14ac:dyDescent="0.3">
      <c r="B183" s="40" t="s">
        <v>74</v>
      </c>
      <c r="C183" s="41">
        <v>18</v>
      </c>
      <c r="D183" s="125" t="str">
        <f xml:space="preserve"> IF(C183="","",setValueToTime(C183))</f>
        <v>1h 30 min</v>
      </c>
      <c r="E183" s="46" t="s">
        <v>102</v>
      </c>
      <c r="F183" s="261"/>
      <c r="G183" s="262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93</v>
      </c>
      <c r="F184" s="253"/>
      <c r="G184" s="254"/>
      <c r="H184" s="152"/>
    </row>
    <row r="185" spans="2:8" s="43" customFormat="1" x14ac:dyDescent="0.3">
      <c r="B185" s="44" t="s">
        <v>54</v>
      </c>
      <c r="C185" s="45">
        <v>18</v>
      </c>
      <c r="D185" s="126" t="str">
        <f t="shared" ref="D185:D190" si="30" xml:space="preserve"> IF(C185="","",setValueToTime(C185))</f>
        <v>1h 30 min</v>
      </c>
      <c r="E185" s="46" t="s">
        <v>109</v>
      </c>
      <c r="F185" s="253"/>
      <c r="G185" s="254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53"/>
      <c r="G186" s="254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53"/>
      <c r="G187" s="254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53"/>
      <c r="G188" s="254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53"/>
      <c r="G189" s="254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55"/>
      <c r="G190" s="256"/>
      <c r="H190" s="152"/>
    </row>
    <row r="191" spans="2:8" s="43" customFormat="1" ht="15" thickBot="1" x14ac:dyDescent="0.35">
      <c r="B191" s="86" t="s">
        <v>65</v>
      </c>
      <c r="C191" s="67">
        <f>SUM(C183:C190)</f>
        <v>38</v>
      </c>
      <c r="D191" s="86" t="str">
        <f xml:space="preserve"> setValueToTime(C191)</f>
        <v>3h 10 min</v>
      </c>
      <c r="E191" s="95"/>
      <c r="F191" s="257"/>
      <c r="G191" s="258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58</v>
      </c>
      <c r="C193" s="136">
        <v>11</v>
      </c>
      <c r="D193" s="136"/>
      <c r="E193" s="65" t="s">
        <v>59</v>
      </c>
      <c r="F193" s="77">
        <v>45786</v>
      </c>
      <c r="G193" s="101" t="s">
        <v>85</v>
      </c>
      <c r="H193" s="151"/>
    </row>
    <row r="194" spans="2:8" s="39" customFormat="1" ht="30" customHeight="1" thickBot="1" x14ac:dyDescent="0.3">
      <c r="B194" s="63" t="s">
        <v>60</v>
      </c>
      <c r="C194" s="123" t="s">
        <v>61</v>
      </c>
      <c r="D194" s="124"/>
      <c r="E194" s="63" t="s">
        <v>62</v>
      </c>
      <c r="F194" s="259" t="s">
        <v>63</v>
      </c>
      <c r="G194" s="260"/>
      <c r="H194" s="151"/>
    </row>
    <row r="195" spans="2:8" s="43" customFormat="1" x14ac:dyDescent="0.3">
      <c r="B195" s="40" t="s">
        <v>74</v>
      </c>
      <c r="C195" s="41">
        <v>24</v>
      </c>
      <c r="D195" s="125" t="str">
        <f xml:space="preserve"> IF(C195="","",setValueToTime(C195))</f>
        <v>2h</v>
      </c>
      <c r="E195" s="46" t="s">
        <v>102</v>
      </c>
      <c r="F195" s="261"/>
      <c r="G195" s="262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107</v>
      </c>
      <c r="F196" s="253"/>
      <c r="G196" s="254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53"/>
      <c r="G197" s="254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53"/>
      <c r="G198" s="254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53"/>
      <c r="G199" s="254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53"/>
      <c r="G200" s="254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53"/>
      <c r="G201" s="254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55"/>
      <c r="G202" s="256"/>
      <c r="H202" s="152"/>
    </row>
    <row r="203" spans="2:8" s="43" customFormat="1" ht="15" thickBot="1" x14ac:dyDescent="0.35">
      <c r="B203" s="86" t="s">
        <v>65</v>
      </c>
      <c r="C203" s="67">
        <f>SUM(C195:C202)</f>
        <v>48</v>
      </c>
      <c r="D203" s="86" t="str">
        <f xml:space="preserve"> setValueToTime(C203)</f>
        <v>4h</v>
      </c>
      <c r="E203" s="95"/>
      <c r="F203" s="257"/>
      <c r="G203" s="258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58</v>
      </c>
      <c r="C205" s="136">
        <v>10</v>
      </c>
      <c r="D205" s="136"/>
      <c r="E205" s="65" t="s">
        <v>59</v>
      </c>
      <c r="F205" s="77">
        <v>45785</v>
      </c>
      <c r="G205" s="101" t="s">
        <v>90</v>
      </c>
      <c r="H205" s="151"/>
    </row>
    <row r="206" spans="2:8" s="39" customFormat="1" ht="30" customHeight="1" thickBot="1" x14ac:dyDescent="0.3">
      <c r="B206" s="63" t="s">
        <v>60</v>
      </c>
      <c r="C206" s="123" t="s">
        <v>61</v>
      </c>
      <c r="D206" s="124"/>
      <c r="E206" s="63" t="s">
        <v>62</v>
      </c>
      <c r="F206" s="259" t="s">
        <v>63</v>
      </c>
      <c r="G206" s="260"/>
      <c r="H206" s="151"/>
    </row>
    <row r="207" spans="2:8" s="43" customFormat="1" x14ac:dyDescent="0.3">
      <c r="B207" s="44" t="s">
        <v>105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106</v>
      </c>
      <c r="F207" s="261"/>
      <c r="G207" s="262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93</v>
      </c>
      <c r="F208" s="253"/>
      <c r="G208" s="254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101</v>
      </c>
      <c r="F209" s="253"/>
      <c r="G209" s="254"/>
      <c r="H209" s="152"/>
    </row>
    <row r="210" spans="2:8" s="43" customFormat="1" x14ac:dyDescent="0.3">
      <c r="B210" s="44"/>
      <c r="C210" s="45"/>
      <c r="D210" s="126" t="str">
        <f t="shared" ref="D210:D214" si="33" xml:space="preserve"> IF(C210="","",setValueToTime(C210))</f>
        <v/>
      </c>
      <c r="E210" s="46"/>
      <c r="F210" s="253"/>
      <c r="G210" s="254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53"/>
      <c r="G211" s="254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53"/>
      <c r="G212" s="254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53"/>
      <c r="G213" s="254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55"/>
      <c r="G214" s="256"/>
      <c r="H214" s="152"/>
    </row>
    <row r="215" spans="2:8" s="43" customFormat="1" ht="15" thickBot="1" x14ac:dyDescent="0.35">
      <c r="B215" s="86" t="s">
        <v>65</v>
      </c>
      <c r="C215" s="67">
        <f>SUM(C207:C214)</f>
        <v>38</v>
      </c>
      <c r="D215" s="86" t="str">
        <f xml:space="preserve"> setValueToTime(C215)</f>
        <v>3h 10 min</v>
      </c>
      <c r="E215" s="95"/>
      <c r="F215" s="257"/>
      <c r="G215" s="258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58</v>
      </c>
      <c r="C217" s="136">
        <v>9</v>
      </c>
      <c r="D217" s="136"/>
      <c r="E217" s="65" t="s">
        <v>59</v>
      </c>
      <c r="F217" s="77">
        <v>45784</v>
      </c>
      <c r="G217" s="101" t="s">
        <v>90</v>
      </c>
      <c r="H217" s="151"/>
    </row>
    <row r="218" spans="2:8" s="39" customFormat="1" ht="30" customHeight="1" thickBot="1" x14ac:dyDescent="0.3">
      <c r="B218" s="63" t="s">
        <v>60</v>
      </c>
      <c r="C218" s="123" t="s">
        <v>61</v>
      </c>
      <c r="D218" s="124"/>
      <c r="E218" s="63" t="s">
        <v>62</v>
      </c>
      <c r="F218" s="259" t="s">
        <v>63</v>
      </c>
      <c r="G218" s="260"/>
      <c r="H218" s="151"/>
    </row>
    <row r="219" spans="2:8" s="43" customFormat="1" x14ac:dyDescent="0.3">
      <c r="B219" s="44" t="s">
        <v>81</v>
      </c>
      <c r="C219" s="45">
        <v>18</v>
      </c>
      <c r="D219" s="126" t="str">
        <f t="shared" ref="D219:D220" si="34" xml:space="preserve"> IF(C219="","",setValueToTime(C219))</f>
        <v>1h 30 min</v>
      </c>
      <c r="E219" s="211" t="s">
        <v>155</v>
      </c>
      <c r="F219" s="261"/>
      <c r="G219" s="262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93</v>
      </c>
      <c r="F220" s="253"/>
      <c r="G220" s="254"/>
      <c r="H220" s="152"/>
    </row>
    <row r="221" spans="2:8" s="43" customFormat="1" x14ac:dyDescent="0.3">
      <c r="B221" s="44" t="s">
        <v>105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106</v>
      </c>
      <c r="F221" s="253"/>
      <c r="G221" s="254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53"/>
      <c r="G222" s="254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53"/>
      <c r="G223" s="254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53"/>
      <c r="G224" s="254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53"/>
      <c r="G225" s="254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55"/>
      <c r="G226" s="256"/>
      <c r="H226" s="152"/>
    </row>
    <row r="227" spans="2:8" s="43" customFormat="1" ht="15" thickBot="1" x14ac:dyDescent="0.35">
      <c r="B227" s="86" t="s">
        <v>65</v>
      </c>
      <c r="C227" s="67">
        <f>SUM(C219:C226)</f>
        <v>38</v>
      </c>
      <c r="D227" s="86" t="str">
        <f xml:space="preserve"> setValueToTime(C227)</f>
        <v>3h 10 min</v>
      </c>
      <c r="E227" s="95"/>
      <c r="F227" s="257"/>
      <c r="G227" s="258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58</v>
      </c>
      <c r="C229" s="136">
        <v>8</v>
      </c>
      <c r="D229" s="136"/>
      <c r="E229" s="65" t="s">
        <v>59</v>
      </c>
      <c r="F229" s="77">
        <v>45784</v>
      </c>
      <c r="G229" s="101" t="s">
        <v>85</v>
      </c>
      <c r="H229" s="151"/>
    </row>
    <row r="230" spans="2:8" s="39" customFormat="1" ht="30" customHeight="1" thickBot="1" x14ac:dyDescent="0.3">
      <c r="B230" s="63" t="s">
        <v>60</v>
      </c>
      <c r="C230" s="123" t="s">
        <v>61</v>
      </c>
      <c r="D230" s="124"/>
      <c r="E230" s="63" t="s">
        <v>62</v>
      </c>
      <c r="F230" s="259" t="s">
        <v>63</v>
      </c>
      <c r="G230" s="260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101</v>
      </c>
      <c r="F231" s="261"/>
      <c r="G231" s="262"/>
      <c r="H231" s="152"/>
    </row>
    <row r="232" spans="2:8" s="43" customFormat="1" x14ac:dyDescent="0.3">
      <c r="B232" s="44" t="s">
        <v>81</v>
      </c>
      <c r="C232" s="45">
        <v>24</v>
      </c>
      <c r="D232" s="126" t="str">
        <f t="shared" ref="D232:D238" si="36" xml:space="preserve"> IF(C232="","",setValueToTime(C232))</f>
        <v>2h</v>
      </c>
      <c r="E232" s="211" t="s">
        <v>155</v>
      </c>
      <c r="F232" s="253"/>
      <c r="G232" s="254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53"/>
      <c r="G233" s="254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53"/>
      <c r="G234" s="254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53"/>
      <c r="G235" s="254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53"/>
      <c r="G236" s="254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53"/>
      <c r="G237" s="254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55"/>
      <c r="G238" s="256"/>
      <c r="H238" s="152"/>
    </row>
    <row r="239" spans="2:8" s="43" customFormat="1" ht="15" thickBot="1" x14ac:dyDescent="0.35">
      <c r="B239" s="86" t="s">
        <v>65</v>
      </c>
      <c r="C239" s="67">
        <f>SUM(C231:C238)</f>
        <v>48</v>
      </c>
      <c r="D239" s="86" t="str">
        <f xml:space="preserve"> setValueToTime(C239)</f>
        <v>4h</v>
      </c>
      <c r="E239" s="95"/>
      <c r="F239" s="257"/>
      <c r="G239" s="258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58</v>
      </c>
      <c r="C241" s="136">
        <v>7</v>
      </c>
      <c r="D241" s="136"/>
      <c r="E241" s="65" t="s">
        <v>59</v>
      </c>
      <c r="F241" s="77">
        <v>45782</v>
      </c>
      <c r="G241" s="101" t="s">
        <v>90</v>
      </c>
      <c r="H241" s="151"/>
    </row>
    <row r="242" spans="2:8" s="39" customFormat="1" ht="30" customHeight="1" thickBot="1" x14ac:dyDescent="0.3">
      <c r="B242" s="63" t="s">
        <v>60</v>
      </c>
      <c r="C242" s="123" t="s">
        <v>61</v>
      </c>
      <c r="D242" s="124"/>
      <c r="E242" s="63" t="s">
        <v>62</v>
      </c>
      <c r="F242" s="259" t="s">
        <v>63</v>
      </c>
      <c r="G242" s="260"/>
      <c r="H242" s="151"/>
    </row>
    <row r="243" spans="2:8" s="43" customFormat="1" x14ac:dyDescent="0.3">
      <c r="B243" s="44" t="s">
        <v>82</v>
      </c>
      <c r="C243" s="41">
        <v>13</v>
      </c>
      <c r="D243" s="125" t="str">
        <f xml:space="preserve"> IF(C243="","",setValueToTime(C243))</f>
        <v>1h 5 min</v>
      </c>
      <c r="E243" s="46" t="s">
        <v>97</v>
      </c>
      <c r="F243" s="261"/>
      <c r="G243" s="262"/>
      <c r="H243" s="152"/>
    </row>
    <row r="244" spans="2:8" s="43" customFormat="1" x14ac:dyDescent="0.3">
      <c r="B244" s="44" t="s">
        <v>87</v>
      </c>
      <c r="C244" s="45">
        <v>13</v>
      </c>
      <c r="D244" s="126" t="str">
        <f t="shared" ref="D244:D250" si="37" xml:space="preserve"> IF(C244="","",setValueToTime(C244))</f>
        <v>1h 5 min</v>
      </c>
      <c r="E244" s="211" t="s">
        <v>156</v>
      </c>
      <c r="F244" s="253"/>
      <c r="G244" s="254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93</v>
      </c>
      <c r="F245" s="253"/>
      <c r="G245" s="254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53"/>
      <c r="G246" s="254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53"/>
      <c r="G247" s="254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53"/>
      <c r="G248" s="254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53"/>
      <c r="G249" s="254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55"/>
      <c r="G250" s="256"/>
      <c r="H250" s="152"/>
    </row>
    <row r="251" spans="2:8" s="43" customFormat="1" ht="15" thickBot="1" x14ac:dyDescent="0.35">
      <c r="B251" s="86" t="s">
        <v>65</v>
      </c>
      <c r="C251" s="67">
        <f>SUM(C243:C250)</f>
        <v>28</v>
      </c>
      <c r="D251" s="86" t="str">
        <f xml:space="preserve"> setValueToTime(C251)</f>
        <v>2h 20 min</v>
      </c>
      <c r="E251" s="95"/>
      <c r="F251" s="257"/>
      <c r="G251" s="258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58</v>
      </c>
      <c r="C253" s="136">
        <v>6</v>
      </c>
      <c r="D253" s="136"/>
      <c r="E253" s="65" t="s">
        <v>59</v>
      </c>
      <c r="F253" s="77">
        <v>45782</v>
      </c>
      <c r="G253" s="101" t="s">
        <v>85</v>
      </c>
      <c r="H253" s="151"/>
    </row>
    <row r="254" spans="2:8" s="39" customFormat="1" ht="30" customHeight="1" thickBot="1" x14ac:dyDescent="0.3">
      <c r="B254" s="63" t="s">
        <v>60</v>
      </c>
      <c r="C254" s="123" t="s">
        <v>61</v>
      </c>
      <c r="D254" s="124"/>
      <c r="E254" s="63" t="s">
        <v>62</v>
      </c>
      <c r="F254" s="259" t="s">
        <v>63</v>
      </c>
      <c r="G254" s="260"/>
      <c r="H254" s="151"/>
    </row>
    <row r="255" spans="2:8" s="43" customFormat="1" x14ac:dyDescent="0.3">
      <c r="B255" s="44" t="s">
        <v>82</v>
      </c>
      <c r="C255" s="45">
        <v>38</v>
      </c>
      <c r="D255" s="126" t="str">
        <f xml:space="preserve"> IF(C255="","",setValueToTime(C255))</f>
        <v>3h 10 min</v>
      </c>
      <c r="E255" s="46" t="s">
        <v>97</v>
      </c>
      <c r="F255" s="261"/>
      <c r="G255" s="262"/>
      <c r="H255" s="152"/>
    </row>
    <row r="256" spans="2:8" s="43" customFormat="1" x14ac:dyDescent="0.3">
      <c r="B256" s="44"/>
      <c r="C256" s="45"/>
      <c r="D256" s="126"/>
      <c r="E256" s="46"/>
      <c r="F256" s="253"/>
      <c r="G256" s="254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53"/>
      <c r="G257" s="254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53"/>
      <c r="G258" s="254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53"/>
      <c r="G259" s="254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53"/>
      <c r="G260" s="254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53"/>
      <c r="G261" s="254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55"/>
      <c r="G262" s="256"/>
      <c r="H262" s="152"/>
    </row>
    <row r="263" spans="2:8" s="43" customFormat="1" ht="15" thickBot="1" x14ac:dyDescent="0.35">
      <c r="B263" s="86" t="s">
        <v>65</v>
      </c>
      <c r="C263" s="67">
        <f>SUM(C255:C262)</f>
        <v>38</v>
      </c>
      <c r="D263" s="86" t="str">
        <f xml:space="preserve"> setValueToTime(C263)</f>
        <v>3h 10 min</v>
      </c>
      <c r="E263" s="95"/>
      <c r="F263" s="257"/>
      <c r="G263" s="258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58</v>
      </c>
      <c r="C265" s="136">
        <v>5</v>
      </c>
      <c r="D265" s="136"/>
      <c r="E265" s="65" t="s">
        <v>59</v>
      </c>
      <c r="F265" s="77">
        <v>45779</v>
      </c>
      <c r="G265" s="101" t="s">
        <v>90</v>
      </c>
      <c r="H265" s="151"/>
    </row>
    <row r="266" spans="2:8" s="39" customFormat="1" ht="30" customHeight="1" thickBot="1" x14ac:dyDescent="0.3">
      <c r="B266" s="63" t="s">
        <v>60</v>
      </c>
      <c r="C266" s="123" t="s">
        <v>61</v>
      </c>
      <c r="D266" s="124"/>
      <c r="E266" s="63" t="s">
        <v>62</v>
      </c>
      <c r="F266" s="259" t="s">
        <v>63</v>
      </c>
      <c r="G266" s="260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93</v>
      </c>
      <c r="F267" s="261"/>
      <c r="G267" s="262"/>
      <c r="H267" s="152"/>
    </row>
    <row r="268" spans="2:8" s="43" customFormat="1" x14ac:dyDescent="0.3">
      <c r="B268" s="44" t="s">
        <v>82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97</v>
      </c>
      <c r="F268" s="253"/>
      <c r="G268" s="254"/>
      <c r="H268" s="152"/>
    </row>
    <row r="269" spans="2:8" s="43" customFormat="1" ht="27" x14ac:dyDescent="0.3">
      <c r="B269" s="44" t="s">
        <v>92</v>
      </c>
      <c r="C269" s="45">
        <v>24</v>
      </c>
      <c r="D269" s="126" t="str">
        <f xml:space="preserve"> IF(C269="","",setValueToTime(C269))</f>
        <v>2h</v>
      </c>
      <c r="E269" s="46" t="s">
        <v>100</v>
      </c>
      <c r="F269" s="253"/>
      <c r="G269" s="254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53"/>
      <c r="G270" s="254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53"/>
      <c r="G271" s="254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53"/>
      <c r="G272" s="254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53"/>
      <c r="G273" s="254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55"/>
      <c r="G274" s="256"/>
      <c r="H274" s="152"/>
    </row>
    <row r="275" spans="2:8" s="43" customFormat="1" ht="15" thickBot="1" x14ac:dyDescent="0.35">
      <c r="B275" s="86" t="s">
        <v>65</v>
      </c>
      <c r="C275" s="67">
        <f>SUM(C267:C274)</f>
        <v>38</v>
      </c>
      <c r="D275" s="86" t="str">
        <f xml:space="preserve"> setValueToTime(C275)</f>
        <v>3h 10 min</v>
      </c>
      <c r="E275" s="95"/>
      <c r="F275" s="257"/>
      <c r="G275" s="258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58</v>
      </c>
      <c r="C277" s="136">
        <v>4</v>
      </c>
      <c r="D277" s="136"/>
      <c r="E277" s="65" t="s">
        <v>59</v>
      </c>
      <c r="F277" s="77">
        <v>45779</v>
      </c>
      <c r="G277" s="101" t="s">
        <v>85</v>
      </c>
      <c r="H277" s="151"/>
    </row>
    <row r="278" spans="2:8" s="39" customFormat="1" ht="30" customHeight="1" thickBot="1" x14ac:dyDescent="0.3">
      <c r="B278" s="63" t="s">
        <v>60</v>
      </c>
      <c r="C278" s="123" t="s">
        <v>61</v>
      </c>
      <c r="D278" s="124"/>
      <c r="E278" s="63" t="s">
        <v>62</v>
      </c>
      <c r="F278" s="259" t="s">
        <v>63</v>
      </c>
      <c r="G278" s="260"/>
      <c r="H278" s="151"/>
    </row>
    <row r="279" spans="2:8" s="43" customFormat="1" x14ac:dyDescent="0.3">
      <c r="B279" s="40" t="s">
        <v>72</v>
      </c>
      <c r="C279" s="41">
        <v>28</v>
      </c>
      <c r="D279" s="125" t="str">
        <f xml:space="preserve"> IF(C279="","",setValueToTime(C279))</f>
        <v>2h 20 min</v>
      </c>
      <c r="E279" s="42" t="s">
        <v>95</v>
      </c>
      <c r="F279" s="261"/>
      <c r="G279" s="262"/>
      <c r="H279" s="152"/>
    </row>
    <row r="280" spans="2:8" s="43" customFormat="1" ht="27" x14ac:dyDescent="0.3">
      <c r="B280" s="44" t="s">
        <v>92</v>
      </c>
      <c r="C280" s="45">
        <v>20</v>
      </c>
      <c r="D280" s="126" t="str">
        <f xml:space="preserve"> IF(C280="","",setValueToTime(C280))</f>
        <v>1h 40 min</v>
      </c>
      <c r="E280" s="46" t="s">
        <v>100</v>
      </c>
      <c r="F280" s="253"/>
      <c r="G280" s="254"/>
      <c r="H280" s="152"/>
    </row>
    <row r="281" spans="2:8" s="43" customFormat="1" x14ac:dyDescent="0.3">
      <c r="B281" s="44"/>
      <c r="C281" s="45"/>
      <c r="D281" s="126"/>
      <c r="E281" s="46"/>
      <c r="F281" s="253"/>
      <c r="G281" s="254"/>
      <c r="H281" s="152"/>
    </row>
    <row r="282" spans="2:8" s="43" customFormat="1" x14ac:dyDescent="0.3">
      <c r="B282" s="44"/>
      <c r="C282" s="45"/>
      <c r="D282" s="126" t="str">
        <f t="shared" ref="D282:D286" si="41" xml:space="preserve"> IF(C282="","",setValueToTime(C282))</f>
        <v/>
      </c>
      <c r="E282" s="46"/>
      <c r="F282" s="253"/>
      <c r="G282" s="254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53"/>
      <c r="G283" s="254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53"/>
      <c r="G284" s="254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53"/>
      <c r="G285" s="254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55"/>
      <c r="G286" s="256"/>
      <c r="H286" s="152"/>
    </row>
    <row r="287" spans="2:8" s="43" customFormat="1" ht="15" thickBot="1" x14ac:dyDescent="0.35">
      <c r="B287" s="86" t="s">
        <v>65</v>
      </c>
      <c r="C287" s="67">
        <f>SUM(C279:C286)</f>
        <v>48</v>
      </c>
      <c r="D287" s="86" t="str">
        <f xml:space="preserve"> setValueToTime(C287)</f>
        <v>4h</v>
      </c>
      <c r="E287" s="95"/>
      <c r="F287" s="257"/>
      <c r="G287" s="258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58</v>
      </c>
      <c r="C289" s="136">
        <v>3</v>
      </c>
      <c r="D289" s="136"/>
      <c r="E289" s="65" t="s">
        <v>59</v>
      </c>
      <c r="F289" s="77">
        <v>45778</v>
      </c>
      <c r="G289" s="101" t="s">
        <v>90</v>
      </c>
      <c r="H289" s="151"/>
    </row>
    <row r="290" spans="2:8" s="39" customFormat="1" ht="30" customHeight="1" thickBot="1" x14ac:dyDescent="0.3">
      <c r="B290" s="63" t="s">
        <v>60</v>
      </c>
      <c r="C290" s="123" t="s">
        <v>61</v>
      </c>
      <c r="D290" s="124"/>
      <c r="E290" s="63" t="s">
        <v>62</v>
      </c>
      <c r="F290" s="259" t="s">
        <v>63</v>
      </c>
      <c r="G290" s="260"/>
      <c r="H290" s="151"/>
    </row>
    <row r="291" spans="2:8" s="43" customFormat="1" x14ac:dyDescent="0.3">
      <c r="B291" s="40" t="s">
        <v>72</v>
      </c>
      <c r="C291" s="41">
        <v>26</v>
      </c>
      <c r="D291" s="125" t="str">
        <f xml:space="preserve"> IF(C291="","",setValueToTime(C291))</f>
        <v>2h 10 min</v>
      </c>
      <c r="E291" s="42" t="s">
        <v>94</v>
      </c>
      <c r="F291" s="261"/>
      <c r="G291" s="262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93</v>
      </c>
      <c r="F292" s="253"/>
      <c r="G292" s="254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135</v>
      </c>
      <c r="F293" s="253"/>
      <c r="G293" s="254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53"/>
      <c r="G294" s="254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53"/>
      <c r="G295" s="254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53"/>
      <c r="G296" s="254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53"/>
      <c r="G297" s="254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55"/>
      <c r="G298" s="256"/>
      <c r="H298" s="152"/>
    </row>
    <row r="299" spans="2:8" s="43" customFormat="1" ht="15" thickBot="1" x14ac:dyDescent="0.35">
      <c r="B299" s="86" t="s">
        <v>65</v>
      </c>
      <c r="C299" s="67">
        <f>SUM(C291:C298)</f>
        <v>38</v>
      </c>
      <c r="D299" s="86" t="str">
        <f xml:space="preserve"> setValueToTime(C299)</f>
        <v>3h 10 min</v>
      </c>
      <c r="E299" s="95"/>
      <c r="F299" s="257"/>
      <c r="G299" s="258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58</v>
      </c>
      <c r="C301" s="136">
        <v>2</v>
      </c>
      <c r="D301" s="136"/>
      <c r="E301" s="65" t="s">
        <v>59</v>
      </c>
      <c r="F301" s="77">
        <v>45777</v>
      </c>
      <c r="G301" s="101" t="s">
        <v>90</v>
      </c>
      <c r="H301" s="151"/>
    </row>
    <row r="302" spans="2:8" s="39" customFormat="1" ht="30" customHeight="1" thickBot="1" x14ac:dyDescent="0.3">
      <c r="B302" s="63" t="s">
        <v>60</v>
      </c>
      <c r="C302" s="123" t="s">
        <v>61</v>
      </c>
      <c r="D302" s="124"/>
      <c r="E302" s="63" t="s">
        <v>62</v>
      </c>
      <c r="F302" s="259" t="s">
        <v>63</v>
      </c>
      <c r="G302" s="260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89</v>
      </c>
      <c r="F303" s="261"/>
      <c r="G303" s="262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93</v>
      </c>
      <c r="F304" s="253"/>
      <c r="G304" s="254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53"/>
      <c r="G305" s="254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53"/>
      <c r="G306" s="254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53"/>
      <c r="G307" s="254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53"/>
      <c r="G308" s="254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53"/>
      <c r="G309" s="254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55"/>
      <c r="G310" s="256"/>
      <c r="H310" s="152"/>
    </row>
    <row r="311" spans="2:8" s="43" customFormat="1" ht="15" thickBot="1" x14ac:dyDescent="0.35">
      <c r="B311" s="86" t="s">
        <v>65</v>
      </c>
      <c r="C311" s="67">
        <f>SUM(C303:C310)</f>
        <v>38</v>
      </c>
      <c r="D311" s="86" t="str">
        <f xml:space="preserve"> setValueToTime(C311)</f>
        <v>3h 10 min</v>
      </c>
      <c r="E311" s="95"/>
      <c r="F311" s="257"/>
      <c r="G311" s="258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58</v>
      </c>
      <c r="C313" s="136">
        <v>1</v>
      </c>
      <c r="D313" s="136"/>
      <c r="E313" s="65" t="s">
        <v>59</v>
      </c>
      <c r="F313" s="77">
        <v>45777</v>
      </c>
      <c r="G313" s="101" t="s">
        <v>85</v>
      </c>
      <c r="H313" s="151"/>
    </row>
    <row r="314" spans="2:8" s="39" customFormat="1" ht="30" customHeight="1" thickBot="1" x14ac:dyDescent="0.3">
      <c r="B314" s="63" t="s">
        <v>60</v>
      </c>
      <c r="C314" s="123" t="s">
        <v>61</v>
      </c>
      <c r="D314" s="124"/>
      <c r="E314" s="63" t="s">
        <v>62</v>
      </c>
      <c r="F314" s="259" t="s">
        <v>63</v>
      </c>
      <c r="G314" s="260"/>
      <c r="H314" s="151"/>
    </row>
    <row r="315" spans="2:8" s="43" customFormat="1" ht="15" thickBot="1" x14ac:dyDescent="0.35">
      <c r="B315" s="40" t="s">
        <v>71</v>
      </c>
      <c r="C315" s="41">
        <v>19</v>
      </c>
      <c r="D315" s="125" t="str">
        <f t="shared" ref="D315:D322" si="44" xml:space="preserve"> IF(C315="","",setValueToTime(C315))</f>
        <v>1h 35 min</v>
      </c>
      <c r="E315" s="42" t="s">
        <v>88</v>
      </c>
      <c r="F315" s="261"/>
      <c r="G315" s="262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t="shared" si="44"/>
        <v>2h 25 min</v>
      </c>
      <c r="E316" s="46" t="s">
        <v>89</v>
      </c>
      <c r="F316" s="253"/>
      <c r="G316" s="254"/>
      <c r="H316" s="152"/>
    </row>
    <row r="317" spans="2:8" s="43" customFormat="1" x14ac:dyDescent="0.3">
      <c r="B317" s="44"/>
      <c r="C317" s="45"/>
      <c r="D317" s="126" t="str">
        <f t="shared" si="44"/>
        <v/>
      </c>
      <c r="E317" s="46"/>
      <c r="F317" s="253"/>
      <c r="G317" s="254"/>
      <c r="H317" s="152"/>
    </row>
    <row r="318" spans="2:8" s="43" customFormat="1" x14ac:dyDescent="0.3">
      <c r="B318" s="44"/>
      <c r="C318" s="45"/>
      <c r="D318" s="126" t="str">
        <f t="shared" si="44"/>
        <v/>
      </c>
      <c r="E318" s="46"/>
      <c r="F318" s="253"/>
      <c r="G318" s="254"/>
      <c r="H318" s="152"/>
    </row>
    <row r="319" spans="2:8" s="43" customFormat="1" x14ac:dyDescent="0.3">
      <c r="B319" s="44"/>
      <c r="C319" s="45"/>
      <c r="D319" s="127" t="str">
        <f t="shared" si="44"/>
        <v/>
      </c>
      <c r="E319" s="46"/>
      <c r="F319" s="253"/>
      <c r="G319" s="254"/>
      <c r="H319" s="152"/>
    </row>
    <row r="320" spans="2:8" s="43" customFormat="1" x14ac:dyDescent="0.3">
      <c r="B320" s="44"/>
      <c r="C320" s="45"/>
      <c r="D320" s="127" t="str">
        <f t="shared" si="44"/>
        <v/>
      </c>
      <c r="E320" s="46"/>
      <c r="F320" s="253"/>
      <c r="G320" s="254"/>
      <c r="H320" s="152"/>
    </row>
    <row r="321" spans="2:8" s="43" customFormat="1" x14ac:dyDescent="0.3">
      <c r="B321" s="44"/>
      <c r="C321" s="45"/>
      <c r="D321" s="127" t="str">
        <f t="shared" si="44"/>
        <v/>
      </c>
      <c r="E321" s="46"/>
      <c r="F321" s="253"/>
      <c r="G321" s="254"/>
      <c r="H321" s="152"/>
    </row>
    <row r="322" spans="2:8" s="43" customFormat="1" ht="15" thickBot="1" x14ac:dyDescent="0.35">
      <c r="B322" s="44"/>
      <c r="C322" s="47"/>
      <c r="D322" s="128" t="str">
        <f t="shared" si="44"/>
        <v/>
      </c>
      <c r="E322" s="48"/>
      <c r="F322" s="255"/>
      <c r="G322" s="256"/>
      <c r="H322" s="152"/>
    </row>
    <row r="323" spans="2:8" s="43" customFormat="1" ht="15" thickBot="1" x14ac:dyDescent="0.35">
      <c r="B323" s="86" t="s">
        <v>65</v>
      </c>
      <c r="C323" s="67">
        <f>SUM(C315:C322)</f>
        <v>48</v>
      </c>
      <c r="D323" s="86" t="str">
        <f xml:space="preserve"> setValueToTime(C323)</f>
        <v>4h</v>
      </c>
      <c r="E323" s="95"/>
      <c r="F323" s="257"/>
      <c r="G323" s="258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</mergeCells>
  <phoneticPr fontId="0" type="noConversion"/>
  <conditionalFormatting sqref="C323">
    <cfRule type="cellIs" dxfId="38" priority="27" operator="greaterThan">
      <formula>60</formula>
    </cfRule>
  </conditionalFormatting>
  <conditionalFormatting sqref="C311">
    <cfRule type="cellIs" dxfId="37" priority="26" operator="greaterThan">
      <formula>60</formula>
    </cfRule>
  </conditionalFormatting>
  <conditionalFormatting sqref="C299">
    <cfRule type="cellIs" dxfId="36" priority="25" operator="greaterThan">
      <formula>60</formula>
    </cfRule>
  </conditionalFormatting>
  <conditionalFormatting sqref="C287">
    <cfRule type="cellIs" dxfId="35" priority="24" operator="greaterThan">
      <formula>60</formula>
    </cfRule>
  </conditionalFormatting>
  <conditionalFormatting sqref="C275">
    <cfRule type="cellIs" dxfId="34" priority="23" operator="greaterThan">
      <formula>60</formula>
    </cfRule>
  </conditionalFormatting>
  <conditionalFormatting sqref="C263">
    <cfRule type="cellIs" dxfId="33" priority="22" operator="greaterThan">
      <formula>60</formula>
    </cfRule>
  </conditionalFormatting>
  <conditionalFormatting sqref="C251">
    <cfRule type="cellIs" dxfId="32" priority="21" operator="greaterThan">
      <formula>60</formula>
    </cfRule>
  </conditionalFormatting>
  <conditionalFormatting sqref="C239">
    <cfRule type="cellIs" dxfId="31" priority="20" operator="greaterThan">
      <formula>60</formula>
    </cfRule>
  </conditionalFormatting>
  <conditionalFormatting sqref="C227">
    <cfRule type="cellIs" dxfId="30" priority="19" operator="greaterThan">
      <formula>60</formula>
    </cfRule>
  </conditionalFormatting>
  <conditionalFormatting sqref="C215">
    <cfRule type="cellIs" dxfId="29" priority="18" operator="greaterThan">
      <formula>60</formula>
    </cfRule>
  </conditionalFormatting>
  <conditionalFormatting sqref="C203">
    <cfRule type="cellIs" dxfId="28" priority="17" operator="greaterThan">
      <formula>60</formula>
    </cfRule>
  </conditionalFormatting>
  <conditionalFormatting sqref="C191">
    <cfRule type="cellIs" dxfId="27" priority="16" operator="greaterThan">
      <formula>60</formula>
    </cfRule>
  </conditionalFormatting>
  <conditionalFormatting sqref="C179">
    <cfRule type="cellIs" dxfId="26" priority="15" operator="greaterThan">
      <formula>60</formula>
    </cfRule>
  </conditionalFormatting>
  <conditionalFormatting sqref="C167">
    <cfRule type="cellIs" dxfId="25" priority="14" operator="greaterThan">
      <formula>60</formula>
    </cfRule>
  </conditionalFormatting>
  <conditionalFormatting sqref="C156">
    <cfRule type="cellIs" dxfId="24" priority="13" operator="greaterThan">
      <formula>60</formula>
    </cfRule>
  </conditionalFormatting>
  <conditionalFormatting sqref="C144">
    <cfRule type="cellIs" dxfId="23" priority="12" operator="greaterThan">
      <formula>60</formula>
    </cfRule>
  </conditionalFormatting>
  <conditionalFormatting sqref="C132">
    <cfRule type="cellIs" dxfId="22" priority="11" operator="greaterThan">
      <formula>60</formula>
    </cfRule>
  </conditionalFormatting>
  <conditionalFormatting sqref="C120">
    <cfRule type="cellIs" dxfId="21" priority="10" operator="greaterThan">
      <formula>60</formula>
    </cfRule>
  </conditionalFormatting>
  <conditionalFormatting sqref="C108">
    <cfRule type="cellIs" dxfId="20" priority="9" operator="greaterThan">
      <formula>60</formula>
    </cfRule>
  </conditionalFormatting>
  <conditionalFormatting sqref="C96">
    <cfRule type="cellIs" dxfId="19" priority="8" operator="greaterThan">
      <formula>60</formula>
    </cfRule>
  </conditionalFormatting>
  <conditionalFormatting sqref="C84">
    <cfRule type="cellIs" dxfId="18" priority="7" operator="greaterThan">
      <formula>60</formula>
    </cfRule>
  </conditionalFormatting>
  <conditionalFormatting sqref="C72">
    <cfRule type="cellIs" dxfId="17" priority="6" operator="greaterThan">
      <formula>60</formula>
    </cfRule>
  </conditionalFormatting>
  <conditionalFormatting sqref="C60">
    <cfRule type="cellIs" dxfId="16" priority="5" operator="greaterThan">
      <formula>60</formula>
    </cfRule>
  </conditionalFormatting>
  <conditionalFormatting sqref="C48">
    <cfRule type="cellIs" dxfId="15" priority="4" operator="greaterThan">
      <formula>60</formula>
    </cfRule>
  </conditionalFormatting>
  <conditionalFormatting sqref="C36">
    <cfRule type="cellIs" dxfId="14" priority="3" operator="greaterThan">
      <formula>60</formula>
    </cfRule>
  </conditionalFormatting>
  <conditionalFormatting sqref="C24">
    <cfRule type="cellIs" dxfId="13" priority="2" operator="greaterThan">
      <formula>60</formula>
    </cfRule>
  </conditionalFormatting>
  <conditionalFormatting sqref="C12">
    <cfRule type="cellIs" dxfId="12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21"/>
  <sheetViews>
    <sheetView showGridLines="0" view="pageBreakPreview" zoomScale="98" zoomScaleNormal="85" zoomScaleSheetLayoutView="98" workbookViewId="0">
      <pane ySplit="1" topLeftCell="A2" activePane="bottomLeft" state="frozen"/>
      <selection pane="bottomLeft" activeCell="F20" sqref="F20:G20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58</v>
      </c>
      <c r="C2" s="137">
        <v>10</v>
      </c>
      <c r="D2" s="137"/>
      <c r="E2" s="130" t="s">
        <v>59</v>
      </c>
      <c r="F2" s="131" t="s">
        <v>103</v>
      </c>
      <c r="G2" s="132" t="s">
        <v>90</v>
      </c>
      <c r="H2" s="151"/>
    </row>
    <row r="3" spans="2:8" s="39" customFormat="1" ht="30" customHeight="1" thickBot="1" x14ac:dyDescent="0.3">
      <c r="B3" s="61" t="s">
        <v>60</v>
      </c>
      <c r="C3" s="134" t="s">
        <v>61</v>
      </c>
      <c r="D3" s="133"/>
      <c r="E3" s="61" t="s">
        <v>62</v>
      </c>
      <c r="F3" s="265" t="s">
        <v>63</v>
      </c>
      <c r="G3" s="266"/>
      <c r="H3" s="151"/>
    </row>
    <row r="4" spans="2:8" s="43" customFormat="1" ht="27.75" thickBot="1" x14ac:dyDescent="0.35">
      <c r="B4" s="40" t="s">
        <v>105</v>
      </c>
      <c r="C4" s="41">
        <v>12</v>
      </c>
      <c r="D4" s="125" t="str">
        <f xml:space="preserve"> IF(C4="","",setValueToTime(C4))</f>
        <v>1h</v>
      </c>
      <c r="E4" s="210" t="s">
        <v>161</v>
      </c>
      <c r="F4" s="261"/>
      <c r="G4" s="262"/>
      <c r="H4" s="152"/>
    </row>
    <row r="5" spans="2:8" s="43" customFormat="1" x14ac:dyDescent="0.3">
      <c r="B5" s="40" t="s">
        <v>74</v>
      </c>
      <c r="C5" s="41">
        <v>24</v>
      </c>
      <c r="D5" s="125" t="str">
        <f xml:space="preserve"> IF(C5="","",setValueToTime(C5))</f>
        <v>2h</v>
      </c>
      <c r="E5" s="211" t="s">
        <v>162</v>
      </c>
      <c r="F5" s="253"/>
      <c r="G5" s="254"/>
      <c r="H5" s="152"/>
    </row>
    <row r="6" spans="2:8" s="43" customFormat="1" ht="27" x14ac:dyDescent="0.3">
      <c r="B6" s="44" t="s">
        <v>52</v>
      </c>
      <c r="C6" s="45">
        <v>2</v>
      </c>
      <c r="D6" s="126" t="str">
        <f t="shared" ref="D5:D11" si="0" xml:space="preserve"> IF(C6="","",setValueToTime(C6))</f>
        <v xml:space="preserve"> 10 min</v>
      </c>
      <c r="E6" s="46" t="s">
        <v>93</v>
      </c>
      <c r="F6" s="253"/>
      <c r="G6" s="254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3"/>
      <c r="G10" s="254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5"/>
      <c r="G11" s="256"/>
      <c r="H11" s="152"/>
    </row>
    <row r="12" spans="2:8" s="43" customFormat="1" ht="15" thickBot="1" x14ac:dyDescent="0.35">
      <c r="B12" s="135" t="s">
        <v>65</v>
      </c>
      <c r="C12" s="66">
        <f>SUM(C4:C11)</f>
        <v>38</v>
      </c>
      <c r="D12" s="135" t="str">
        <f xml:space="preserve"> setValueToTime(C12)</f>
        <v>3h 10 min</v>
      </c>
      <c r="E12" s="96"/>
      <c r="F12" s="263"/>
      <c r="G12" s="264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58</v>
      </c>
      <c r="C14" s="137">
        <v>9</v>
      </c>
      <c r="D14" s="137"/>
      <c r="E14" s="130" t="s">
        <v>59</v>
      </c>
      <c r="F14" s="131" t="s">
        <v>104</v>
      </c>
      <c r="G14" s="132" t="s">
        <v>90</v>
      </c>
      <c r="H14" s="151"/>
    </row>
    <row r="15" spans="2:8" s="39" customFormat="1" ht="30" customHeight="1" thickBot="1" x14ac:dyDescent="0.3">
      <c r="B15" s="61" t="s">
        <v>60</v>
      </c>
      <c r="C15" s="134" t="s">
        <v>61</v>
      </c>
      <c r="D15" s="133"/>
      <c r="E15" s="61" t="s">
        <v>62</v>
      </c>
      <c r="F15" s="265" t="s">
        <v>63</v>
      </c>
      <c r="G15" s="266"/>
      <c r="H15" s="151"/>
    </row>
    <row r="16" spans="2:8" s="43" customFormat="1" x14ac:dyDescent="0.3">
      <c r="B16" s="44" t="s">
        <v>81</v>
      </c>
      <c r="C16" s="45">
        <v>8</v>
      </c>
      <c r="D16" s="126" t="str">
        <f t="shared" ref="D16:D18" si="1" xml:space="preserve"> IF(C16="","",setValueToTime(C16))</f>
        <v xml:space="preserve"> 40 min</v>
      </c>
      <c r="E16" s="211" t="s">
        <v>159</v>
      </c>
      <c r="F16" s="261"/>
      <c r="G16" s="262"/>
      <c r="H16" s="152"/>
    </row>
    <row r="17" spans="2:8" s="43" customFormat="1" ht="27" x14ac:dyDescent="0.3">
      <c r="B17" s="44" t="s">
        <v>52</v>
      </c>
      <c r="C17" s="45">
        <v>2</v>
      </c>
      <c r="D17" s="126" t="str">
        <f t="shared" si="1"/>
        <v xml:space="preserve"> 10 min</v>
      </c>
      <c r="E17" s="46" t="s">
        <v>93</v>
      </c>
      <c r="F17" s="253"/>
      <c r="G17" s="254"/>
      <c r="H17" s="152"/>
    </row>
    <row r="18" spans="2:8" s="43" customFormat="1" ht="27" x14ac:dyDescent="0.3">
      <c r="B18" s="44" t="s">
        <v>105</v>
      </c>
      <c r="C18" s="45">
        <v>18</v>
      </c>
      <c r="D18" s="126" t="str">
        <f t="shared" si="1"/>
        <v>1h 30 min</v>
      </c>
      <c r="E18" s="211" t="s">
        <v>158</v>
      </c>
      <c r="F18" s="253"/>
      <c r="G18" s="254"/>
      <c r="H18" s="152"/>
    </row>
    <row r="19" spans="2:8" s="43" customFormat="1" x14ac:dyDescent="0.3">
      <c r="B19" s="44" t="s">
        <v>53</v>
      </c>
      <c r="C19" s="45">
        <v>10</v>
      </c>
      <c r="D19" s="126" t="str">
        <f t="shared" ref="D19:D23" si="2" xml:space="preserve"> IF(C19="","",setValueToTime(C19))</f>
        <v xml:space="preserve"> 50 min</v>
      </c>
      <c r="E19" s="211" t="s">
        <v>160</v>
      </c>
      <c r="F19" s="253"/>
      <c r="G19" s="254"/>
      <c r="H19" s="152"/>
    </row>
    <row r="20" spans="2:8" s="43" customFormat="1" x14ac:dyDescent="0.3">
      <c r="B20" s="45"/>
      <c r="C20" s="45"/>
      <c r="D20" s="127" t="str">
        <f t="shared" si="2"/>
        <v/>
      </c>
      <c r="E20" s="46"/>
      <c r="F20" s="253"/>
      <c r="G20" s="254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/>
      <c r="F21" s="253"/>
      <c r="G21" s="254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53"/>
      <c r="G22" s="254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55"/>
      <c r="G23" s="256"/>
      <c r="H23" s="152"/>
    </row>
    <row r="24" spans="2:8" s="43" customFormat="1" ht="15" thickBot="1" x14ac:dyDescent="0.35">
      <c r="B24" s="135" t="s">
        <v>65</v>
      </c>
      <c r="C24" s="66">
        <f>SUM(C16:C23)</f>
        <v>38</v>
      </c>
      <c r="D24" s="135" t="str">
        <f xml:space="preserve"> setValueToTime(C24)</f>
        <v>3h 10 min</v>
      </c>
      <c r="E24" s="96"/>
      <c r="F24" s="263"/>
      <c r="G24" s="264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58</v>
      </c>
      <c r="C26" s="137">
        <v>8</v>
      </c>
      <c r="D26" s="137"/>
      <c r="E26" s="130" t="s">
        <v>59</v>
      </c>
      <c r="F26" s="131" t="s">
        <v>104</v>
      </c>
      <c r="G26" s="132" t="s">
        <v>85</v>
      </c>
      <c r="H26" s="151"/>
    </row>
    <row r="27" spans="2:8" s="39" customFormat="1" ht="30" customHeight="1" thickBot="1" x14ac:dyDescent="0.3">
      <c r="B27" s="61" t="s">
        <v>60</v>
      </c>
      <c r="C27" s="134" t="s">
        <v>61</v>
      </c>
      <c r="D27" s="133"/>
      <c r="E27" s="61" t="s">
        <v>62</v>
      </c>
      <c r="F27" s="265" t="s">
        <v>63</v>
      </c>
      <c r="G27" s="266"/>
      <c r="H27" s="151"/>
    </row>
    <row r="28" spans="2:8" s="43" customFormat="1" x14ac:dyDescent="0.3">
      <c r="B28" s="40" t="s">
        <v>53</v>
      </c>
      <c r="C28" s="41">
        <v>34</v>
      </c>
      <c r="D28" s="125" t="str">
        <f xml:space="preserve"> IF(C28="","",setValueToTime(C28))</f>
        <v>2h 50 min</v>
      </c>
      <c r="E28" s="210" t="s">
        <v>157</v>
      </c>
      <c r="F28" s="261"/>
      <c r="G28" s="262"/>
      <c r="H28" s="152"/>
    </row>
    <row r="29" spans="2:8" s="43" customFormat="1" x14ac:dyDescent="0.3">
      <c r="B29" s="44" t="s">
        <v>81</v>
      </c>
      <c r="C29" s="45">
        <v>14</v>
      </c>
      <c r="D29" s="126" t="str">
        <f t="shared" ref="D29" si="3" xml:space="preserve"> IF(C29="","",setValueToTime(C29))</f>
        <v>1h 10 min</v>
      </c>
      <c r="E29" s="211" t="s">
        <v>159</v>
      </c>
      <c r="F29" s="253"/>
      <c r="G29" s="254"/>
      <c r="H29" s="152"/>
    </row>
    <row r="30" spans="2:8" s="43" customFormat="1" x14ac:dyDescent="0.3">
      <c r="B30" s="44"/>
      <c r="C30" s="45"/>
      <c r="D30" s="126" t="str">
        <f t="shared" ref="D30:D35" si="4" xml:space="preserve"> IF(C30="","",setValueToTime(C30))</f>
        <v/>
      </c>
      <c r="E30" s="46"/>
      <c r="F30" s="253"/>
      <c r="G30" s="254"/>
      <c r="H30" s="152"/>
    </row>
    <row r="31" spans="2:8" s="43" customFormat="1" x14ac:dyDescent="0.3">
      <c r="B31" s="44"/>
      <c r="C31" s="45"/>
      <c r="D31" s="126" t="str">
        <f t="shared" si="4"/>
        <v/>
      </c>
      <c r="E31" s="46"/>
      <c r="F31" s="253"/>
      <c r="G31" s="254"/>
      <c r="H31" s="152"/>
    </row>
    <row r="32" spans="2:8" s="43" customFormat="1" x14ac:dyDescent="0.3">
      <c r="B32" s="45"/>
      <c r="C32" s="45"/>
      <c r="D32" s="127" t="str">
        <f t="shared" si="4"/>
        <v/>
      </c>
      <c r="E32" s="46"/>
      <c r="F32" s="253"/>
      <c r="G32" s="254"/>
      <c r="H32" s="152"/>
    </row>
    <row r="33" spans="2:8" s="43" customFormat="1" x14ac:dyDescent="0.3">
      <c r="B33" s="45"/>
      <c r="C33" s="45"/>
      <c r="D33" s="127" t="str">
        <f t="shared" si="4"/>
        <v/>
      </c>
      <c r="E33" s="46"/>
      <c r="F33" s="253"/>
      <c r="G33" s="254"/>
      <c r="H33" s="152"/>
    </row>
    <row r="34" spans="2:8" s="43" customFormat="1" x14ac:dyDescent="0.3">
      <c r="B34" s="45"/>
      <c r="C34" s="45"/>
      <c r="D34" s="127" t="str">
        <f t="shared" si="4"/>
        <v/>
      </c>
      <c r="E34" s="46"/>
      <c r="F34" s="253"/>
      <c r="G34" s="254"/>
      <c r="H34" s="152"/>
    </row>
    <row r="35" spans="2:8" s="43" customFormat="1" ht="15" thickBot="1" x14ac:dyDescent="0.35">
      <c r="B35" s="47"/>
      <c r="C35" s="47"/>
      <c r="D35" s="128" t="str">
        <f t="shared" si="4"/>
        <v/>
      </c>
      <c r="E35" s="48"/>
      <c r="F35" s="255"/>
      <c r="G35" s="256"/>
      <c r="H35" s="152"/>
    </row>
    <row r="36" spans="2:8" s="43" customFormat="1" ht="15" thickBot="1" x14ac:dyDescent="0.35">
      <c r="B36" s="135" t="s">
        <v>65</v>
      </c>
      <c r="C36" s="66">
        <f>SUM(C28:C35)</f>
        <v>48</v>
      </c>
      <c r="D36" s="135" t="str">
        <f xml:space="preserve"> setValueToTime(C36)</f>
        <v>4h</v>
      </c>
      <c r="E36" s="96"/>
      <c r="F36" s="263"/>
      <c r="G36" s="264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58</v>
      </c>
      <c r="C38" s="137">
        <v>7</v>
      </c>
      <c r="D38" s="137"/>
      <c r="E38" s="130" t="s">
        <v>59</v>
      </c>
      <c r="F38" s="131" t="s">
        <v>98</v>
      </c>
      <c r="G38" s="132" t="s">
        <v>90</v>
      </c>
      <c r="H38" s="151"/>
    </row>
    <row r="39" spans="2:8" s="39" customFormat="1" ht="30" customHeight="1" thickBot="1" x14ac:dyDescent="0.3">
      <c r="B39" s="61" t="s">
        <v>60</v>
      </c>
      <c r="C39" s="134" t="s">
        <v>61</v>
      </c>
      <c r="D39" s="133"/>
      <c r="E39" s="61" t="s">
        <v>62</v>
      </c>
      <c r="F39" s="265" t="s">
        <v>63</v>
      </c>
      <c r="G39" s="266"/>
      <c r="H39" s="151"/>
    </row>
    <row r="40" spans="2:8" s="43" customFormat="1" x14ac:dyDescent="0.3">
      <c r="B40" s="44" t="s">
        <v>53</v>
      </c>
      <c r="C40" s="41">
        <v>13</v>
      </c>
      <c r="D40" s="125" t="str">
        <f xml:space="preserve"> IF(C40="","",setValueToTime(C40))</f>
        <v>1h 5 min</v>
      </c>
      <c r="E40" s="211" t="s">
        <v>154</v>
      </c>
      <c r="F40" s="261"/>
      <c r="G40" s="262"/>
      <c r="H40" s="152"/>
    </row>
    <row r="41" spans="2:8" s="43" customFormat="1" x14ac:dyDescent="0.3">
      <c r="B41" s="44" t="s">
        <v>87</v>
      </c>
      <c r="C41" s="45">
        <v>13</v>
      </c>
      <c r="D41" s="126" t="str">
        <f t="shared" ref="D41:D42" si="5" xml:space="preserve"> IF(C41="","",setValueToTime(C41))</f>
        <v>1h 5 min</v>
      </c>
      <c r="E41" s="46" t="s">
        <v>99</v>
      </c>
      <c r="F41" s="253"/>
      <c r="G41" s="254"/>
      <c r="H41" s="152"/>
    </row>
    <row r="42" spans="2:8" s="43" customFormat="1" ht="27" x14ac:dyDescent="0.3">
      <c r="B42" s="44" t="s">
        <v>52</v>
      </c>
      <c r="C42" s="45">
        <v>2</v>
      </c>
      <c r="D42" s="126" t="str">
        <f t="shared" si="5"/>
        <v xml:space="preserve"> 10 min</v>
      </c>
      <c r="E42" s="46" t="s">
        <v>93</v>
      </c>
      <c r="F42" s="253"/>
      <c r="G42" s="254"/>
      <c r="H42" s="152"/>
    </row>
    <row r="43" spans="2:8" s="43" customFormat="1" x14ac:dyDescent="0.3">
      <c r="B43" s="44"/>
      <c r="C43" s="45"/>
      <c r="D43" s="126" t="str">
        <f t="shared" ref="D43:D47" si="6" xml:space="preserve"> IF(C43="","",setValueToTime(C43))</f>
        <v/>
      </c>
      <c r="E43" s="46"/>
      <c r="F43" s="253"/>
      <c r="G43" s="254"/>
      <c r="H43" s="152"/>
    </row>
    <row r="44" spans="2:8" s="43" customFormat="1" x14ac:dyDescent="0.3">
      <c r="B44" s="45"/>
      <c r="C44" s="45"/>
      <c r="D44" s="127" t="str">
        <f t="shared" si="6"/>
        <v/>
      </c>
      <c r="E44" s="46"/>
      <c r="F44" s="253"/>
      <c r="G44" s="254"/>
      <c r="H44" s="152"/>
    </row>
    <row r="45" spans="2:8" s="43" customFormat="1" x14ac:dyDescent="0.3">
      <c r="B45" s="45"/>
      <c r="C45" s="45"/>
      <c r="D45" s="127" t="str">
        <f t="shared" si="6"/>
        <v/>
      </c>
      <c r="E45" s="46"/>
      <c r="F45" s="253"/>
      <c r="G45" s="254"/>
      <c r="H45" s="152"/>
    </row>
    <row r="46" spans="2:8" s="43" customFormat="1" x14ac:dyDescent="0.3">
      <c r="B46" s="45"/>
      <c r="C46" s="45"/>
      <c r="D46" s="127" t="str">
        <f t="shared" si="6"/>
        <v/>
      </c>
      <c r="E46" s="46"/>
      <c r="F46" s="253"/>
      <c r="G46" s="254"/>
      <c r="H46" s="152"/>
    </row>
    <row r="47" spans="2:8" s="43" customFormat="1" ht="15" thickBot="1" x14ac:dyDescent="0.35">
      <c r="B47" s="47"/>
      <c r="C47" s="47"/>
      <c r="D47" s="128" t="str">
        <f t="shared" si="6"/>
        <v/>
      </c>
      <c r="E47" s="48"/>
      <c r="F47" s="255"/>
      <c r="G47" s="256"/>
      <c r="H47" s="152"/>
    </row>
    <row r="48" spans="2:8" s="43" customFormat="1" ht="15" thickBot="1" x14ac:dyDescent="0.35">
      <c r="B48" s="135" t="s">
        <v>65</v>
      </c>
      <c r="C48" s="66">
        <f>SUM(C40:C47)</f>
        <v>28</v>
      </c>
      <c r="D48" s="135" t="str">
        <f xml:space="preserve"> setValueToTime(C48)</f>
        <v>2h 20 min</v>
      </c>
      <c r="E48" s="96"/>
      <c r="F48" s="263"/>
      <c r="G48" s="264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58</v>
      </c>
      <c r="C50" s="137">
        <v>6</v>
      </c>
      <c r="D50" s="137"/>
      <c r="E50" s="130" t="s">
        <v>59</v>
      </c>
      <c r="F50" s="131" t="s">
        <v>98</v>
      </c>
      <c r="G50" s="132" t="s">
        <v>85</v>
      </c>
      <c r="H50" s="151"/>
    </row>
    <row r="51" spans="2:8" s="39" customFormat="1" ht="30" customHeight="1" thickBot="1" x14ac:dyDescent="0.3">
      <c r="B51" s="61" t="s">
        <v>60</v>
      </c>
      <c r="C51" s="134" t="s">
        <v>61</v>
      </c>
      <c r="D51" s="133"/>
      <c r="E51" s="61" t="s">
        <v>62</v>
      </c>
      <c r="F51" s="265" t="s">
        <v>63</v>
      </c>
      <c r="G51" s="266"/>
      <c r="H51" s="151"/>
    </row>
    <row r="52" spans="2:8" s="43" customFormat="1" ht="27" x14ac:dyDescent="0.3">
      <c r="B52" s="40" t="s">
        <v>82</v>
      </c>
      <c r="C52" s="41">
        <v>20</v>
      </c>
      <c r="D52" s="125" t="str">
        <f xml:space="preserve"> IF(C52="","",setValueToTime(C52))</f>
        <v>1h 40 min</v>
      </c>
      <c r="E52" s="210" t="s">
        <v>149</v>
      </c>
      <c r="F52" s="261"/>
      <c r="G52" s="262"/>
      <c r="H52" s="152"/>
    </row>
    <row r="53" spans="2:8" s="43" customFormat="1" x14ac:dyDescent="0.3">
      <c r="B53" s="44" t="s">
        <v>53</v>
      </c>
      <c r="C53" s="45">
        <v>18</v>
      </c>
      <c r="D53" s="126" t="str">
        <f t="shared" ref="D53:D59" si="7" xml:space="preserve"> IF(C53="","",setValueToTime(C53))</f>
        <v>1h 30 min</v>
      </c>
      <c r="E53" s="211" t="s">
        <v>150</v>
      </c>
      <c r="F53" s="253"/>
      <c r="G53" s="254"/>
      <c r="H53" s="152"/>
    </row>
    <row r="54" spans="2:8" s="43" customFormat="1" x14ac:dyDescent="0.3">
      <c r="B54" s="44"/>
      <c r="C54" s="45"/>
      <c r="D54" s="126" t="str">
        <f t="shared" si="7"/>
        <v/>
      </c>
      <c r="E54" s="46"/>
      <c r="F54" s="253"/>
      <c r="G54" s="254"/>
      <c r="H54" s="152"/>
    </row>
    <row r="55" spans="2:8" s="43" customFormat="1" x14ac:dyDescent="0.3">
      <c r="B55" s="44"/>
      <c r="C55" s="45"/>
      <c r="D55" s="126" t="str">
        <f t="shared" si="7"/>
        <v/>
      </c>
      <c r="E55" s="46"/>
      <c r="F55" s="253"/>
      <c r="G55" s="254"/>
      <c r="H55" s="152"/>
    </row>
    <row r="56" spans="2:8" s="43" customFormat="1" x14ac:dyDescent="0.3">
      <c r="B56" s="45"/>
      <c r="C56" s="45"/>
      <c r="D56" s="127" t="str">
        <f t="shared" si="7"/>
        <v/>
      </c>
      <c r="E56" s="46"/>
      <c r="F56" s="253"/>
      <c r="G56" s="254"/>
      <c r="H56" s="152"/>
    </row>
    <row r="57" spans="2:8" s="43" customFormat="1" x14ac:dyDescent="0.3">
      <c r="B57" s="45"/>
      <c r="C57" s="45"/>
      <c r="D57" s="127" t="str">
        <f t="shared" si="7"/>
        <v/>
      </c>
      <c r="E57" s="46"/>
      <c r="F57" s="253"/>
      <c r="G57" s="254"/>
      <c r="H57" s="152"/>
    </row>
    <row r="58" spans="2:8" s="43" customFormat="1" x14ac:dyDescent="0.3">
      <c r="B58" s="45"/>
      <c r="C58" s="45"/>
      <c r="D58" s="127" t="str">
        <f t="shared" si="7"/>
        <v/>
      </c>
      <c r="E58" s="46"/>
      <c r="F58" s="253"/>
      <c r="G58" s="254"/>
      <c r="H58" s="152"/>
    </row>
    <row r="59" spans="2:8" s="43" customFormat="1" ht="15" thickBot="1" x14ac:dyDescent="0.35">
      <c r="B59" s="47"/>
      <c r="C59" s="47"/>
      <c r="D59" s="128" t="str">
        <f t="shared" si="7"/>
        <v/>
      </c>
      <c r="E59" s="48"/>
      <c r="F59" s="255"/>
      <c r="G59" s="256"/>
      <c r="H59" s="152"/>
    </row>
    <row r="60" spans="2:8" s="43" customFormat="1" ht="15" thickBot="1" x14ac:dyDescent="0.35">
      <c r="B60" s="135" t="s">
        <v>65</v>
      </c>
      <c r="C60" s="66">
        <f>SUM(C52:C59)</f>
        <v>38</v>
      </c>
      <c r="D60" s="135" t="str">
        <f xml:space="preserve"> setValueToTime(C60)</f>
        <v>3h 10 min</v>
      </c>
      <c r="E60" s="96"/>
      <c r="F60" s="263"/>
      <c r="G60" s="264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58</v>
      </c>
      <c r="C62" s="137">
        <v>5</v>
      </c>
      <c r="D62" s="137"/>
      <c r="E62" s="130" t="s">
        <v>59</v>
      </c>
      <c r="F62" s="131" t="s">
        <v>96</v>
      </c>
      <c r="G62" s="132" t="s">
        <v>90</v>
      </c>
      <c r="H62" s="151"/>
    </row>
    <row r="63" spans="2:8" s="39" customFormat="1" ht="30" customHeight="1" thickBot="1" x14ac:dyDescent="0.3">
      <c r="B63" s="61" t="s">
        <v>60</v>
      </c>
      <c r="C63" s="134" t="s">
        <v>61</v>
      </c>
      <c r="D63" s="133"/>
      <c r="E63" s="61" t="s">
        <v>62</v>
      </c>
      <c r="F63" s="265" t="s">
        <v>63</v>
      </c>
      <c r="G63" s="266"/>
      <c r="H63" s="151"/>
    </row>
    <row r="64" spans="2:8" s="43" customFormat="1" ht="40.5" x14ac:dyDescent="0.3">
      <c r="B64" s="40" t="s">
        <v>92</v>
      </c>
      <c r="C64" s="41">
        <v>3</v>
      </c>
      <c r="D64" s="125" t="str">
        <f xml:space="preserve"> IF(C64="","",setValueToTime(C64))</f>
        <v xml:space="preserve"> 15 min</v>
      </c>
      <c r="E64" s="42" t="s">
        <v>145</v>
      </c>
      <c r="F64" s="261"/>
      <c r="G64" s="262"/>
      <c r="H64" s="152"/>
    </row>
    <row r="65" spans="2:8" s="43" customFormat="1" x14ac:dyDescent="0.3">
      <c r="B65" s="44" t="s">
        <v>53</v>
      </c>
      <c r="C65" s="45">
        <v>8</v>
      </c>
      <c r="D65" s="126" t="str">
        <f t="shared" ref="D65:D71" si="8" xml:space="preserve"> IF(C65="","",setValueToTime(C65))</f>
        <v xml:space="preserve"> 40 min</v>
      </c>
      <c r="E65" s="46" t="s">
        <v>148</v>
      </c>
      <c r="F65" s="253"/>
      <c r="G65" s="254"/>
      <c r="H65" s="152"/>
    </row>
    <row r="66" spans="2:8" s="43" customFormat="1" ht="27" x14ac:dyDescent="0.3">
      <c r="B66" s="44" t="s">
        <v>72</v>
      </c>
      <c r="C66" s="45">
        <v>4</v>
      </c>
      <c r="D66" s="126" t="str">
        <f t="shared" si="8"/>
        <v xml:space="preserve"> 20 min</v>
      </c>
      <c r="E66" s="46" t="s">
        <v>146</v>
      </c>
      <c r="F66" s="253"/>
      <c r="G66" s="254"/>
      <c r="H66" s="152"/>
    </row>
    <row r="67" spans="2:8" s="43" customFormat="1" ht="40.5" x14ac:dyDescent="0.3">
      <c r="B67" s="44" t="s">
        <v>92</v>
      </c>
      <c r="C67" s="45">
        <v>6</v>
      </c>
      <c r="D67" s="126" t="str">
        <f t="shared" si="8"/>
        <v xml:space="preserve"> 30 min</v>
      </c>
      <c r="E67" s="46" t="s">
        <v>147</v>
      </c>
      <c r="F67" s="253"/>
      <c r="G67" s="254"/>
      <c r="H67" s="152"/>
    </row>
    <row r="68" spans="2:8" s="43" customFormat="1" ht="27" x14ac:dyDescent="0.3">
      <c r="B68" s="44" t="s">
        <v>52</v>
      </c>
      <c r="C68" s="45">
        <v>2</v>
      </c>
      <c r="D68" s="126" t="str">
        <f t="shared" si="8"/>
        <v xml:space="preserve"> 10 min</v>
      </c>
      <c r="E68" s="46" t="s">
        <v>93</v>
      </c>
      <c r="F68" s="253"/>
      <c r="G68" s="254"/>
      <c r="H68" s="152"/>
    </row>
    <row r="69" spans="2:8" s="43" customFormat="1" ht="27" x14ac:dyDescent="0.3">
      <c r="B69" s="44" t="s">
        <v>82</v>
      </c>
      <c r="C69" s="45">
        <v>15</v>
      </c>
      <c r="D69" s="126" t="str">
        <f t="shared" si="8"/>
        <v>1h 15 min</v>
      </c>
      <c r="E69" s="46" t="s">
        <v>97</v>
      </c>
      <c r="F69" s="253"/>
      <c r="G69" s="254"/>
      <c r="H69" s="152"/>
    </row>
    <row r="70" spans="2:8" s="43" customFormat="1" x14ac:dyDescent="0.3">
      <c r="B70" s="45"/>
      <c r="C70" s="45"/>
      <c r="D70" s="127" t="str">
        <f t="shared" si="8"/>
        <v/>
      </c>
      <c r="E70" s="46"/>
      <c r="F70" s="253"/>
      <c r="G70" s="254"/>
      <c r="H70" s="152"/>
    </row>
    <row r="71" spans="2:8" s="43" customFormat="1" ht="15" thickBot="1" x14ac:dyDescent="0.35">
      <c r="B71" s="47"/>
      <c r="C71" s="47"/>
      <c r="D71" s="128" t="str">
        <f t="shared" si="8"/>
        <v/>
      </c>
      <c r="E71" s="48"/>
      <c r="F71" s="255"/>
      <c r="G71" s="256"/>
      <c r="H71" s="152"/>
    </row>
    <row r="72" spans="2:8" s="43" customFormat="1" ht="15" thickBot="1" x14ac:dyDescent="0.35">
      <c r="B72" s="135" t="s">
        <v>65</v>
      </c>
      <c r="C72" s="66">
        <f>SUM(C64:C71)</f>
        <v>38</v>
      </c>
      <c r="D72" s="135" t="str">
        <f xml:space="preserve"> setValueToTime(C72)</f>
        <v>3h 10 min</v>
      </c>
      <c r="E72" s="96"/>
      <c r="F72" s="263"/>
      <c r="G72" s="264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58</v>
      </c>
      <c r="C74" s="137">
        <v>4</v>
      </c>
      <c r="D74" s="137"/>
      <c r="E74" s="130" t="s">
        <v>59</v>
      </c>
      <c r="F74" s="131" t="s">
        <v>96</v>
      </c>
      <c r="G74" s="132" t="s">
        <v>85</v>
      </c>
      <c r="H74" s="151"/>
    </row>
    <row r="75" spans="2:8" s="39" customFormat="1" ht="30" customHeight="1" thickBot="1" x14ac:dyDescent="0.3">
      <c r="B75" s="61" t="s">
        <v>60</v>
      </c>
      <c r="C75" s="134" t="s">
        <v>61</v>
      </c>
      <c r="D75" s="133"/>
      <c r="E75" s="61" t="s">
        <v>62</v>
      </c>
      <c r="F75" s="265" t="s">
        <v>63</v>
      </c>
      <c r="G75" s="266"/>
      <c r="H75" s="151"/>
    </row>
    <row r="76" spans="2:8" s="43" customFormat="1" ht="27" x14ac:dyDescent="0.3">
      <c r="B76" s="40" t="s">
        <v>72</v>
      </c>
      <c r="C76" s="41">
        <v>24</v>
      </c>
      <c r="D76" s="125" t="str">
        <f xml:space="preserve"> IF(C76="","",setValueToTime(C76))</f>
        <v>2h</v>
      </c>
      <c r="E76" s="42" t="s">
        <v>142</v>
      </c>
      <c r="F76" s="261"/>
      <c r="G76" s="262"/>
      <c r="H76" s="152"/>
    </row>
    <row r="77" spans="2:8" s="43" customFormat="1" ht="40.5" x14ac:dyDescent="0.3">
      <c r="B77" s="44" t="s">
        <v>92</v>
      </c>
      <c r="C77" s="45">
        <v>22</v>
      </c>
      <c r="D77" s="126" t="str">
        <f t="shared" ref="D77:D83" si="9" xml:space="preserve"> IF(C77="","",setValueToTime(C77))</f>
        <v>1h 50 min</v>
      </c>
      <c r="E77" s="46" t="s">
        <v>143</v>
      </c>
      <c r="F77" s="253"/>
      <c r="G77" s="254"/>
      <c r="H77" s="152"/>
    </row>
    <row r="78" spans="2:8" s="43" customFormat="1" x14ac:dyDescent="0.3">
      <c r="B78" s="44" t="s">
        <v>53</v>
      </c>
      <c r="C78" s="45">
        <v>2</v>
      </c>
      <c r="D78" s="126" t="str">
        <f t="shared" si="9"/>
        <v xml:space="preserve"> 10 min</v>
      </c>
      <c r="E78" s="46" t="s">
        <v>144</v>
      </c>
      <c r="F78" s="253"/>
      <c r="G78" s="254"/>
      <c r="H78" s="152"/>
    </row>
    <row r="79" spans="2:8" s="43" customFormat="1" x14ac:dyDescent="0.3">
      <c r="B79" s="44"/>
      <c r="C79" s="45"/>
      <c r="D79" s="126" t="str">
        <f t="shared" si="9"/>
        <v/>
      </c>
      <c r="E79" s="46"/>
      <c r="F79" s="253"/>
      <c r="G79" s="254"/>
      <c r="H79" s="152"/>
    </row>
    <row r="80" spans="2:8" s="43" customFormat="1" x14ac:dyDescent="0.3">
      <c r="B80" s="45"/>
      <c r="C80" s="45"/>
      <c r="D80" s="127" t="str">
        <f t="shared" si="9"/>
        <v/>
      </c>
      <c r="E80" s="46"/>
      <c r="F80" s="253"/>
      <c r="G80" s="254"/>
      <c r="H80" s="152"/>
    </row>
    <row r="81" spans="2:8" s="43" customFormat="1" x14ac:dyDescent="0.3">
      <c r="B81" s="45"/>
      <c r="C81" s="45"/>
      <c r="D81" s="127" t="str">
        <f t="shared" si="9"/>
        <v/>
      </c>
      <c r="E81" s="46"/>
      <c r="F81" s="253"/>
      <c r="G81" s="254"/>
      <c r="H81" s="152"/>
    </row>
    <row r="82" spans="2:8" s="43" customFormat="1" x14ac:dyDescent="0.3">
      <c r="B82" s="45"/>
      <c r="C82" s="45"/>
      <c r="D82" s="127" t="str">
        <f t="shared" si="9"/>
        <v/>
      </c>
      <c r="E82" s="46"/>
      <c r="F82" s="253"/>
      <c r="G82" s="254"/>
      <c r="H82" s="152"/>
    </row>
    <row r="83" spans="2:8" s="43" customFormat="1" ht="15" thickBot="1" x14ac:dyDescent="0.35">
      <c r="B83" s="47"/>
      <c r="C83" s="47"/>
      <c r="D83" s="128" t="str">
        <f t="shared" si="9"/>
        <v/>
      </c>
      <c r="E83" s="48"/>
      <c r="F83" s="255"/>
      <c r="G83" s="256"/>
      <c r="H83" s="152"/>
    </row>
    <row r="84" spans="2:8" s="43" customFormat="1" ht="15" thickBot="1" x14ac:dyDescent="0.35">
      <c r="B84" s="135" t="s">
        <v>65</v>
      </c>
      <c r="C84" s="66">
        <f>SUM(C76:C83)</f>
        <v>48</v>
      </c>
      <c r="D84" s="135" t="str">
        <f xml:space="preserve"> setValueToTime(C84)</f>
        <v>4h</v>
      </c>
      <c r="E84" s="96"/>
      <c r="F84" s="263"/>
      <c r="G84" s="264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58</v>
      </c>
      <c r="C86" s="137">
        <v>3</v>
      </c>
      <c r="D86" s="137"/>
      <c r="E86" s="130" t="s">
        <v>59</v>
      </c>
      <c r="F86" s="131" t="s">
        <v>91</v>
      </c>
      <c r="G86" s="132" t="s">
        <v>90</v>
      </c>
      <c r="H86" s="151"/>
    </row>
    <row r="87" spans="2:8" s="39" customFormat="1" ht="30" customHeight="1" thickBot="1" x14ac:dyDescent="0.3">
      <c r="B87" s="61" t="s">
        <v>60</v>
      </c>
      <c r="C87" s="134" t="s">
        <v>61</v>
      </c>
      <c r="D87" s="133"/>
      <c r="E87" s="61" t="s">
        <v>62</v>
      </c>
      <c r="F87" s="265" t="s">
        <v>63</v>
      </c>
      <c r="G87" s="266"/>
      <c r="H87" s="151"/>
    </row>
    <row r="88" spans="2:8" s="43" customFormat="1" ht="27" x14ac:dyDescent="0.3">
      <c r="B88" s="40" t="s">
        <v>72</v>
      </c>
      <c r="C88" s="41">
        <v>26</v>
      </c>
      <c r="D88" s="125" t="str">
        <f xml:space="preserve"> IF(C88="","",setValueToTime(C88))</f>
        <v>2h 10 min</v>
      </c>
      <c r="E88" s="42" t="s">
        <v>137</v>
      </c>
      <c r="F88" s="261"/>
      <c r="G88" s="262"/>
      <c r="H88" s="152"/>
    </row>
    <row r="89" spans="2:8" s="43" customFormat="1" ht="27" x14ac:dyDescent="0.3">
      <c r="B89" s="44" t="s">
        <v>52</v>
      </c>
      <c r="C89" s="45">
        <v>2</v>
      </c>
      <c r="D89" s="126" t="str">
        <f t="shared" ref="D89:D95" si="10" xml:space="preserve"> IF(C89="","",setValueToTime(C89))</f>
        <v xml:space="preserve"> 10 min</v>
      </c>
      <c r="E89" s="46" t="s">
        <v>139</v>
      </c>
      <c r="F89" s="253"/>
      <c r="G89" s="254"/>
      <c r="H89" s="152"/>
    </row>
    <row r="90" spans="2:8" s="43" customFormat="1" x14ac:dyDescent="0.3">
      <c r="B90" s="44" t="s">
        <v>53</v>
      </c>
      <c r="C90" s="45">
        <v>5</v>
      </c>
      <c r="D90" s="126" t="str">
        <f t="shared" si="10"/>
        <v xml:space="preserve"> 25 min</v>
      </c>
      <c r="E90" s="46" t="s">
        <v>140</v>
      </c>
      <c r="F90" s="253"/>
      <c r="G90" s="254"/>
      <c r="H90" s="152"/>
    </row>
    <row r="91" spans="2:8" s="43" customFormat="1" ht="27" x14ac:dyDescent="0.3">
      <c r="B91" s="44" t="s">
        <v>72</v>
      </c>
      <c r="C91" s="45">
        <v>3</v>
      </c>
      <c r="D91" s="126" t="str">
        <f t="shared" si="10"/>
        <v xml:space="preserve"> 15 min</v>
      </c>
      <c r="E91" s="46" t="s">
        <v>136</v>
      </c>
      <c r="F91" s="253"/>
      <c r="G91" s="254"/>
      <c r="H91" s="152"/>
    </row>
    <row r="92" spans="2:8" s="43" customFormat="1" ht="40.5" x14ac:dyDescent="0.3">
      <c r="B92" s="45" t="s">
        <v>92</v>
      </c>
      <c r="C92" s="45">
        <v>2</v>
      </c>
      <c r="D92" s="127" t="str">
        <f t="shared" si="10"/>
        <v xml:space="preserve"> 10 min</v>
      </c>
      <c r="E92" s="46" t="s">
        <v>141</v>
      </c>
      <c r="F92" s="253"/>
      <c r="G92" s="254"/>
      <c r="H92" s="152"/>
    </row>
    <row r="93" spans="2:8" s="43" customFormat="1" x14ac:dyDescent="0.3">
      <c r="B93" s="45"/>
      <c r="C93" s="45"/>
      <c r="D93" s="127" t="str">
        <f t="shared" si="10"/>
        <v/>
      </c>
      <c r="E93" s="46"/>
      <c r="F93" s="253"/>
      <c r="G93" s="254"/>
      <c r="H93" s="152"/>
    </row>
    <row r="94" spans="2:8" s="43" customFormat="1" x14ac:dyDescent="0.3">
      <c r="B94" s="45"/>
      <c r="C94" s="45"/>
      <c r="D94" s="127" t="str">
        <f t="shared" si="10"/>
        <v/>
      </c>
      <c r="E94" s="46"/>
      <c r="F94" s="253"/>
      <c r="G94" s="254"/>
      <c r="H94" s="152"/>
    </row>
    <row r="95" spans="2:8" s="43" customFormat="1" ht="15" thickBot="1" x14ac:dyDescent="0.35">
      <c r="B95" s="47"/>
      <c r="C95" s="47"/>
      <c r="D95" s="128" t="str">
        <f t="shared" si="10"/>
        <v/>
      </c>
      <c r="E95" s="48"/>
      <c r="F95" s="255"/>
      <c r="G95" s="256"/>
      <c r="H95" s="152"/>
    </row>
    <row r="96" spans="2:8" s="43" customFormat="1" ht="15" thickBot="1" x14ac:dyDescent="0.35">
      <c r="B96" s="135" t="s">
        <v>65</v>
      </c>
      <c r="C96" s="66">
        <f>SUM(C88:C95)</f>
        <v>38</v>
      </c>
      <c r="D96" s="135" t="str">
        <f xml:space="preserve"> setValueToTime(C96)</f>
        <v>3h 10 min</v>
      </c>
      <c r="E96" s="96"/>
      <c r="F96" s="263"/>
      <c r="G96" s="264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58</v>
      </c>
      <c r="C98" s="137">
        <v>2</v>
      </c>
      <c r="D98" s="137"/>
      <c r="E98" s="130" t="s">
        <v>59</v>
      </c>
      <c r="F98" s="131" t="s">
        <v>84</v>
      </c>
      <c r="G98" s="132" t="s">
        <v>90</v>
      </c>
      <c r="H98" s="151"/>
    </row>
    <row r="99" spans="2:8" s="39" customFormat="1" ht="30" customHeight="1" thickBot="1" x14ac:dyDescent="0.3">
      <c r="B99" s="61" t="s">
        <v>60</v>
      </c>
      <c r="C99" s="134" t="s">
        <v>61</v>
      </c>
      <c r="D99" s="133"/>
      <c r="E99" s="61" t="s">
        <v>62</v>
      </c>
      <c r="F99" s="265" t="s">
        <v>63</v>
      </c>
      <c r="G99" s="266"/>
      <c r="H99" s="151"/>
    </row>
    <row r="100" spans="2:8" s="43" customFormat="1" ht="27" x14ac:dyDescent="0.3">
      <c r="B100" s="44" t="s">
        <v>51</v>
      </c>
      <c r="C100" s="45">
        <v>37</v>
      </c>
      <c r="D100" s="126" t="str">
        <f xml:space="preserve"> IF(C100="","",setValueToTime(C100))</f>
        <v>3h 5 min</v>
      </c>
      <c r="E100" s="46" t="s">
        <v>131</v>
      </c>
      <c r="F100" s="261"/>
      <c r="G100" s="262"/>
      <c r="H100" s="152"/>
    </row>
    <row r="101" spans="2:8" s="43" customFormat="1" ht="27" x14ac:dyDescent="0.3">
      <c r="B101" s="44" t="s">
        <v>52</v>
      </c>
      <c r="C101" s="45">
        <v>1</v>
      </c>
      <c r="D101" s="126" t="str">
        <f t="shared" ref="D101" si="11" xml:space="preserve"> IF(C101="","",setValueToTime(C101))</f>
        <v xml:space="preserve"> 5 min</v>
      </c>
      <c r="E101" s="46" t="s">
        <v>138</v>
      </c>
      <c r="F101" s="253"/>
      <c r="G101" s="254"/>
      <c r="H101" s="152"/>
    </row>
    <row r="102" spans="2:8" s="43" customFormat="1" x14ac:dyDescent="0.3">
      <c r="B102" s="44"/>
      <c r="C102" s="45"/>
      <c r="D102" s="126" t="str">
        <f t="shared" ref="D102:D107" si="12" xml:space="preserve"> IF(C102="","",setValueToTime(C102))</f>
        <v/>
      </c>
      <c r="E102" s="46"/>
      <c r="F102" s="253"/>
      <c r="G102" s="254"/>
      <c r="H102" s="152"/>
    </row>
    <row r="103" spans="2:8" s="43" customFormat="1" x14ac:dyDescent="0.3">
      <c r="B103" s="44"/>
      <c r="C103" s="45"/>
      <c r="D103" s="126" t="str">
        <f t="shared" si="12"/>
        <v/>
      </c>
      <c r="E103" s="46"/>
      <c r="F103" s="253"/>
      <c r="G103" s="254"/>
      <c r="H103" s="152"/>
    </row>
    <row r="104" spans="2:8" s="43" customFormat="1" x14ac:dyDescent="0.3">
      <c r="B104" s="45"/>
      <c r="C104" s="45"/>
      <c r="D104" s="127" t="str">
        <f t="shared" si="12"/>
        <v/>
      </c>
      <c r="E104" s="46"/>
      <c r="F104" s="253"/>
      <c r="G104" s="254"/>
      <c r="H104" s="152"/>
    </row>
    <row r="105" spans="2:8" s="43" customFormat="1" x14ac:dyDescent="0.3">
      <c r="B105" s="45"/>
      <c r="C105" s="45"/>
      <c r="D105" s="127" t="str">
        <f t="shared" si="12"/>
        <v/>
      </c>
      <c r="E105" s="46"/>
      <c r="F105" s="253"/>
      <c r="G105" s="254"/>
      <c r="H105" s="152"/>
    </row>
    <row r="106" spans="2:8" s="43" customFormat="1" x14ac:dyDescent="0.3">
      <c r="B106" s="45"/>
      <c r="C106" s="45"/>
      <c r="D106" s="127" t="str">
        <f t="shared" si="12"/>
        <v/>
      </c>
      <c r="E106" s="46"/>
      <c r="F106" s="253"/>
      <c r="G106" s="254"/>
      <c r="H106" s="152"/>
    </row>
    <row r="107" spans="2:8" s="43" customFormat="1" ht="15" thickBot="1" x14ac:dyDescent="0.35">
      <c r="B107" s="47"/>
      <c r="C107" s="47"/>
      <c r="D107" s="128" t="str">
        <f t="shared" si="12"/>
        <v/>
      </c>
      <c r="E107" s="48"/>
      <c r="F107" s="255"/>
      <c r="G107" s="256"/>
      <c r="H107" s="152"/>
    </row>
    <row r="108" spans="2:8" s="43" customFormat="1" ht="15" thickBot="1" x14ac:dyDescent="0.35">
      <c r="B108" s="135" t="s">
        <v>65</v>
      </c>
      <c r="C108" s="66">
        <f>SUM(C100:C107)</f>
        <v>38</v>
      </c>
      <c r="D108" s="135" t="str">
        <f xml:space="preserve"> setValueToTime(C108)</f>
        <v>3h 10 min</v>
      </c>
      <c r="E108" s="96"/>
      <c r="F108" s="263"/>
      <c r="G108" s="264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58</v>
      </c>
      <c r="C110" s="137">
        <v>1</v>
      </c>
      <c r="D110" s="137"/>
      <c r="E110" s="130" t="s">
        <v>59</v>
      </c>
      <c r="F110" s="131" t="s">
        <v>84</v>
      </c>
      <c r="G110" s="132"/>
      <c r="H110" s="151"/>
    </row>
    <row r="111" spans="2:8" s="39" customFormat="1" ht="30" customHeight="1" thickBot="1" x14ac:dyDescent="0.3">
      <c r="B111" s="61" t="s">
        <v>60</v>
      </c>
      <c r="C111" s="134" t="s">
        <v>61</v>
      </c>
      <c r="D111" s="133"/>
      <c r="E111" s="61" t="s">
        <v>62</v>
      </c>
      <c r="F111" s="265" t="s">
        <v>63</v>
      </c>
      <c r="G111" s="266"/>
      <c r="H111" s="151"/>
    </row>
    <row r="112" spans="2:8" s="43" customFormat="1" ht="27" x14ac:dyDescent="0.3">
      <c r="B112" s="40" t="s">
        <v>71</v>
      </c>
      <c r="C112" s="41">
        <v>19</v>
      </c>
      <c r="D112" s="125" t="str">
        <f xml:space="preserve"> IF(C112="","",setValueToTime(C112))</f>
        <v>1h 35 min</v>
      </c>
      <c r="E112" s="42" t="s">
        <v>83</v>
      </c>
      <c r="F112" s="261"/>
      <c r="G112" s="262"/>
      <c r="H112" s="152"/>
    </row>
    <row r="113" spans="2:8" s="43" customFormat="1" ht="27" x14ac:dyDescent="0.3">
      <c r="B113" s="44" t="s">
        <v>51</v>
      </c>
      <c r="C113" s="45">
        <v>28</v>
      </c>
      <c r="D113" s="126" t="str">
        <f xml:space="preserve"> IF(C113="","",setValueToTime(C113))</f>
        <v>2h 20 min</v>
      </c>
      <c r="E113" s="46" t="s">
        <v>131</v>
      </c>
      <c r="F113" s="253"/>
      <c r="G113" s="254"/>
      <c r="H113" s="152"/>
    </row>
    <row r="114" spans="2:8" s="43" customFormat="1" ht="27" x14ac:dyDescent="0.3">
      <c r="B114" s="44" t="s">
        <v>52</v>
      </c>
      <c r="C114" s="45">
        <v>1</v>
      </c>
      <c r="D114" s="126" t="str">
        <f t="shared" ref="D114:D119" si="13" xml:space="preserve"> IF(C114="","",setValueToTime(C114))</f>
        <v xml:space="preserve"> 5 min</v>
      </c>
      <c r="E114" s="46" t="s">
        <v>138</v>
      </c>
      <c r="F114" s="253"/>
      <c r="G114" s="254"/>
      <c r="H114" s="152"/>
    </row>
    <row r="115" spans="2:8" s="43" customFormat="1" x14ac:dyDescent="0.3">
      <c r="B115" s="44"/>
      <c r="C115" s="45"/>
      <c r="D115" s="126" t="str">
        <f t="shared" si="13"/>
        <v/>
      </c>
      <c r="E115" s="46"/>
      <c r="F115" s="253"/>
      <c r="G115" s="254"/>
      <c r="H115" s="152"/>
    </row>
    <row r="116" spans="2:8" s="43" customFormat="1" x14ac:dyDescent="0.3">
      <c r="B116" s="45"/>
      <c r="C116" s="45"/>
      <c r="D116" s="127" t="str">
        <f t="shared" si="13"/>
        <v/>
      </c>
      <c r="E116" s="46"/>
      <c r="F116" s="253"/>
      <c r="G116" s="254"/>
      <c r="H116" s="152"/>
    </row>
    <row r="117" spans="2:8" s="43" customFormat="1" x14ac:dyDescent="0.3">
      <c r="B117" s="45"/>
      <c r="C117" s="45"/>
      <c r="D117" s="127" t="str">
        <f t="shared" si="13"/>
        <v/>
      </c>
      <c r="E117" s="46"/>
      <c r="F117" s="253"/>
      <c r="G117" s="254"/>
      <c r="H117" s="152"/>
    </row>
    <row r="118" spans="2:8" s="43" customFormat="1" x14ac:dyDescent="0.3">
      <c r="B118" s="45"/>
      <c r="C118" s="45"/>
      <c r="D118" s="127" t="str">
        <f t="shared" si="13"/>
        <v/>
      </c>
      <c r="E118" s="46"/>
      <c r="F118" s="253"/>
      <c r="G118" s="254"/>
      <c r="H118" s="152"/>
    </row>
    <row r="119" spans="2:8" s="43" customFormat="1" ht="15" thickBot="1" x14ac:dyDescent="0.35">
      <c r="B119" s="47"/>
      <c r="C119" s="47"/>
      <c r="D119" s="128" t="str">
        <f t="shared" si="13"/>
        <v/>
      </c>
      <c r="E119" s="48"/>
      <c r="F119" s="255"/>
      <c r="G119" s="256"/>
      <c r="H119" s="152"/>
    </row>
    <row r="120" spans="2:8" s="43" customFormat="1" ht="15" thickBot="1" x14ac:dyDescent="0.35">
      <c r="B120" s="135" t="s">
        <v>65</v>
      </c>
      <c r="C120" s="66">
        <f>SUM(C112:C119)</f>
        <v>48</v>
      </c>
      <c r="D120" s="135" t="str">
        <f xml:space="preserve"> setValueToTime(C120)</f>
        <v>4h</v>
      </c>
      <c r="E120" s="96"/>
      <c r="F120" s="263"/>
      <c r="G120" s="264"/>
      <c r="H120" s="152"/>
    </row>
    <row r="121" spans="2:8" s="43" customFormat="1" x14ac:dyDescent="0.3">
      <c r="B121" s="60"/>
      <c r="C121" s="60"/>
      <c r="D121" s="60"/>
      <c r="E121" s="60"/>
      <c r="F121" s="60"/>
      <c r="G121" s="60"/>
      <c r="H121" s="152"/>
    </row>
  </sheetData>
  <sheetProtection formatRows="0" insertRows="0" insertHyperlinks="0" deleteRows="0" selectLockedCells="1"/>
  <mergeCells count="10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16:G116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12:C119 C100:C107 C88:C95 C76:C83 C64:C71 C52:C59 C40:C47 C28:C35 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0 C108 C96 C84 C72 C60 C48 C36 C24 C12" xr:uid="{EC96B6B4-021E-448A-9E67-7F832E03BA2E}">
      <formula1>0</formula1>
      <formula2>60</formula2>
    </dataValidation>
  </dataValidations>
  <printOptions horizontalCentered="1" verticalCentered="1"/>
  <pageMargins left="0.25" right="0.25" top="0.75" bottom="0.75" header="0.3" footer="0.3"/>
  <pageSetup paperSize="9" scale="77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4" manualBreakCount="4">
    <brk id="36" min="1" max="6" man="1"/>
    <brk id="60" min="1" max="6" man="1"/>
    <brk id="72" min="1" max="6" man="1"/>
    <brk id="96" min="1" max="6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3"/>
    </row>
    <row r="11" spans="1:61" ht="18" x14ac:dyDescent="0.25">
      <c r="A11" s="241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73"/>
    </row>
    <row r="12" spans="1:61" ht="18.75" thickBot="1" x14ac:dyDescent="0.3">
      <c r="A12" s="240"/>
      <c r="B12" s="240"/>
      <c r="C12" s="240"/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73"/>
    </row>
    <row r="13" spans="1:61" ht="18.75" thickBot="1" x14ac:dyDescent="0.3">
      <c r="A13" s="237" t="s">
        <v>58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9"/>
      <c r="BI13" s="73"/>
    </row>
    <row r="14" spans="1:61" ht="15.75" thickBot="1" x14ac:dyDescent="0.35">
      <c r="A14" s="81"/>
      <c r="B14" s="82"/>
      <c r="C14" s="82"/>
      <c r="D14" s="82"/>
      <c r="E14" s="228" t="s">
        <v>40</v>
      </c>
      <c r="F14" s="228"/>
      <c r="G14" s="228"/>
      <c r="H14" s="228"/>
      <c r="I14" s="82"/>
      <c r="J14" s="82"/>
      <c r="K14" s="229" t="s">
        <v>41</v>
      </c>
      <c r="L14" s="229"/>
      <c r="M14" s="229"/>
      <c r="N14" s="229"/>
      <c r="O14" s="102"/>
      <c r="P14" s="102"/>
      <c r="Q14" s="228" t="s">
        <v>42</v>
      </c>
      <c r="R14" s="228"/>
      <c r="S14" s="228"/>
      <c r="T14" s="228"/>
      <c r="U14" s="82"/>
      <c r="V14" s="82"/>
      <c r="W14" s="229" t="s">
        <v>43</v>
      </c>
      <c r="X14" s="229"/>
      <c r="Y14" s="229"/>
      <c r="Z14" s="229"/>
      <c r="AA14" s="102"/>
      <c r="AB14" s="102"/>
      <c r="AC14" s="228" t="s">
        <v>44</v>
      </c>
      <c r="AD14" s="228"/>
      <c r="AE14" s="228"/>
      <c r="AF14" s="228"/>
      <c r="AG14" s="82"/>
      <c r="AH14" s="82"/>
      <c r="AI14" s="229" t="s">
        <v>45</v>
      </c>
      <c r="AJ14" s="229"/>
      <c r="AK14" s="229"/>
      <c r="AL14" s="229"/>
      <c r="AM14" s="102"/>
      <c r="AN14" s="102"/>
      <c r="AO14" s="228" t="s">
        <v>46</v>
      </c>
      <c r="AP14" s="228"/>
      <c r="AQ14" s="228"/>
      <c r="AR14" s="228"/>
      <c r="AS14" s="82"/>
      <c r="AT14" s="82"/>
      <c r="AU14" s="229" t="s">
        <v>47</v>
      </c>
      <c r="AV14" s="229"/>
      <c r="AW14" s="229"/>
      <c r="AX14" s="229"/>
      <c r="AY14" s="102"/>
      <c r="AZ14" s="102"/>
      <c r="BA14" s="228" t="s">
        <v>48</v>
      </c>
      <c r="BB14" s="228"/>
      <c r="BC14" s="228"/>
      <c r="BD14" s="22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58</v>
      </c>
      <c r="C1" s="136">
        <v>1</v>
      </c>
      <c r="D1" s="136"/>
      <c r="E1" s="65" t="s">
        <v>59</v>
      </c>
      <c r="F1" s="77"/>
      <c r="G1" s="101"/>
      <c r="H1" s="151"/>
    </row>
    <row r="2" spans="2:8" s="39" customFormat="1" ht="30" customHeight="1" thickBot="1" x14ac:dyDescent="0.3">
      <c r="B2" s="63" t="s">
        <v>60</v>
      </c>
      <c r="C2" s="123" t="s">
        <v>61</v>
      </c>
      <c r="D2" s="124"/>
      <c r="E2" s="63" t="s">
        <v>62</v>
      </c>
      <c r="F2" s="259" t="s">
        <v>63</v>
      </c>
      <c r="G2" s="260"/>
      <c r="H2" s="151"/>
    </row>
    <row r="3" spans="2:8" s="43" customFormat="1" x14ac:dyDescent="0.3">
      <c r="B3" s="40" t="s">
        <v>64</v>
      </c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86" t="s">
        <v>65</v>
      </c>
      <c r="C11" s="67">
        <f>SUM(C3:C10)</f>
        <v>0</v>
      </c>
      <c r="D11" s="86" t="str">
        <f xml:space="preserve"> setValueToTime(C11)</f>
        <v/>
      </c>
      <c r="E11" s="95"/>
      <c r="F11" s="257"/>
      <c r="G11" s="258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58</v>
      </c>
      <c r="C1" s="137">
        <v>1</v>
      </c>
      <c r="D1" s="137"/>
      <c r="E1" s="130" t="s">
        <v>59</v>
      </c>
      <c r="F1" s="131"/>
      <c r="G1" s="132"/>
      <c r="H1" s="151"/>
    </row>
    <row r="2" spans="2:8" s="39" customFormat="1" ht="30" customHeight="1" thickBot="1" x14ac:dyDescent="0.3">
      <c r="B2" s="61" t="s">
        <v>60</v>
      </c>
      <c r="C2" s="134" t="s">
        <v>61</v>
      </c>
      <c r="D2" s="133"/>
      <c r="E2" s="61" t="s">
        <v>62</v>
      </c>
      <c r="F2" s="265" t="s">
        <v>63</v>
      </c>
      <c r="G2" s="266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135" t="s">
        <v>65</v>
      </c>
      <c r="C11" s="66">
        <f>SUM(C3:C10)</f>
        <v>0</v>
      </c>
      <c r="D11" s="135" t="str">
        <f xml:space="preserve"> setValueToTime(C11)</f>
        <v/>
      </c>
      <c r="E11" s="96"/>
      <c r="F11" s="263"/>
      <c r="G11" s="264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2025-05-07T14:19:13Z</cp:lastPrinted>
  <dcterms:created xsi:type="dcterms:W3CDTF">1996-10-21T11:03:58Z</dcterms:created>
  <dcterms:modified xsi:type="dcterms:W3CDTF">2025-05-08T14:32:16Z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